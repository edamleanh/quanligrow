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app\danhsach\"/>
    </mc:Choice>
  </mc:AlternateContent>
  <xr:revisionPtr revIDLastSave="0" documentId="13_ncr:1_{3712E02B-BF1E-4231-B69A-2B52A71D06D9}" xr6:coauthVersionLast="47" xr6:coauthVersionMax="47" xr10:uidLastSave="{00000000-0000-0000-0000-000000000000}"/>
  <bookViews>
    <workbookView xWindow="-120" yWindow="-120" windowWidth="29040" windowHeight="15720" xr2:uid="{9FD85195-B155-4FC2-A571-07BD4F8F45F2}"/>
  </bookViews>
  <sheets>
    <sheet name="DS TỔNG" sheetId="4" r:id="rId1"/>
    <sheet name="Sheet1" sheetId="14" r:id="rId2"/>
    <sheet name="HOÁ" sheetId="7" r:id="rId3"/>
    <sheet name="VĂN" sheetId="6" r:id="rId4"/>
    <sheet name="TOÁN" sheetId="5" r:id="rId5"/>
    <sheet name="ANH VĂN" sheetId="2" r:id="rId6"/>
    <sheet name="LÝ" sheetId="12" r:id="rId7"/>
    <sheet name="DS Hs CHƯA ĐT" sheetId="3" r:id="rId8"/>
    <sheet name="DS MẨU MÔN" sheetId="8" r:id="rId9"/>
    <sheet name="ĐĂNG KÝ MỚI" sheetId="9" r:id="rId10"/>
    <sheet name="Sheet2" sheetId="11" r:id="rId11"/>
    <sheet name="DS HỌC SINH" sheetId="13" r:id="rId12"/>
    <sheet name="TA N NGOÀI" sheetId="15" r:id="rId13"/>
  </sheets>
  <definedNames>
    <definedName name="_xlnm._FilterDatabase" localSheetId="0" hidden="1">'DS TỔNG'!$A$4:$Y$1283</definedName>
    <definedName name="_xlnm._FilterDatabase" localSheetId="9" hidden="1">'ĐĂNG KÝ MỚI'!$A$4:$J$559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7" l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O63" i="7"/>
  <c r="M63" i="7"/>
  <c r="K63" i="7"/>
  <c r="I63" i="7"/>
  <c r="G63" i="7"/>
  <c r="A36" i="7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O33" i="7"/>
  <c r="M33" i="7"/>
  <c r="K33" i="7"/>
  <c r="I33" i="7"/>
  <c r="G33" i="7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O3" i="7"/>
  <c r="M3" i="7"/>
  <c r="K3" i="7"/>
  <c r="I3" i="7"/>
  <c r="G3" i="7"/>
  <c r="A1079" i="4"/>
  <c r="A134" i="4"/>
  <c r="A904" i="4"/>
  <c r="A9" i="4"/>
  <c r="A879" i="4"/>
  <c r="A119" i="4"/>
  <c r="A1242" i="4"/>
  <c r="A549" i="4"/>
  <c r="A566" i="4"/>
  <c r="A403" i="4"/>
  <c r="A223" i="4"/>
  <c r="A1136" i="4"/>
  <c r="A891" i="4"/>
  <c r="A1090" i="4"/>
  <c r="A135" i="4"/>
  <c r="A848" i="4"/>
  <c r="K33" i="2"/>
  <c r="A10" i="4"/>
  <c r="A31" i="4"/>
  <c r="A231" i="4"/>
  <c r="A279" i="4"/>
  <c r="A313" i="4"/>
  <c r="A901" i="4"/>
  <c r="A1069" i="4"/>
  <c r="A149" i="4"/>
  <c r="A298" i="4"/>
  <c r="A325" i="4"/>
  <c r="A356" i="4"/>
  <c r="A468" i="4"/>
  <c r="A532" i="4"/>
  <c r="A611" i="4"/>
  <c r="A661" i="4"/>
  <c r="A691" i="4"/>
  <c r="A692" i="4"/>
  <c r="A711" i="4"/>
  <c r="A918" i="4"/>
  <c r="A574" i="4"/>
  <c r="A979" i="4"/>
  <c r="A693" i="4"/>
  <c r="A919" i="4"/>
  <c r="A1237" i="4"/>
  <c r="A158" i="4"/>
  <c r="A309" i="4"/>
  <c r="A394" i="4"/>
  <c r="A421" i="4"/>
  <c r="A665" i="4"/>
  <c r="A1044" i="4"/>
  <c r="A513" i="4"/>
  <c r="A927" i="4"/>
  <c r="A1157" i="4"/>
  <c r="A254" i="4"/>
  <c r="A174" i="4"/>
  <c r="A974" i="4"/>
  <c r="A350" i="4"/>
  <c r="A1040" i="4"/>
  <c r="A141" i="4"/>
  <c r="A392" i="4"/>
  <c r="A8" i="4"/>
  <c r="A635" i="4"/>
  <c r="A869" i="4"/>
  <c r="A302" i="4"/>
  <c r="A245" i="4"/>
  <c r="A327" i="4"/>
  <c r="A850" i="4"/>
  <c r="A93" i="4"/>
  <c r="A422" i="4"/>
  <c r="A1169" i="4"/>
  <c r="A249" i="4"/>
  <c r="A170" i="4"/>
  <c r="A193" i="4"/>
  <c r="A342" i="4"/>
  <c r="A483" i="4"/>
  <c r="A777" i="4"/>
  <c r="A1170" i="4"/>
  <c r="A456" i="4"/>
  <c r="A1259" i="4"/>
  <c r="A419" i="4"/>
  <c r="A144" i="4"/>
  <c r="A695" i="4"/>
  <c r="A1081" i="4"/>
  <c r="A1126" i="4"/>
  <c r="A384" i="4"/>
  <c r="A493" i="4"/>
  <c r="A913" i="4"/>
  <c r="A323" i="4"/>
  <c r="A994" i="4"/>
  <c r="A311" i="4"/>
  <c r="A509" i="4"/>
  <c r="A120" i="4"/>
  <c r="A336" i="4"/>
  <c r="A407" i="4"/>
  <c r="A1202" i="4"/>
  <c r="A1203" i="4"/>
  <c r="A914" i="4"/>
  <c r="A355" i="4"/>
  <c r="A494" i="4"/>
  <c r="A26" i="4"/>
  <c r="A444" i="4"/>
  <c r="A455" i="4"/>
  <c r="A944" i="4"/>
  <c r="A1057" i="4"/>
  <c r="A1058" i="4"/>
  <c r="A1143" i="4"/>
  <c r="A217" i="4"/>
  <c r="A740" i="4"/>
  <c r="A1226" i="4"/>
  <c r="A916" i="4"/>
  <c r="A12" i="4"/>
  <c r="A823" i="4"/>
  <c r="A410" i="4"/>
  <c r="A19" i="4"/>
  <c r="A20" i="4"/>
  <c r="A63" i="4"/>
  <c r="A64" i="4"/>
  <c r="A65" i="4"/>
  <c r="A108" i="4"/>
  <c r="A109" i="4"/>
  <c r="A131" i="4"/>
  <c r="A145" i="4"/>
  <c r="A159" i="4"/>
  <c r="A172" i="4"/>
  <c r="A196" i="4"/>
  <c r="A206" i="4"/>
  <c r="A226" i="4"/>
  <c r="A256" i="4"/>
  <c r="A310" i="4"/>
  <c r="A335" i="4"/>
  <c r="A337" i="4"/>
  <c r="A352" i="4"/>
  <c r="A385" i="4"/>
  <c r="A402" i="4"/>
  <c r="A418" i="4"/>
  <c r="A472" i="4"/>
  <c r="A482" i="4"/>
  <c r="A544" i="4"/>
  <c r="A545" i="4"/>
  <c r="A546" i="4"/>
  <c r="A558" i="4"/>
  <c r="A576" i="4"/>
  <c r="A592" i="4"/>
  <c r="A601" i="4"/>
  <c r="A642" i="4"/>
  <c r="A643" i="4"/>
  <c r="A644" i="4"/>
  <c r="A674" i="4"/>
  <c r="A676" i="4"/>
  <c r="A677" i="4"/>
  <c r="A715" i="4"/>
  <c r="A719" i="4"/>
  <c r="A752" i="4"/>
  <c r="A765" i="4"/>
  <c r="A807" i="4"/>
  <c r="A882" i="4"/>
  <c r="A883" i="4"/>
  <c r="A937" i="4"/>
  <c r="A938" i="4"/>
  <c r="A961" i="4"/>
  <c r="A962" i="4"/>
  <c r="A1026" i="4"/>
  <c r="A1031" i="4"/>
  <c r="A1032" i="4"/>
  <c r="A1061" i="4"/>
  <c r="A1084" i="4"/>
  <c r="A1111" i="4"/>
  <c r="A1148" i="4"/>
  <c r="A1178" i="4"/>
  <c r="A1179" i="4"/>
  <c r="A1180" i="4"/>
  <c r="A1181" i="4"/>
  <c r="A1232" i="4"/>
  <c r="A1240" i="4"/>
  <c r="A1241" i="4"/>
  <c r="A678" i="4"/>
  <c r="A884" i="4"/>
  <c r="A645" i="4"/>
  <c r="A860" i="4"/>
  <c r="A66" i="4"/>
  <c r="A766" i="4"/>
  <c r="A619" i="4"/>
  <c r="A386" i="4"/>
  <c r="A939" i="4"/>
  <c r="A1010" i="4"/>
  <c r="A565" i="4"/>
  <c r="A657" i="4"/>
  <c r="A606" i="4"/>
  <c r="A533" i="4"/>
  <c r="A49" i="4"/>
  <c r="A235" i="4"/>
  <c r="A716" i="4"/>
  <c r="A84" i="4"/>
  <c r="A552" i="4"/>
  <c r="A534" i="4"/>
  <c r="A686" i="4"/>
  <c r="A14" i="4"/>
  <c r="A55" i="4"/>
  <c r="A762" i="4"/>
  <c r="A514" i="4"/>
  <c r="A499" i="4"/>
  <c r="A289" i="4"/>
  <c r="A1062" i="4"/>
  <c r="A940" i="4"/>
  <c r="A364" i="4"/>
  <c r="A220" i="4"/>
  <c r="A164" i="4"/>
  <c r="A890" i="4"/>
  <c r="A915" i="4"/>
  <c r="A629" i="4"/>
  <c r="A390" i="4"/>
  <c r="A262" i="4"/>
  <c r="A714" i="4"/>
  <c r="A864" i="4"/>
  <c r="A1007" i="4"/>
  <c r="A867" i="4"/>
  <c r="A5" i="4"/>
  <c r="A130" i="4"/>
  <c r="O390" i="6"/>
  <c r="M390" i="6"/>
  <c r="I390" i="6"/>
  <c r="G390" i="6"/>
  <c r="E390" i="6"/>
  <c r="A366" i="6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O363" i="6"/>
  <c r="M363" i="6"/>
  <c r="K363" i="6"/>
  <c r="I363" i="6"/>
  <c r="G363" i="6"/>
  <c r="A953" i="4"/>
  <c r="A804" i="4"/>
  <c r="A780" i="4"/>
  <c r="O210" i="5"/>
  <c r="M210" i="5"/>
  <c r="I210" i="5"/>
  <c r="G210" i="5"/>
  <c r="E210" i="5"/>
  <c r="A186" i="5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O183" i="5"/>
  <c r="M183" i="5"/>
  <c r="K183" i="5"/>
  <c r="I183" i="5"/>
  <c r="G183" i="5"/>
  <c r="A537" i="4"/>
  <c r="A668" i="4"/>
  <c r="A845" i="4"/>
  <c r="A240" i="4"/>
  <c r="A1264" i="4"/>
  <c r="A1101" i="4"/>
  <c r="A329" i="4"/>
  <c r="A813" i="4"/>
  <c r="A140" i="4"/>
  <c r="A893" i="4"/>
  <c r="A1108" i="4"/>
  <c r="A689" i="4"/>
  <c r="A737" i="4"/>
  <c r="A443" i="4"/>
  <c r="A280" i="4"/>
  <c r="A78" i="4"/>
  <c r="A832" i="4"/>
  <c r="A77" i="4"/>
  <c r="A1053" i="4"/>
  <c r="A366" i="4"/>
  <c r="A346" i="4"/>
  <c r="A365" i="4"/>
  <c r="A1197" i="4"/>
  <c r="A142" i="4"/>
  <c r="A273" i="4"/>
  <c r="A988" i="4"/>
  <c r="A593" i="4"/>
  <c r="O360" i="6"/>
  <c r="M360" i="6"/>
  <c r="I360" i="6"/>
  <c r="G360" i="6"/>
  <c r="E360" i="6"/>
  <c r="A336" i="6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O333" i="6"/>
  <c r="M333" i="6"/>
  <c r="K333" i="6"/>
  <c r="I333" i="6"/>
  <c r="G333" i="6"/>
  <c r="A563" i="4"/>
  <c r="E563" i="4"/>
  <c r="A758" i="4"/>
  <c r="A34" i="4"/>
  <c r="A917" i="4"/>
  <c r="A208" i="4"/>
  <c r="A658" i="4"/>
  <c r="A578" i="4"/>
  <c r="A905" i="4"/>
  <c r="A47" i="4"/>
  <c r="A696" i="4"/>
  <c r="A97" i="4"/>
  <c r="A24" i="4"/>
  <c r="A454" i="4"/>
  <c r="A1001" i="4"/>
  <c r="A1227" i="4"/>
  <c r="A1114" i="4"/>
  <c r="A60" i="4"/>
  <c r="A427" i="4"/>
  <c r="A753" i="4"/>
  <c r="A94" i="4"/>
  <c r="A959" i="4"/>
  <c r="A1030" i="4"/>
  <c r="A57" i="4"/>
  <c r="A634" i="4"/>
  <c r="A54" i="4"/>
  <c r="A759" i="4"/>
  <c r="A234" i="4"/>
  <c r="A659" i="4"/>
  <c r="A579" i="4"/>
  <c r="A152" i="4"/>
  <c r="A612" i="4"/>
  <c r="A710" i="4"/>
  <c r="A760" i="4"/>
  <c r="A281" i="4"/>
  <c r="A573" i="4"/>
  <c r="O360" i="2"/>
  <c r="M360" i="2"/>
  <c r="I360" i="2"/>
  <c r="G360" i="2"/>
  <c r="E360" i="2"/>
  <c r="A336" i="2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O333" i="2"/>
  <c r="M333" i="2"/>
  <c r="K333" i="2"/>
  <c r="I333" i="2"/>
  <c r="G333" i="2"/>
  <c r="O210" i="2"/>
  <c r="M210" i="2"/>
  <c r="I210" i="2"/>
  <c r="G210" i="2"/>
  <c r="E210" i="2"/>
  <c r="A186" i="2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O183" i="2"/>
  <c r="M183" i="2"/>
  <c r="K183" i="2"/>
  <c r="I183" i="2"/>
  <c r="G183" i="2"/>
  <c r="A984" i="4"/>
  <c r="O60" i="2"/>
  <c r="M60" i="2"/>
  <c r="I60" i="2"/>
  <c r="G60" i="2"/>
  <c r="E60" i="2"/>
  <c r="A36" i="2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O33" i="2"/>
  <c r="M33" i="2"/>
  <c r="I33" i="2"/>
  <c r="G33" i="2"/>
  <c r="A898" i="4"/>
  <c r="A1217" i="4"/>
  <c r="A255" i="4"/>
  <c r="A1174" i="4"/>
  <c r="A343" i="4"/>
  <c r="A471" i="4"/>
  <c r="A1025" i="4"/>
  <c r="A107" i="4"/>
  <c r="A936" i="4"/>
  <c r="A1228" i="4"/>
  <c r="A521" i="4"/>
  <c r="A426" i="4"/>
  <c r="A1260" i="4"/>
  <c r="A957" i="4"/>
  <c r="A1041" i="4"/>
  <c r="A16" i="4"/>
  <c r="A56" i="4"/>
  <c r="A741" i="4"/>
  <c r="A895" i="4"/>
  <c r="A445" i="4"/>
  <c r="A956" i="4"/>
  <c r="A50" i="4"/>
  <c r="A236" i="4"/>
  <c r="A598" i="4"/>
  <c r="A896" i="4"/>
  <c r="A76" i="4"/>
  <c r="A73" i="4"/>
  <c r="A259" i="4"/>
  <c r="A910" i="4"/>
  <c r="A1187" i="4"/>
  <c r="A1246" i="4"/>
  <c r="A1104" i="4"/>
  <c r="A538" i="4"/>
  <c r="A941" i="4"/>
  <c r="A1094" i="4"/>
  <c r="A1105" i="4"/>
  <c r="A194" i="4"/>
  <c r="A338" i="4"/>
  <c r="A1095" i="4"/>
  <c r="A102" i="4"/>
  <c r="A460" i="4"/>
  <c r="A216" i="4"/>
  <c r="A118" i="4"/>
  <c r="A125" i="4"/>
  <c r="A560" i="4"/>
  <c r="A179" i="4"/>
  <c r="E179" i="4"/>
  <c r="A406" i="4"/>
  <c r="A568" i="4"/>
  <c r="A507" i="4"/>
  <c r="A404" i="4"/>
  <c r="A1137" i="4"/>
  <c r="A1243" i="4"/>
  <c r="A261" i="4"/>
  <c r="A429" i="4"/>
  <c r="A1064" i="4"/>
  <c r="A1182" i="4"/>
  <c r="A1002" i="4"/>
  <c r="A474" i="4"/>
  <c r="A295" i="4"/>
  <c r="A785" i="4"/>
  <c r="A624" i="4"/>
  <c r="A1149" i="4"/>
  <c r="A1014" i="4"/>
  <c r="A559" i="4"/>
  <c r="A990" i="4"/>
  <c r="A875" i="4"/>
  <c r="A1117" i="4"/>
  <c r="A506" i="4"/>
  <c r="A1028" i="4"/>
  <c r="A345" i="4"/>
  <c r="A301" i="4"/>
  <c r="A603" i="4"/>
  <c r="A561" i="4"/>
  <c r="A1063" i="4"/>
  <c r="A388" i="4"/>
  <c r="A655" i="4"/>
  <c r="A46" i="4"/>
  <c r="A720" i="4"/>
  <c r="A1265" i="4"/>
  <c r="A48" i="4"/>
  <c r="A596" i="4"/>
  <c r="A180" i="4"/>
  <c r="A572" i="4"/>
  <c r="A1017" i="4"/>
  <c r="A748" i="4"/>
  <c r="A166" i="4"/>
  <c r="A992" i="4"/>
  <c r="A1244" i="4"/>
  <c r="A1074" i="4"/>
  <c r="A1065" i="4"/>
  <c r="A899" i="4"/>
  <c r="A641" i="4"/>
  <c r="A86" i="4" l="1"/>
  <c r="A44" i="4"/>
  <c r="A1188" i="4"/>
  <c r="A414" i="4"/>
  <c r="A608" i="4"/>
  <c r="A319" i="4"/>
  <c r="A555" i="4"/>
  <c r="A581" i="4"/>
  <c r="A272" i="4"/>
  <c r="A495" i="4"/>
  <c r="A1258" i="4"/>
  <c r="A1245" i="4"/>
  <c r="A892" i="4"/>
  <c r="A416" i="4"/>
  <c r="A373" i="4"/>
  <c r="A430" i="4"/>
  <c r="A30" i="4"/>
  <c r="A528" i="4"/>
  <c r="E528" i="4"/>
  <c r="A156" i="4"/>
  <c r="E156" i="4"/>
  <c r="A1175" i="4"/>
  <c r="A381" i="4"/>
  <c r="A1248" i="4"/>
  <c r="A126" i="4"/>
  <c r="A359" i="4"/>
  <c r="A1110" i="4"/>
  <c r="A1189" i="4"/>
  <c r="A1046" i="4"/>
  <c r="A1071" i="4"/>
  <c r="A362" i="4"/>
  <c r="O270" i="15"/>
  <c r="M270" i="15"/>
  <c r="I270" i="15"/>
  <c r="G270" i="15"/>
  <c r="E270" i="15"/>
  <c r="A253" i="15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46" i="15"/>
  <c r="A247" i="15" s="1"/>
  <c r="A248" i="15" s="1"/>
  <c r="A249" i="15" s="1"/>
  <c r="A250" i="15" s="1"/>
  <c r="A251" i="15" s="1"/>
  <c r="A252" i="15" s="1"/>
  <c r="O243" i="15"/>
  <c r="M243" i="15"/>
  <c r="K243" i="15"/>
  <c r="I243" i="15"/>
  <c r="G243" i="15"/>
  <c r="O240" i="15"/>
  <c r="M240" i="15"/>
  <c r="I240" i="15"/>
  <c r="G240" i="15"/>
  <c r="E240" i="15"/>
  <c r="A217" i="15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16" i="15"/>
  <c r="O213" i="15"/>
  <c r="M213" i="15"/>
  <c r="K213" i="15"/>
  <c r="I213" i="15"/>
  <c r="G213" i="15"/>
  <c r="O210" i="15"/>
  <c r="M210" i="15"/>
  <c r="I210" i="15"/>
  <c r="G210" i="15"/>
  <c r="E210" i="15"/>
  <c r="A192" i="15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191" i="15"/>
  <c r="A186" i="15"/>
  <c r="A187" i="15" s="1"/>
  <c r="A188" i="15" s="1"/>
  <c r="A189" i="15" s="1"/>
  <c r="A190" i="15" s="1"/>
  <c r="O183" i="15"/>
  <c r="M183" i="15"/>
  <c r="K183" i="15"/>
  <c r="I183" i="15"/>
  <c r="G183" i="15"/>
  <c r="O180" i="15"/>
  <c r="M180" i="15"/>
  <c r="I180" i="15"/>
  <c r="G180" i="15"/>
  <c r="E180" i="15"/>
  <c r="A156" i="15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O153" i="15"/>
  <c r="M153" i="15"/>
  <c r="K153" i="15"/>
  <c r="I153" i="15"/>
  <c r="G153" i="15"/>
  <c r="O150" i="15"/>
  <c r="M150" i="15"/>
  <c r="I150" i="15"/>
  <c r="G150" i="15"/>
  <c r="E150" i="15"/>
  <c r="A130" i="15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29" i="15"/>
  <c r="A126" i="15"/>
  <c r="A127" i="15" s="1"/>
  <c r="A128" i="15" s="1"/>
  <c r="O123" i="15"/>
  <c r="M123" i="15"/>
  <c r="K123" i="15"/>
  <c r="I123" i="15"/>
  <c r="G123" i="15"/>
  <c r="O120" i="15"/>
  <c r="M120" i="15"/>
  <c r="I120" i="15"/>
  <c r="G120" i="15"/>
  <c r="E120" i="15"/>
  <c r="A96" i="15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O93" i="15"/>
  <c r="M93" i="15"/>
  <c r="K93" i="15"/>
  <c r="I93" i="15"/>
  <c r="G93" i="15"/>
  <c r="O90" i="15"/>
  <c r="M90" i="15"/>
  <c r="I90" i="15"/>
  <c r="G90" i="15"/>
  <c r="E90" i="15"/>
  <c r="A67" i="15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66" i="15"/>
  <c r="O63" i="15"/>
  <c r="M63" i="15"/>
  <c r="K63" i="15"/>
  <c r="I63" i="15"/>
  <c r="G63" i="15"/>
  <c r="O60" i="15"/>
  <c r="M60" i="15"/>
  <c r="I60" i="15"/>
  <c r="G60" i="15"/>
  <c r="E60" i="15"/>
  <c r="A36" i="15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O33" i="15"/>
  <c r="M33" i="15"/>
  <c r="K33" i="15"/>
  <c r="I33" i="15"/>
  <c r="G33" i="15"/>
  <c r="A31" i="15"/>
  <c r="A61" i="15" s="1"/>
  <c r="A91" i="15" s="1"/>
  <c r="A121" i="15" s="1"/>
  <c r="A151" i="15" s="1"/>
  <c r="A181" i="15" s="1"/>
  <c r="A211" i="15" s="1"/>
  <c r="A241" i="15" s="1"/>
  <c r="O30" i="15"/>
  <c r="M30" i="15"/>
  <c r="I30" i="15"/>
  <c r="G30" i="15"/>
  <c r="R2" i="15" s="1"/>
  <c r="E30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O3" i="15"/>
  <c r="M3" i="15"/>
  <c r="K3" i="15"/>
  <c r="I3" i="15"/>
  <c r="G3" i="15"/>
  <c r="Z2" i="15"/>
  <c r="V2" i="15"/>
  <c r="F1284" i="4"/>
  <c r="W1284" i="4"/>
  <c r="L1284" i="4"/>
  <c r="M1284" i="4"/>
  <c r="N1284" i="4"/>
  <c r="O1284" i="4"/>
  <c r="P1284" i="4"/>
  <c r="V1284" i="4"/>
  <c r="A267" i="4"/>
  <c r="A602" i="4"/>
  <c r="A72" i="4"/>
  <c r="A1018" i="4"/>
  <c r="T7" i="2"/>
  <c r="V7" i="2"/>
  <c r="X7" i="2"/>
  <c r="Z7" i="2"/>
  <c r="AB7" i="2"/>
  <c r="R7" i="2"/>
  <c r="K843" i="2"/>
  <c r="K813" i="2"/>
  <c r="K783" i="2"/>
  <c r="K753" i="2"/>
  <c r="K723" i="2"/>
  <c r="K693" i="2"/>
  <c r="K663" i="2"/>
  <c r="K633" i="2"/>
  <c r="K603" i="2"/>
  <c r="K573" i="2"/>
  <c r="K543" i="2"/>
  <c r="K513" i="2"/>
  <c r="K483" i="2"/>
  <c r="K453" i="2"/>
  <c r="K423" i="2"/>
  <c r="K393" i="2"/>
  <c r="K363" i="2"/>
  <c r="K303" i="2"/>
  <c r="K273" i="2"/>
  <c r="K243" i="2"/>
  <c r="K213" i="2"/>
  <c r="K153" i="2"/>
  <c r="K123" i="2"/>
  <c r="K93" i="2"/>
  <c r="K63" i="2"/>
  <c r="K543" i="5"/>
  <c r="K513" i="5"/>
  <c r="K483" i="5"/>
  <c r="K453" i="5"/>
  <c r="K423" i="5"/>
  <c r="K393" i="5"/>
  <c r="K363" i="5"/>
  <c r="K333" i="5"/>
  <c r="K303" i="5"/>
  <c r="K273" i="5"/>
  <c r="K243" i="5"/>
  <c r="K213" i="5"/>
  <c r="K153" i="5"/>
  <c r="K123" i="5"/>
  <c r="K93" i="5"/>
  <c r="K63" i="5"/>
  <c r="K33" i="5"/>
  <c r="V2" i="5" s="1"/>
  <c r="K303" i="6"/>
  <c r="K273" i="6"/>
  <c r="K243" i="6"/>
  <c r="K213" i="6"/>
  <c r="K183" i="6"/>
  <c r="K153" i="6"/>
  <c r="K123" i="6"/>
  <c r="K93" i="6"/>
  <c r="K63" i="6"/>
  <c r="K33" i="6"/>
  <c r="K243" i="7"/>
  <c r="K213" i="7"/>
  <c r="K183" i="7"/>
  <c r="K153" i="7"/>
  <c r="K123" i="7"/>
  <c r="K93" i="7"/>
  <c r="V2" i="7"/>
  <c r="K243" i="8"/>
  <c r="K213" i="8"/>
  <c r="K183" i="8"/>
  <c r="I183" i="8"/>
  <c r="K153" i="8"/>
  <c r="I123" i="8"/>
  <c r="K123" i="8"/>
  <c r="K93" i="8"/>
  <c r="K63" i="8"/>
  <c r="K33" i="8"/>
  <c r="K3" i="8"/>
  <c r="V3" i="5"/>
  <c r="V4" i="5"/>
  <c r="V5" i="5"/>
  <c r="V6" i="5"/>
  <c r="V7" i="5"/>
  <c r="O572" i="5"/>
  <c r="M572" i="5"/>
  <c r="I572" i="5"/>
  <c r="G572" i="5"/>
  <c r="R7" i="5" s="1"/>
  <c r="E572" i="5"/>
  <c r="A546" i="5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O543" i="5"/>
  <c r="M543" i="5"/>
  <c r="I543" i="5"/>
  <c r="G543" i="5"/>
  <c r="O540" i="5"/>
  <c r="M540" i="5"/>
  <c r="I540" i="5"/>
  <c r="G540" i="5"/>
  <c r="E540" i="5"/>
  <c r="A516" i="5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O513" i="5"/>
  <c r="M513" i="5"/>
  <c r="I513" i="5"/>
  <c r="G513" i="5"/>
  <c r="O510" i="5"/>
  <c r="M510" i="5"/>
  <c r="I510" i="5"/>
  <c r="G510" i="5"/>
  <c r="E510" i="5"/>
  <c r="A486" i="5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O483" i="5"/>
  <c r="M483" i="5"/>
  <c r="I483" i="5"/>
  <c r="G483" i="5"/>
  <c r="O480" i="5"/>
  <c r="M480" i="5"/>
  <c r="I480" i="5"/>
  <c r="G480" i="5"/>
  <c r="E480" i="5"/>
  <c r="A456" i="5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O453" i="5"/>
  <c r="M453" i="5"/>
  <c r="I453" i="5"/>
  <c r="G453" i="5"/>
  <c r="O450" i="5"/>
  <c r="M450" i="5"/>
  <c r="I450" i="5"/>
  <c r="G450" i="5"/>
  <c r="E450" i="5"/>
  <c r="A426" i="5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O423" i="5"/>
  <c r="M423" i="5"/>
  <c r="I423" i="5"/>
  <c r="G423" i="5"/>
  <c r="O420" i="5"/>
  <c r="M420" i="5"/>
  <c r="I420" i="5"/>
  <c r="G420" i="5"/>
  <c r="E420" i="5"/>
  <c r="A396" i="5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O393" i="5"/>
  <c r="M393" i="5"/>
  <c r="I393" i="5"/>
  <c r="G393" i="5"/>
  <c r="O390" i="5"/>
  <c r="M390" i="5"/>
  <c r="I390" i="5"/>
  <c r="G390" i="5"/>
  <c r="E390" i="5"/>
  <c r="A366" i="5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O363" i="5"/>
  <c r="M363" i="5"/>
  <c r="I363" i="5"/>
  <c r="G363" i="5"/>
  <c r="O360" i="5"/>
  <c r="M360" i="5"/>
  <c r="I360" i="5"/>
  <c r="G360" i="5"/>
  <c r="E360" i="5"/>
  <c r="A336" i="5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O333" i="5"/>
  <c r="M333" i="5"/>
  <c r="I333" i="5"/>
  <c r="G333" i="5"/>
  <c r="O330" i="5"/>
  <c r="M330" i="5"/>
  <c r="I330" i="5"/>
  <c r="G330" i="5"/>
  <c r="E330" i="5"/>
  <c r="A306" i="5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O303" i="5"/>
  <c r="M303" i="5"/>
  <c r="I303" i="5"/>
  <c r="G303" i="5"/>
  <c r="O300" i="5"/>
  <c r="M300" i="5"/>
  <c r="I300" i="5"/>
  <c r="G300" i="5"/>
  <c r="E300" i="5"/>
  <c r="A276" i="5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O273" i="5"/>
  <c r="M273" i="5"/>
  <c r="I273" i="5"/>
  <c r="G273" i="5"/>
  <c r="O270" i="5"/>
  <c r="M270" i="5"/>
  <c r="I270" i="5"/>
  <c r="G270" i="5"/>
  <c r="E270" i="5"/>
  <c r="A246" i="5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O243" i="5"/>
  <c r="M243" i="5"/>
  <c r="I243" i="5"/>
  <c r="G243" i="5"/>
  <c r="O240" i="5"/>
  <c r="M240" i="5"/>
  <c r="I240" i="5"/>
  <c r="G240" i="5"/>
  <c r="E240" i="5"/>
  <c r="A216" i="5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O213" i="5"/>
  <c r="M213" i="5"/>
  <c r="I213" i="5"/>
  <c r="G213" i="5"/>
  <c r="O180" i="5"/>
  <c r="M180" i="5"/>
  <c r="I180" i="5"/>
  <c r="T4" i="5" s="1"/>
  <c r="G180" i="5"/>
  <c r="E180" i="5"/>
  <c r="A156" i="5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O153" i="5"/>
  <c r="M153" i="5"/>
  <c r="I153" i="5"/>
  <c r="G153" i="5"/>
  <c r="O150" i="5"/>
  <c r="Z3" i="5" s="1"/>
  <c r="M150" i="5"/>
  <c r="I150" i="5"/>
  <c r="G150" i="5"/>
  <c r="E150" i="5"/>
  <c r="A126" i="5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O123" i="5"/>
  <c r="M123" i="5"/>
  <c r="I123" i="5"/>
  <c r="G123" i="5"/>
  <c r="O120" i="5"/>
  <c r="M120" i="5"/>
  <c r="I120" i="5"/>
  <c r="G120" i="5"/>
  <c r="E120" i="5"/>
  <c r="A96" i="5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O93" i="5"/>
  <c r="M93" i="5"/>
  <c r="I93" i="5"/>
  <c r="G93" i="5"/>
  <c r="O90" i="5"/>
  <c r="M90" i="5"/>
  <c r="I90" i="5"/>
  <c r="G90" i="5"/>
  <c r="E90" i="5"/>
  <c r="A66" i="5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O63" i="5"/>
  <c r="M63" i="5"/>
  <c r="I63" i="5"/>
  <c r="G63" i="5"/>
  <c r="O60" i="5"/>
  <c r="M60" i="5"/>
  <c r="I60" i="5"/>
  <c r="G60" i="5"/>
  <c r="E60" i="5"/>
  <c r="A36" i="5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O33" i="5"/>
  <c r="M33" i="5"/>
  <c r="I33" i="5"/>
  <c r="G33" i="5"/>
  <c r="A31" i="5"/>
  <c r="A61" i="5" s="1"/>
  <c r="A91" i="5" s="1"/>
  <c r="A121" i="5" s="1"/>
  <c r="O30" i="5"/>
  <c r="M30" i="5"/>
  <c r="I30" i="5"/>
  <c r="G30" i="5"/>
  <c r="E30" i="5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O3" i="5"/>
  <c r="M3" i="5"/>
  <c r="K3" i="5"/>
  <c r="I3" i="5"/>
  <c r="G3" i="5"/>
  <c r="O270" i="12"/>
  <c r="M270" i="12"/>
  <c r="I270" i="12"/>
  <c r="G270" i="12"/>
  <c r="E270" i="12"/>
  <c r="A246" i="12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O243" i="12"/>
  <c r="M243" i="12"/>
  <c r="I243" i="12"/>
  <c r="G243" i="12"/>
  <c r="O240" i="12"/>
  <c r="M240" i="12"/>
  <c r="I240" i="12"/>
  <c r="G240" i="12"/>
  <c r="E240" i="12"/>
  <c r="A217" i="12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16" i="12"/>
  <c r="O213" i="12"/>
  <c r="M213" i="12"/>
  <c r="I213" i="12"/>
  <c r="G213" i="12"/>
  <c r="O210" i="12"/>
  <c r="M210" i="12"/>
  <c r="I210" i="12"/>
  <c r="G210" i="12"/>
  <c r="E210" i="12"/>
  <c r="A186" i="12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O183" i="12"/>
  <c r="M183" i="12"/>
  <c r="I183" i="12"/>
  <c r="G183" i="12"/>
  <c r="O180" i="12"/>
  <c r="M180" i="12"/>
  <c r="I180" i="12"/>
  <c r="G180" i="12"/>
  <c r="E180" i="12"/>
  <c r="A157" i="12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56" i="12"/>
  <c r="O153" i="12"/>
  <c r="M153" i="12"/>
  <c r="I153" i="12"/>
  <c r="G153" i="12"/>
  <c r="O150" i="12"/>
  <c r="M150" i="12"/>
  <c r="I150" i="12"/>
  <c r="G150" i="12"/>
  <c r="E150" i="12"/>
  <c r="A126" i="12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O123" i="12"/>
  <c r="M123" i="12"/>
  <c r="I123" i="12"/>
  <c r="G123" i="12"/>
  <c r="O120" i="12"/>
  <c r="M120" i="12"/>
  <c r="I120" i="12"/>
  <c r="G120" i="12"/>
  <c r="E120" i="12"/>
  <c r="A96" i="12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O93" i="12"/>
  <c r="M93" i="12"/>
  <c r="I93" i="12"/>
  <c r="G93" i="12"/>
  <c r="O90" i="12"/>
  <c r="M90" i="12"/>
  <c r="I90" i="12"/>
  <c r="G90" i="12"/>
  <c r="E90" i="12"/>
  <c r="A67" i="12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66" i="12"/>
  <c r="O63" i="12"/>
  <c r="M63" i="12"/>
  <c r="I63" i="12"/>
  <c r="G63" i="12"/>
  <c r="O60" i="12"/>
  <c r="M60" i="12"/>
  <c r="I60" i="12"/>
  <c r="G60" i="12"/>
  <c r="R2" i="12" s="1"/>
  <c r="E60" i="12"/>
  <c r="A37" i="12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36" i="12"/>
  <c r="O33" i="12"/>
  <c r="M33" i="12"/>
  <c r="I33" i="12"/>
  <c r="G33" i="12"/>
  <c r="A31" i="12"/>
  <c r="A61" i="12" s="1"/>
  <c r="A91" i="12" s="1"/>
  <c r="A121" i="12" s="1"/>
  <c r="A151" i="12" s="1"/>
  <c r="A181" i="12" s="1"/>
  <c r="A211" i="12" s="1"/>
  <c r="A241" i="12" s="1"/>
  <c r="O30" i="12"/>
  <c r="Z2" i="12" s="1"/>
  <c r="M30" i="12"/>
  <c r="X2" i="12" s="1"/>
  <c r="I30" i="12"/>
  <c r="G30" i="12"/>
  <c r="E30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O3" i="12"/>
  <c r="M3" i="12"/>
  <c r="K3" i="12"/>
  <c r="I3" i="12"/>
  <c r="G3" i="12"/>
  <c r="V2" i="12"/>
  <c r="O270" i="7"/>
  <c r="M270" i="7"/>
  <c r="I270" i="7"/>
  <c r="G270" i="7"/>
  <c r="E270" i="7"/>
  <c r="A246" i="7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O243" i="7"/>
  <c r="M243" i="7"/>
  <c r="I243" i="7"/>
  <c r="G243" i="7"/>
  <c r="O240" i="7"/>
  <c r="M240" i="7"/>
  <c r="I240" i="7"/>
  <c r="G240" i="7"/>
  <c r="E240" i="7"/>
  <c r="A217" i="7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16" i="7"/>
  <c r="O213" i="7"/>
  <c r="M213" i="7"/>
  <c r="I213" i="7"/>
  <c r="G213" i="7"/>
  <c r="O210" i="7"/>
  <c r="M210" i="7"/>
  <c r="I210" i="7"/>
  <c r="G210" i="7"/>
  <c r="E210" i="7"/>
  <c r="A186" i="7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O183" i="7"/>
  <c r="M183" i="7"/>
  <c r="I183" i="7"/>
  <c r="G183" i="7"/>
  <c r="O180" i="7"/>
  <c r="M180" i="7"/>
  <c r="I180" i="7"/>
  <c r="G180" i="7"/>
  <c r="E180" i="7"/>
  <c r="A156" i="7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O153" i="7"/>
  <c r="M153" i="7"/>
  <c r="I153" i="7"/>
  <c r="G153" i="7"/>
  <c r="O150" i="7"/>
  <c r="M150" i="7"/>
  <c r="I150" i="7"/>
  <c r="G150" i="7"/>
  <c r="E150" i="7"/>
  <c r="A126" i="7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O123" i="7"/>
  <c r="M123" i="7"/>
  <c r="I123" i="7"/>
  <c r="G123" i="7"/>
  <c r="O120" i="7"/>
  <c r="M120" i="7"/>
  <c r="I120" i="7"/>
  <c r="G120" i="7"/>
  <c r="E120" i="7"/>
  <c r="A96" i="7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O93" i="7"/>
  <c r="M93" i="7"/>
  <c r="I93" i="7"/>
  <c r="G93" i="7"/>
  <c r="O90" i="7"/>
  <c r="M90" i="7"/>
  <c r="I90" i="7"/>
  <c r="G90" i="7"/>
  <c r="E90" i="7"/>
  <c r="O60" i="7"/>
  <c r="M60" i="7"/>
  <c r="I60" i="7"/>
  <c r="G60" i="7"/>
  <c r="E60" i="7"/>
  <c r="A31" i="7"/>
  <c r="A61" i="7" s="1"/>
  <c r="A91" i="7" s="1"/>
  <c r="A121" i="7" s="1"/>
  <c r="A151" i="7" s="1"/>
  <c r="A181" i="7" s="1"/>
  <c r="A211" i="7" s="1"/>
  <c r="A241" i="7" s="1"/>
  <c r="O30" i="7"/>
  <c r="M30" i="7"/>
  <c r="I30" i="7"/>
  <c r="G30" i="7"/>
  <c r="E30" i="7"/>
  <c r="V3" i="6"/>
  <c r="Z3" i="6"/>
  <c r="V5" i="6"/>
  <c r="O330" i="6"/>
  <c r="M330" i="6"/>
  <c r="I330" i="6"/>
  <c r="G330" i="6"/>
  <c r="E330" i="6"/>
  <c r="A306" i="6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O303" i="6"/>
  <c r="M303" i="6"/>
  <c r="I303" i="6"/>
  <c r="G303" i="6"/>
  <c r="O300" i="6"/>
  <c r="M300" i="6"/>
  <c r="I300" i="6"/>
  <c r="G300" i="6"/>
  <c r="E300" i="6"/>
  <c r="A276" i="6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O273" i="6"/>
  <c r="M273" i="6"/>
  <c r="I273" i="6"/>
  <c r="G273" i="6"/>
  <c r="O270" i="6"/>
  <c r="M270" i="6"/>
  <c r="I270" i="6"/>
  <c r="G270" i="6"/>
  <c r="E270" i="6"/>
  <c r="A246" i="6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O243" i="6"/>
  <c r="M243" i="6"/>
  <c r="I243" i="6"/>
  <c r="G243" i="6"/>
  <c r="O240" i="6"/>
  <c r="M240" i="6"/>
  <c r="I240" i="6"/>
  <c r="G240" i="6"/>
  <c r="E240" i="6"/>
  <c r="A216" i="6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O213" i="6"/>
  <c r="M213" i="6"/>
  <c r="I213" i="6"/>
  <c r="G213" i="6"/>
  <c r="O210" i="6"/>
  <c r="M210" i="6"/>
  <c r="X3" i="6" s="1"/>
  <c r="I210" i="6"/>
  <c r="T3" i="6" s="1"/>
  <c r="G210" i="6"/>
  <c r="E210" i="6"/>
  <c r="A186" i="6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O183" i="6"/>
  <c r="M183" i="6"/>
  <c r="I183" i="6"/>
  <c r="G183" i="6"/>
  <c r="O180" i="6"/>
  <c r="Z5" i="6" s="1"/>
  <c r="M180" i="6"/>
  <c r="X5" i="6" s="1"/>
  <c r="I180" i="6"/>
  <c r="T5" i="6" s="1"/>
  <c r="G180" i="6"/>
  <c r="R5" i="6" s="1"/>
  <c r="E180" i="6"/>
  <c r="A156" i="6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O153" i="6"/>
  <c r="M153" i="6"/>
  <c r="I153" i="6"/>
  <c r="G153" i="6"/>
  <c r="O150" i="6"/>
  <c r="M150" i="6"/>
  <c r="I150" i="6"/>
  <c r="G150" i="6"/>
  <c r="E150" i="6"/>
  <c r="A126" i="6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O123" i="6"/>
  <c r="M123" i="6"/>
  <c r="I123" i="6"/>
  <c r="G123" i="6"/>
  <c r="O120" i="6"/>
  <c r="M120" i="6"/>
  <c r="I120" i="6"/>
  <c r="G120" i="6"/>
  <c r="E120" i="6"/>
  <c r="A96" i="6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O93" i="6"/>
  <c r="M93" i="6"/>
  <c r="I93" i="6"/>
  <c r="G93" i="6"/>
  <c r="O90" i="6"/>
  <c r="M90" i="6"/>
  <c r="I90" i="6"/>
  <c r="G90" i="6"/>
  <c r="E90" i="6"/>
  <c r="A66" i="6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O63" i="6"/>
  <c r="M63" i="6"/>
  <c r="I63" i="6"/>
  <c r="G63" i="6"/>
  <c r="O60" i="6"/>
  <c r="M60" i="6"/>
  <c r="I60" i="6"/>
  <c r="G60" i="6"/>
  <c r="E60" i="6"/>
  <c r="A36" i="6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O33" i="6"/>
  <c r="M33" i="6"/>
  <c r="I33" i="6"/>
  <c r="G33" i="6"/>
  <c r="R2" i="6" s="1"/>
  <c r="A31" i="6"/>
  <c r="A61" i="6" s="1"/>
  <c r="A91" i="6" s="1"/>
  <c r="A121" i="6" s="1"/>
  <c r="A151" i="6" s="1"/>
  <c r="A181" i="6" s="1"/>
  <c r="A211" i="6" s="1"/>
  <c r="A241" i="6" s="1"/>
  <c r="A271" i="6" s="1"/>
  <c r="A301" i="6" s="1"/>
  <c r="A331" i="6" s="1"/>
  <c r="A361" i="6" s="1"/>
  <c r="O30" i="6"/>
  <c r="M30" i="6"/>
  <c r="I30" i="6"/>
  <c r="G30" i="6"/>
  <c r="E30" i="6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O3" i="6"/>
  <c r="M3" i="6"/>
  <c r="K3" i="6"/>
  <c r="I3" i="6"/>
  <c r="G3" i="6"/>
  <c r="T2" i="6"/>
  <c r="O270" i="8"/>
  <c r="M270" i="8"/>
  <c r="I270" i="8"/>
  <c r="G270" i="8"/>
  <c r="E270" i="8"/>
  <c r="A246" i="8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O243" i="8"/>
  <c r="M243" i="8"/>
  <c r="I243" i="8"/>
  <c r="G243" i="8"/>
  <c r="O240" i="8"/>
  <c r="M240" i="8"/>
  <c r="I240" i="8"/>
  <c r="G240" i="8"/>
  <c r="E240" i="8"/>
  <c r="A216" i="8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O213" i="8"/>
  <c r="M213" i="8"/>
  <c r="I213" i="8"/>
  <c r="G213" i="8"/>
  <c r="O210" i="8"/>
  <c r="M210" i="8"/>
  <c r="I210" i="8"/>
  <c r="G210" i="8"/>
  <c r="E210" i="8"/>
  <c r="A186" i="8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O183" i="8"/>
  <c r="M183" i="8"/>
  <c r="G183" i="8"/>
  <c r="O180" i="8"/>
  <c r="M180" i="8"/>
  <c r="I180" i="8"/>
  <c r="G180" i="8"/>
  <c r="E180" i="8"/>
  <c r="A156" i="8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O153" i="8"/>
  <c r="M153" i="8"/>
  <c r="I153" i="8"/>
  <c r="G153" i="8"/>
  <c r="V3" i="2"/>
  <c r="V4" i="2"/>
  <c r="V5" i="2"/>
  <c r="V6" i="2"/>
  <c r="O1080" i="2"/>
  <c r="M1080" i="2"/>
  <c r="I1080" i="2"/>
  <c r="G1080" i="2"/>
  <c r="E1080" i="2"/>
  <c r="A1056" i="2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O1053" i="2"/>
  <c r="M1053" i="2"/>
  <c r="I1053" i="2"/>
  <c r="G1053" i="2"/>
  <c r="O1050" i="2"/>
  <c r="M1050" i="2"/>
  <c r="I1050" i="2"/>
  <c r="G1050" i="2"/>
  <c r="E1050" i="2"/>
  <c r="A1026" i="2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O1023" i="2"/>
  <c r="M1023" i="2"/>
  <c r="I1023" i="2"/>
  <c r="G1023" i="2"/>
  <c r="A1021" i="2"/>
  <c r="A1051" i="2" s="1"/>
  <c r="O1020" i="2"/>
  <c r="M1020" i="2"/>
  <c r="I1020" i="2"/>
  <c r="G1020" i="2"/>
  <c r="E1020" i="2"/>
  <c r="A996" i="2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O993" i="2"/>
  <c r="M993" i="2"/>
  <c r="I993" i="2"/>
  <c r="G993" i="2"/>
  <c r="O990" i="2"/>
  <c r="M990" i="2"/>
  <c r="I990" i="2"/>
  <c r="G990" i="2"/>
  <c r="E990" i="2"/>
  <c r="A966" i="2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O963" i="2"/>
  <c r="M963" i="2"/>
  <c r="I963" i="2"/>
  <c r="G963" i="2"/>
  <c r="O960" i="2"/>
  <c r="M960" i="2"/>
  <c r="I960" i="2"/>
  <c r="G960" i="2"/>
  <c r="E960" i="2"/>
  <c r="A936" i="2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O933" i="2"/>
  <c r="M933" i="2"/>
  <c r="I933" i="2"/>
  <c r="G933" i="2"/>
  <c r="O930" i="2"/>
  <c r="M930" i="2"/>
  <c r="I930" i="2"/>
  <c r="G930" i="2"/>
  <c r="E930" i="2"/>
  <c r="A906" i="2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O903" i="2"/>
  <c r="M903" i="2"/>
  <c r="I903" i="2"/>
  <c r="G903" i="2"/>
  <c r="O900" i="2"/>
  <c r="M900" i="2"/>
  <c r="I900" i="2"/>
  <c r="G900" i="2"/>
  <c r="E900" i="2"/>
  <c r="A876" i="2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O873" i="2"/>
  <c r="M873" i="2"/>
  <c r="I873" i="2"/>
  <c r="G873" i="2"/>
  <c r="O870" i="2"/>
  <c r="M870" i="2"/>
  <c r="I870" i="2"/>
  <c r="G870" i="2"/>
  <c r="E870" i="2"/>
  <c r="A846" i="2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O843" i="2"/>
  <c r="M843" i="2"/>
  <c r="I843" i="2"/>
  <c r="G843" i="2"/>
  <c r="O840" i="2"/>
  <c r="M840" i="2"/>
  <c r="I840" i="2"/>
  <c r="G840" i="2"/>
  <c r="E840" i="2"/>
  <c r="A816" i="2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O813" i="2"/>
  <c r="M813" i="2"/>
  <c r="I813" i="2"/>
  <c r="G813" i="2"/>
  <c r="O810" i="2"/>
  <c r="M810" i="2"/>
  <c r="I810" i="2"/>
  <c r="G810" i="2"/>
  <c r="E810" i="2"/>
  <c r="A786" i="2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O783" i="2"/>
  <c r="M783" i="2"/>
  <c r="I783" i="2"/>
  <c r="G783" i="2"/>
  <c r="A781" i="2"/>
  <c r="A811" i="2" s="1"/>
  <c r="A841" i="2" s="1"/>
  <c r="A871" i="2" s="1"/>
  <c r="A901" i="2" s="1"/>
  <c r="A931" i="2" s="1"/>
  <c r="A961" i="2" s="1"/>
  <c r="O780" i="2"/>
  <c r="M780" i="2"/>
  <c r="I780" i="2"/>
  <c r="G780" i="2"/>
  <c r="E780" i="2"/>
  <c r="A756" i="2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O753" i="2"/>
  <c r="M753" i="2"/>
  <c r="I753" i="2"/>
  <c r="G753" i="2"/>
  <c r="O750" i="2"/>
  <c r="M750" i="2"/>
  <c r="I750" i="2"/>
  <c r="G750" i="2"/>
  <c r="E750" i="2"/>
  <c r="A726" i="2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O723" i="2"/>
  <c r="M723" i="2"/>
  <c r="I723" i="2"/>
  <c r="G723" i="2"/>
  <c r="O720" i="2"/>
  <c r="M720" i="2"/>
  <c r="I720" i="2"/>
  <c r="G720" i="2"/>
  <c r="E720" i="2"/>
  <c r="A696" i="2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O693" i="2"/>
  <c r="M693" i="2"/>
  <c r="I693" i="2"/>
  <c r="G693" i="2"/>
  <c r="O690" i="2"/>
  <c r="M690" i="2"/>
  <c r="I690" i="2"/>
  <c r="G690" i="2"/>
  <c r="E690" i="2"/>
  <c r="A666" i="2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O663" i="2"/>
  <c r="M663" i="2"/>
  <c r="I663" i="2"/>
  <c r="G663" i="2"/>
  <c r="O660" i="2"/>
  <c r="M660" i="2"/>
  <c r="I660" i="2"/>
  <c r="G660" i="2"/>
  <c r="E660" i="2"/>
  <c r="A636" i="2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O633" i="2"/>
  <c r="M633" i="2"/>
  <c r="I633" i="2"/>
  <c r="G633" i="2"/>
  <c r="O630" i="2"/>
  <c r="M630" i="2"/>
  <c r="I630" i="2"/>
  <c r="G630" i="2"/>
  <c r="E630" i="2"/>
  <c r="A606" i="2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O603" i="2"/>
  <c r="M603" i="2"/>
  <c r="I603" i="2"/>
  <c r="G603" i="2"/>
  <c r="O600" i="2"/>
  <c r="M600" i="2"/>
  <c r="I600" i="2"/>
  <c r="G600" i="2"/>
  <c r="E600" i="2"/>
  <c r="A576" i="2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O573" i="2"/>
  <c r="M573" i="2"/>
  <c r="I573" i="2"/>
  <c r="G573" i="2"/>
  <c r="O570" i="2"/>
  <c r="M570" i="2"/>
  <c r="I570" i="2"/>
  <c r="G570" i="2"/>
  <c r="E570" i="2"/>
  <c r="A546" i="2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O543" i="2"/>
  <c r="M543" i="2"/>
  <c r="I543" i="2"/>
  <c r="G543" i="2"/>
  <c r="A541" i="2"/>
  <c r="A571" i="2" s="1"/>
  <c r="A601" i="2" s="1"/>
  <c r="A631" i="2" s="1"/>
  <c r="A661" i="2" s="1"/>
  <c r="A691" i="2" s="1"/>
  <c r="A721" i="2" s="1"/>
  <c r="O540" i="2"/>
  <c r="M540" i="2"/>
  <c r="I540" i="2"/>
  <c r="G540" i="2"/>
  <c r="E540" i="2"/>
  <c r="A516" i="2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O513" i="2"/>
  <c r="M513" i="2"/>
  <c r="I513" i="2"/>
  <c r="G513" i="2"/>
  <c r="O510" i="2"/>
  <c r="M510" i="2"/>
  <c r="I510" i="2"/>
  <c r="G510" i="2"/>
  <c r="E510" i="2"/>
  <c r="A486" i="2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O483" i="2"/>
  <c r="M483" i="2"/>
  <c r="I483" i="2"/>
  <c r="G483" i="2"/>
  <c r="O480" i="2"/>
  <c r="M480" i="2"/>
  <c r="I480" i="2"/>
  <c r="G480" i="2"/>
  <c r="E480" i="2"/>
  <c r="A456" i="2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O453" i="2"/>
  <c r="M453" i="2"/>
  <c r="I453" i="2"/>
  <c r="G453" i="2"/>
  <c r="O450" i="2"/>
  <c r="M450" i="2"/>
  <c r="I450" i="2"/>
  <c r="G450" i="2"/>
  <c r="E450" i="2"/>
  <c r="A426" i="2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O423" i="2"/>
  <c r="M423" i="2"/>
  <c r="I423" i="2"/>
  <c r="G423" i="2"/>
  <c r="O420" i="2"/>
  <c r="M420" i="2"/>
  <c r="I420" i="2"/>
  <c r="G420" i="2"/>
  <c r="E420" i="2"/>
  <c r="A396" i="2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O393" i="2"/>
  <c r="M393" i="2"/>
  <c r="I393" i="2"/>
  <c r="G393" i="2"/>
  <c r="O390" i="2"/>
  <c r="M390" i="2"/>
  <c r="I390" i="2"/>
  <c r="G390" i="2"/>
  <c r="E390" i="2"/>
  <c r="A366" i="2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O363" i="2"/>
  <c r="M363" i="2"/>
  <c r="I363" i="2"/>
  <c r="G363" i="2"/>
  <c r="O330" i="2"/>
  <c r="M330" i="2"/>
  <c r="I330" i="2"/>
  <c r="G330" i="2"/>
  <c r="E330" i="2"/>
  <c r="A306" i="2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O303" i="2"/>
  <c r="M303" i="2"/>
  <c r="I303" i="2"/>
  <c r="G303" i="2"/>
  <c r="O300" i="2"/>
  <c r="M300" i="2"/>
  <c r="I300" i="2"/>
  <c r="G300" i="2"/>
  <c r="E300" i="2"/>
  <c r="A276" i="2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O273" i="2"/>
  <c r="M273" i="2"/>
  <c r="I273" i="2"/>
  <c r="G273" i="2"/>
  <c r="O270" i="2"/>
  <c r="M270" i="2"/>
  <c r="I270" i="2"/>
  <c r="G270" i="2"/>
  <c r="E270" i="2"/>
  <c r="A246" i="2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O243" i="2"/>
  <c r="M243" i="2"/>
  <c r="I243" i="2"/>
  <c r="G243" i="2"/>
  <c r="O240" i="2"/>
  <c r="M240" i="2"/>
  <c r="I240" i="2"/>
  <c r="G240" i="2"/>
  <c r="E240" i="2"/>
  <c r="A216" i="2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O213" i="2"/>
  <c r="M213" i="2"/>
  <c r="I213" i="2"/>
  <c r="G213" i="2"/>
  <c r="A400" i="4"/>
  <c r="A246" i="4"/>
  <c r="A1015" i="4"/>
  <c r="A529" i="4"/>
  <c r="A1164" i="4"/>
  <c r="A866" i="4"/>
  <c r="A713" i="4"/>
  <c r="A735" i="4"/>
  <c r="Z2" i="7" l="1"/>
  <c r="AB3" i="6"/>
  <c r="AB5" i="6"/>
  <c r="V4" i="6"/>
  <c r="V6" i="6" s="1"/>
  <c r="R2" i="7"/>
  <c r="T2" i="7"/>
  <c r="X6" i="5"/>
  <c r="X2" i="15"/>
  <c r="Z2" i="6"/>
  <c r="R4" i="6"/>
  <c r="R6" i="6" s="1"/>
  <c r="T2" i="12"/>
  <c r="AB2" i="12" s="1"/>
  <c r="X4" i="6"/>
  <c r="X6" i="6" s="1"/>
  <c r="T4" i="6"/>
  <c r="T6" i="6" s="1"/>
  <c r="Z4" i="6"/>
  <c r="Z6" i="6" s="1"/>
  <c r="V8" i="5"/>
  <c r="A151" i="5"/>
  <c r="A211" i="5" s="1"/>
  <c r="A241" i="5" s="1"/>
  <c r="A271" i="5" s="1"/>
  <c r="A301" i="5" s="1"/>
  <c r="A331" i="5" s="1"/>
  <c r="A361" i="5" s="1"/>
  <c r="A391" i="5" s="1"/>
  <c r="A421" i="5" s="1"/>
  <c r="A451" i="5" s="1"/>
  <c r="A481" i="5" s="1"/>
  <c r="A511" i="5" s="1"/>
  <c r="A541" i="5" s="1"/>
  <c r="A181" i="5"/>
  <c r="R2" i="5"/>
  <c r="Z4" i="5"/>
  <c r="Z6" i="5"/>
  <c r="T3" i="5"/>
  <c r="T6" i="5"/>
  <c r="X3" i="5"/>
  <c r="R4" i="5"/>
  <c r="T7" i="5"/>
  <c r="R3" i="5"/>
  <c r="Z2" i="5"/>
  <c r="R5" i="5"/>
  <c r="X4" i="5"/>
  <c r="Z7" i="5"/>
  <c r="Z5" i="5"/>
  <c r="T5" i="5"/>
  <c r="R6" i="5"/>
  <c r="X5" i="5"/>
  <c r="X7" i="5"/>
  <c r="T2" i="5"/>
  <c r="X2" i="7"/>
  <c r="X2" i="6"/>
  <c r="T2" i="15"/>
  <c r="AB2" i="15" s="1"/>
  <c r="R6" i="2"/>
  <c r="X6" i="2"/>
  <c r="T5" i="2"/>
  <c r="X5" i="2"/>
  <c r="Z6" i="2"/>
  <c r="Z5" i="2"/>
  <c r="R5" i="2"/>
  <c r="T6" i="2"/>
  <c r="AB6" i="2" s="1"/>
  <c r="V2" i="2"/>
  <c r="X2" i="5"/>
  <c r="V2" i="6"/>
  <c r="A306" i="4"/>
  <c r="A853" i="4"/>
  <c r="A22" i="4"/>
  <c r="A530" i="4"/>
  <c r="A595" i="4"/>
  <c r="A1155" i="4"/>
  <c r="A183" i="4"/>
  <c r="A571" i="4"/>
  <c r="A368" i="4"/>
  <c r="E368" i="4"/>
  <c r="A187" i="4"/>
  <c r="A114" i="4"/>
  <c r="A405" i="4"/>
  <c r="A296" i="4"/>
  <c r="A71" i="4"/>
  <c r="A841" i="4"/>
  <c r="A258" i="4"/>
  <c r="A840" i="4"/>
  <c r="A548" i="4"/>
  <c r="A436" i="4"/>
  <c r="A810" i="4"/>
  <c r="A449" i="4"/>
  <c r="A982" i="4"/>
  <c r="A1019" i="4"/>
  <c r="A383" i="4"/>
  <c r="A382" i="4"/>
  <c r="A554" i="4"/>
  <c r="A517" i="4"/>
  <c r="A253" i="4"/>
  <c r="A248" i="4"/>
  <c r="A836" i="4"/>
  <c r="A1238" i="4"/>
  <c r="A1144" i="4"/>
  <c r="A662" i="4"/>
  <c r="A1124" i="4"/>
  <c r="O180" i="2"/>
  <c r="M180" i="2"/>
  <c r="I180" i="2"/>
  <c r="G180" i="2"/>
  <c r="E180" i="2"/>
  <c r="A156" i="2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O153" i="2"/>
  <c r="M153" i="2"/>
  <c r="I153" i="2"/>
  <c r="G153" i="2"/>
  <c r="O150" i="2"/>
  <c r="M150" i="2"/>
  <c r="I150" i="2"/>
  <c r="G150" i="2"/>
  <c r="E150" i="2"/>
  <c r="A126" i="2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O123" i="2"/>
  <c r="M123" i="2"/>
  <c r="I123" i="2"/>
  <c r="G123" i="2"/>
  <c r="O120" i="2"/>
  <c r="M120" i="2"/>
  <c r="I120" i="2"/>
  <c r="G120" i="2"/>
  <c r="E120" i="2"/>
  <c r="A96" i="2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O93" i="2"/>
  <c r="M93" i="2"/>
  <c r="I93" i="2"/>
  <c r="G93" i="2"/>
  <c r="O90" i="2"/>
  <c r="M90" i="2"/>
  <c r="I90" i="2"/>
  <c r="G90" i="2"/>
  <c r="E90" i="2"/>
  <c r="A66" i="2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O63" i="2"/>
  <c r="M63" i="2"/>
  <c r="I63" i="2"/>
  <c r="G63" i="2"/>
  <c r="A61" i="2"/>
  <c r="A91" i="2" s="1"/>
  <c r="A121" i="2" s="1"/>
  <c r="A181" i="2" s="1"/>
  <c r="O30" i="2"/>
  <c r="M30" i="2"/>
  <c r="I30" i="2"/>
  <c r="G30" i="2"/>
  <c r="E30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O3" i="2"/>
  <c r="M3" i="2"/>
  <c r="K3" i="2"/>
  <c r="I3" i="2"/>
  <c r="G3" i="2"/>
  <c r="V2" i="8"/>
  <c r="M3" i="8"/>
  <c r="O3" i="8"/>
  <c r="I3" i="8"/>
  <c r="G3" i="8"/>
  <c r="A764" i="4"/>
  <c r="A664" i="4"/>
  <c r="A922" i="4"/>
  <c r="A921" i="4"/>
  <c r="A1153" i="4"/>
  <c r="O150" i="8"/>
  <c r="M150" i="8"/>
  <c r="I150" i="8"/>
  <c r="G150" i="8"/>
  <c r="E150" i="8"/>
  <c r="A126" i="8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O123" i="8"/>
  <c r="M123" i="8"/>
  <c r="G123" i="8"/>
  <c r="O120" i="8"/>
  <c r="M120" i="8"/>
  <c r="I120" i="8"/>
  <c r="G120" i="8"/>
  <c r="E120" i="8"/>
  <c r="A96" i="8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O93" i="8"/>
  <c r="M93" i="8"/>
  <c r="I93" i="8"/>
  <c r="G93" i="8"/>
  <c r="O90" i="8"/>
  <c r="M90" i="8"/>
  <c r="I90" i="8"/>
  <c r="G90" i="8"/>
  <c r="E90" i="8"/>
  <c r="A66" i="8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O63" i="8"/>
  <c r="M63" i="8"/>
  <c r="I63" i="8"/>
  <c r="G63" i="8"/>
  <c r="A615" i="4"/>
  <c r="A1134" i="4"/>
  <c r="A556" i="4"/>
  <c r="A1150" i="4"/>
  <c r="A1034" i="4"/>
  <c r="A846" i="4"/>
  <c r="A372" i="4"/>
  <c r="A129" i="4"/>
  <c r="A928" i="4"/>
  <c r="A1091" i="4"/>
  <c r="A1047" i="4"/>
  <c r="A911" i="4"/>
  <c r="A349" i="4"/>
  <c r="A70" i="4"/>
  <c r="A21" i="4"/>
  <c r="A20" i="11"/>
  <c r="D37" i="11"/>
  <c r="C37" i="11"/>
  <c r="A24" i="1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G22" i="11"/>
  <c r="G5" i="11"/>
  <c r="G7" i="11"/>
  <c r="G14" i="11"/>
  <c r="G3" i="11"/>
  <c r="D18" i="11"/>
  <c r="C18" i="11"/>
  <c r="E5" i="11"/>
  <c r="F5" i="11" s="1"/>
  <c r="E6" i="11"/>
  <c r="F6" i="11" s="1"/>
  <c r="E7" i="11"/>
  <c r="F7" i="11" s="1"/>
  <c r="E8" i="11"/>
  <c r="F8" i="11" s="1"/>
  <c r="E9" i="11"/>
  <c r="F9" i="11" s="1"/>
  <c r="E10" i="11"/>
  <c r="F10" i="11" s="1"/>
  <c r="G10" i="11" s="1"/>
  <c r="E11" i="11"/>
  <c r="F11" i="11"/>
  <c r="G11" i="11" s="1"/>
  <c r="E12" i="11"/>
  <c r="F12" i="11" s="1"/>
  <c r="E13" i="11"/>
  <c r="F13" i="11" s="1"/>
  <c r="E14" i="11"/>
  <c r="F14" i="11" s="1"/>
  <c r="E15" i="11"/>
  <c r="F15" i="11" s="1"/>
  <c r="E16" i="11"/>
  <c r="F16" i="11" s="1"/>
  <c r="G16" i="11" s="1"/>
  <c r="E17" i="11"/>
  <c r="F17" i="11" s="1"/>
  <c r="E4" i="11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420" i="4"/>
  <c r="A466" i="4"/>
  <c r="A434" i="4"/>
  <c r="A1085" i="4"/>
  <c r="A607" i="4"/>
  <c r="A618" i="4"/>
  <c r="A591" i="4"/>
  <c r="A965" i="4"/>
  <c r="A415" i="4"/>
  <c r="A815" i="4"/>
  <c r="A1009" i="4"/>
  <c r="A923" i="4"/>
  <c r="A357" i="4"/>
  <c r="A1125" i="4"/>
  <c r="A738" i="4"/>
  <c r="A756" i="4"/>
  <c r="A121" i="4"/>
  <c r="A801" i="4"/>
  <c r="A825" i="4"/>
  <c r="A1008" i="4"/>
  <c r="A283" i="4"/>
  <c r="A292" i="4"/>
  <c r="E269" i="4"/>
  <c r="E1066" i="4"/>
  <c r="E585" i="4"/>
  <c r="E360" i="4"/>
  <c r="A269" i="4"/>
  <c r="A1066" i="4"/>
  <c r="A585" i="4"/>
  <c r="A360" i="4"/>
  <c r="E244" i="4"/>
  <c r="A244" i="4"/>
  <c r="A522" i="4"/>
  <c r="E522" i="4"/>
  <c r="A213" i="4"/>
  <c r="A266" i="4"/>
  <c r="A958" i="4"/>
  <c r="A171" i="4"/>
  <c r="A877" i="4"/>
  <c r="A1154" i="4"/>
  <c r="A663" i="4"/>
  <c r="A924" i="4"/>
  <c r="A326" i="4"/>
  <c r="A1145" i="4"/>
  <c r="A13" i="4"/>
  <c r="A239" i="4"/>
  <c r="A53" i="4"/>
  <c r="A580" i="4"/>
  <c r="A512" i="4"/>
  <c r="A103" i="4"/>
  <c r="A685" i="4"/>
  <c r="A191" i="4"/>
  <c r="A880" i="4"/>
  <c r="A1070" i="4"/>
  <c r="A1236" i="4"/>
  <c r="A162" i="4"/>
  <c r="A227" i="4"/>
  <c r="A324" i="4"/>
  <c r="A89" i="4"/>
  <c r="A1077" i="4"/>
  <c r="A855" i="4"/>
  <c r="A1183" i="4"/>
  <c r="A1048" i="4"/>
  <c r="E363" i="4"/>
  <c r="E1083" i="4"/>
  <c r="A363" i="4"/>
  <c r="A1083" i="4"/>
  <c r="A536" i="4"/>
  <c r="A1190" i="4"/>
  <c r="A192" i="4"/>
  <c r="A1076" i="4"/>
  <c r="E369" i="4"/>
  <c r="E207" i="4"/>
  <c r="E510" i="4"/>
  <c r="E834" i="4"/>
  <c r="A369" i="4"/>
  <c r="A207" i="4"/>
  <c r="A510" i="4"/>
  <c r="A834" i="4"/>
  <c r="A448" i="4"/>
  <c r="A912" i="4"/>
  <c r="A1184" i="4"/>
  <c r="A929" i="4"/>
  <c r="A831" i="4"/>
  <c r="A847" i="4"/>
  <c r="A151" i="4"/>
  <c r="A200" i="4"/>
  <c r="A920" i="4"/>
  <c r="A478" i="4"/>
  <c r="A15" i="4"/>
  <c r="A819" i="4"/>
  <c r="A1000" i="4"/>
  <c r="A1059" i="4"/>
  <c r="A872" i="4"/>
  <c r="A380" i="4"/>
  <c r="A257" i="4"/>
  <c r="A160" i="4"/>
  <c r="A95" i="4"/>
  <c r="A1029" i="4"/>
  <c r="A597" i="4"/>
  <c r="A1140" i="4"/>
  <c r="A551" i="4"/>
  <c r="A412" i="4"/>
  <c r="A33" i="4"/>
  <c r="A411" i="4"/>
  <c r="A761" i="4"/>
  <c r="A660" i="4"/>
  <c r="A477" i="4"/>
  <c r="A32" i="4"/>
  <c r="A531" i="4"/>
  <c r="A600" i="4"/>
  <c r="A837" i="4"/>
  <c r="A1082" i="4"/>
  <c r="A45" i="4"/>
  <c r="A243" i="4"/>
  <c r="A1231" i="4"/>
  <c r="A1230" i="4"/>
  <c r="A972" i="4"/>
  <c r="A182" i="4"/>
  <c r="A814" i="4"/>
  <c r="A11" i="4"/>
  <c r="A453" i="4"/>
  <c r="A750" i="4"/>
  <c r="A947" i="4"/>
  <c r="A1161" i="4"/>
  <c r="A564" i="4"/>
  <c r="A935" i="4"/>
  <c r="A1185" i="4"/>
  <c r="A798" i="4"/>
  <c r="A428" i="4"/>
  <c r="A680" i="4"/>
  <c r="A812" i="4"/>
  <c r="A496" i="4"/>
  <c r="A503" i="4"/>
  <c r="A955" i="4"/>
  <c r="A620" i="4"/>
  <c r="A1171" i="4"/>
  <c r="A353" i="4"/>
  <c r="A527" i="4"/>
  <c r="A960" i="4"/>
  <c r="A717" i="4"/>
  <c r="A985" i="4"/>
  <c r="A871" i="4"/>
  <c r="A535" i="4"/>
  <c r="A228" i="4"/>
  <c r="A796" i="4"/>
  <c r="A437" i="4"/>
  <c r="A238" i="4"/>
  <c r="A894" i="4"/>
  <c r="A621" i="4"/>
  <c r="A1072" i="4"/>
  <c r="A190" i="4"/>
  <c r="A948" i="4"/>
  <c r="A1167" i="4"/>
  <c r="A524" i="4"/>
  <c r="A754" i="4"/>
  <c r="A136" i="4"/>
  <c r="A169" i="4"/>
  <c r="A1119" i="4"/>
  <c r="A367" i="4"/>
  <c r="A633" i="4"/>
  <c r="A1191" i="4"/>
  <c r="A1192" i="4"/>
  <c r="A489" i="4"/>
  <c r="A1035" i="4"/>
  <c r="A451" i="4"/>
  <c r="A688" i="4"/>
  <c r="A734" i="4"/>
  <c r="A1023" i="4"/>
  <c r="A858" i="4"/>
  <c r="A1152" i="4"/>
  <c r="A490" i="4"/>
  <c r="A250" i="4"/>
  <c r="A1138" i="4"/>
  <c r="A221" i="4"/>
  <c r="A316" i="4"/>
  <c r="A1121" i="4"/>
  <c r="A222" i="4"/>
  <c r="A247" i="4"/>
  <c r="A599" i="4"/>
  <c r="A743" i="4"/>
  <c r="A458" i="4"/>
  <c r="A868" i="4"/>
  <c r="A903" i="4"/>
  <c r="A485" i="4"/>
  <c r="A486" i="4"/>
  <c r="A1247" i="4"/>
  <c r="A502" i="4"/>
  <c r="A291" i="4"/>
  <c r="A849" i="4"/>
  <c r="A110" i="4"/>
  <c r="A973" i="4"/>
  <c r="A1239" i="4"/>
  <c r="A277" i="4"/>
  <c r="A763" i="4"/>
  <c r="A824" i="4"/>
  <c r="A623" i="4"/>
  <c r="A1113" i="4"/>
  <c r="A670" i="4"/>
  <c r="A794" i="4"/>
  <c r="A417" i="4"/>
  <c r="A547" i="4"/>
  <c r="A842" i="4"/>
  <c r="A51" i="4"/>
  <c r="A52" i="4"/>
  <c r="A361" i="4"/>
  <c r="A124" i="4"/>
  <c r="A446" i="4"/>
  <c r="A237" i="4"/>
  <c r="A857" i="4"/>
  <c r="A771" i="4"/>
  <c r="A214" i="4"/>
  <c r="A18" i="4"/>
  <c r="A62" i="4"/>
  <c r="A358" i="4"/>
  <c r="A811" i="4"/>
  <c r="A925" i="4"/>
  <c r="A31" i="8"/>
  <c r="A61" i="8" s="1"/>
  <c r="A91" i="8" s="1"/>
  <c r="A121" i="8" s="1"/>
  <c r="A151" i="8" s="1"/>
  <c r="A181" i="8" s="1"/>
  <c r="A211" i="8" s="1"/>
  <c r="A241" i="8" s="1"/>
  <c r="O60" i="8"/>
  <c r="M60" i="8"/>
  <c r="I60" i="8"/>
  <c r="G60" i="8"/>
  <c r="E60" i="8"/>
  <c r="A36" i="8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O33" i="8"/>
  <c r="M33" i="8"/>
  <c r="I33" i="8"/>
  <c r="G33" i="8"/>
  <c r="G30" i="8"/>
  <c r="R2" i="8" s="1"/>
  <c r="I30" i="8"/>
  <c r="T2" i="8" s="1"/>
  <c r="M30" i="8"/>
  <c r="O30" i="8"/>
  <c r="Z2" i="8" s="1"/>
  <c r="E30" i="8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U1284" i="4"/>
  <c r="T1284" i="4"/>
  <c r="S1284" i="4"/>
  <c r="R1284" i="4"/>
  <c r="I1284" i="4"/>
  <c r="J1284" i="4"/>
  <c r="K1284" i="4"/>
  <c r="H1284" i="4"/>
  <c r="Q1284" i="4"/>
  <c r="E1093" i="4"/>
  <c r="E462" i="4"/>
  <c r="A1093" i="4"/>
  <c r="A462" i="4"/>
  <c r="E69" i="4"/>
  <c r="E706" i="4"/>
  <c r="E876" i="4"/>
  <c r="E843" i="4"/>
  <c r="E387" i="4"/>
  <c r="E344" i="4"/>
  <c r="E68" i="4"/>
  <c r="E679" i="4"/>
  <c r="E300" i="4"/>
  <c r="A69" i="4"/>
  <c r="A706" i="4"/>
  <c r="A876" i="4"/>
  <c r="A843" i="4"/>
  <c r="A387" i="4"/>
  <c r="A344" i="4"/>
  <c r="A68" i="4"/>
  <c r="A679" i="4"/>
  <c r="A300" i="4"/>
  <c r="E614" i="4"/>
  <c r="E802" i="4"/>
  <c r="E39" i="4"/>
  <c r="A614" i="4"/>
  <c r="A802" i="4"/>
  <c r="A39" i="4"/>
  <c r="E1037" i="4"/>
  <c r="E347" i="4"/>
  <c r="E541" i="4"/>
  <c r="E610" i="4"/>
  <c r="E726" i="4"/>
  <c r="E966" i="4"/>
  <c r="E540" i="4"/>
  <c r="A1037" i="4"/>
  <c r="A347" i="4"/>
  <c r="A541" i="4"/>
  <c r="A610" i="4"/>
  <c r="A726" i="4"/>
  <c r="A966" i="4"/>
  <c r="A540" i="4"/>
  <c r="E423" i="4"/>
  <c r="E669" i="4"/>
  <c r="A423" i="4"/>
  <c r="A669" i="4"/>
  <c r="E583" i="4"/>
  <c r="E637" i="4"/>
  <c r="E1195" i="4"/>
  <c r="E721" i="4"/>
  <c r="E1194" i="4"/>
  <c r="E1193" i="4"/>
  <c r="A583" i="4"/>
  <c r="A637" i="4"/>
  <c r="A1195" i="4"/>
  <c r="A721" i="4"/>
  <c r="A1194" i="4"/>
  <c r="A1193" i="4"/>
  <c r="E452" i="4"/>
  <c r="E1214" i="4"/>
  <c r="E1251" i="4"/>
  <c r="E1146" i="4"/>
  <c r="E967" i="4"/>
  <c r="E1128" i="4"/>
  <c r="E127" i="4"/>
  <c r="E725" i="4"/>
  <c r="A452" i="4"/>
  <c r="A1214" i="4"/>
  <c r="A1251" i="4"/>
  <c r="A1146" i="4"/>
  <c r="A967" i="4"/>
  <c r="A1128" i="4"/>
  <c r="A127" i="4"/>
  <c r="A725" i="4"/>
  <c r="E202" i="4"/>
  <c r="E539" i="4"/>
  <c r="E92" i="4"/>
  <c r="E945" i="4"/>
  <c r="E276" i="4"/>
  <c r="E265" i="4"/>
  <c r="E1036" i="4"/>
  <c r="E7" i="4"/>
  <c r="E1012" i="4"/>
  <c r="E1168" i="4"/>
  <c r="E1151" i="4"/>
  <c r="E1213" i="4"/>
  <c r="E996" i="4"/>
  <c r="E995" i="4"/>
  <c r="E859" i="4"/>
  <c r="E148" i="4"/>
  <c r="E886" i="4"/>
  <c r="E377" i="4"/>
  <c r="E778" i="4"/>
  <c r="E698" i="4"/>
  <c r="E138" i="4"/>
  <c r="E1050" i="4"/>
  <c r="E1067" i="4"/>
  <c r="A202" i="4"/>
  <c r="A539" i="4"/>
  <c r="A92" i="4"/>
  <c r="A945" i="4"/>
  <c r="A276" i="4"/>
  <c r="A265" i="4"/>
  <c r="A1036" i="4"/>
  <c r="A7" i="4"/>
  <c r="A1012" i="4"/>
  <c r="A1168" i="4"/>
  <c r="A1151" i="4"/>
  <c r="A1213" i="4"/>
  <c r="A996" i="4"/>
  <c r="A995" i="4"/>
  <c r="A859" i="4"/>
  <c r="A148" i="4"/>
  <c r="A886" i="4"/>
  <c r="A377" i="4"/>
  <c r="A778" i="4"/>
  <c r="A698" i="4"/>
  <c r="A138" i="4"/>
  <c r="A1050" i="4"/>
  <c r="A1067" i="4"/>
  <c r="E354" i="4"/>
  <c r="E264" i="4"/>
  <c r="E508" i="4"/>
  <c r="E476" i="4"/>
  <c r="E776" i="4"/>
  <c r="E781" i="4"/>
  <c r="E1204" i="4"/>
  <c r="A354" i="4"/>
  <c r="A264" i="4"/>
  <c r="A508" i="4"/>
  <c r="A476" i="4"/>
  <c r="A776" i="4"/>
  <c r="A781" i="4"/>
  <c r="A1204" i="4"/>
  <c r="E749" i="4"/>
  <c r="E699" i="4"/>
  <c r="E562" i="4"/>
  <c r="E38" i="4"/>
  <c r="E339" i="4"/>
  <c r="E100" i="4"/>
  <c r="A749" i="4"/>
  <c r="A699" i="4"/>
  <c r="A562" i="4"/>
  <c r="A38" i="4"/>
  <c r="A339" i="4"/>
  <c r="A100" i="4"/>
  <c r="E1120" i="4"/>
  <c r="A1120" i="4"/>
  <c r="E330" i="4"/>
  <c r="E519" i="4"/>
  <c r="E980" i="4"/>
  <c r="E99" i="4"/>
  <c r="A330" i="4"/>
  <c r="A519" i="4"/>
  <c r="A980" i="4"/>
  <c r="A99" i="4"/>
  <c r="A146" i="4"/>
  <c r="E146" i="4"/>
  <c r="E722" i="4"/>
  <c r="E98" i="4"/>
  <c r="E37" i="4"/>
  <c r="E687" i="4"/>
  <c r="E767" i="4"/>
  <c r="E1210" i="4"/>
  <c r="E1209" i="4"/>
  <c r="G1284" i="4" s="1"/>
  <c r="A722" i="4"/>
  <c r="A98" i="4"/>
  <c r="A37" i="4"/>
  <c r="A861" i="4"/>
  <c r="A687" i="4"/>
  <c r="A767" i="4"/>
  <c r="A1210" i="4"/>
  <c r="A1209" i="4"/>
  <c r="A897" i="4"/>
  <c r="E707" i="4"/>
  <c r="E75" i="4"/>
  <c r="E113" i="4"/>
  <c r="E625" i="4"/>
  <c r="E1198" i="4"/>
  <c r="E370" i="4"/>
  <c r="A707" i="4"/>
  <c r="A75" i="4"/>
  <c r="A113" i="4"/>
  <c r="A625" i="4"/>
  <c r="A1198" i="4"/>
  <c r="A370" i="4"/>
  <c r="E933" i="4"/>
  <c r="E577" i="4"/>
  <c r="A933" i="4"/>
  <c r="A577" i="4"/>
  <c r="E81" i="4"/>
  <c r="A81" i="4"/>
  <c r="A1215" i="4"/>
  <c r="A1216" i="4"/>
  <c r="A203" i="4"/>
  <c r="A518" i="4"/>
  <c r="A317" i="4"/>
  <c r="E526" i="4"/>
  <c r="E1054" i="4"/>
  <c r="E805" i="4"/>
  <c r="A526" i="4"/>
  <c r="A1054" i="4"/>
  <c r="A805" i="4"/>
  <c r="E844" i="4"/>
  <c r="E1006" i="4"/>
  <c r="E1005" i="4"/>
  <c r="A844" i="4"/>
  <c r="A1006" i="4"/>
  <c r="A1005" i="4"/>
  <c r="A199" i="4"/>
  <c r="A178" i="4"/>
  <c r="E199" i="4"/>
  <c r="E178" i="4"/>
  <c r="E498" i="4"/>
  <c r="A498" i="4"/>
  <c r="E440" i="4"/>
  <c r="A440" i="4"/>
  <c r="E379" i="4"/>
  <c r="A379" i="4"/>
  <c r="E951" i="4"/>
  <c r="A951" i="4"/>
  <c r="E210" i="4"/>
  <c r="A210" i="4"/>
  <c r="E998" i="4"/>
  <c r="A998" i="4"/>
  <c r="E997" i="4"/>
  <c r="A997" i="4"/>
  <c r="E969" i="4"/>
  <c r="A969" i="4"/>
  <c r="E727" i="4"/>
  <c r="A727" i="4"/>
  <c r="E43" i="4"/>
  <c r="A43" i="4"/>
  <c r="A1106" i="4"/>
  <c r="E1106" i="4"/>
  <c r="E885" i="4"/>
  <c r="A885" i="4"/>
  <c r="E209" i="4"/>
  <c r="A209" i="4"/>
  <c r="E723" i="4"/>
  <c r="A723" i="4"/>
  <c r="E697" i="4"/>
  <c r="A697" i="4"/>
  <c r="E340" i="4"/>
  <c r="A340" i="4"/>
  <c r="E480" i="4"/>
  <c r="A480" i="4"/>
  <c r="E435" i="4"/>
  <c r="A435" i="4"/>
  <c r="E744" i="4"/>
  <c r="A744" i="4"/>
  <c r="E1087" i="4"/>
  <c r="A1087" i="4"/>
  <c r="E128" i="4"/>
  <c r="A128" i="4"/>
  <c r="E25" i="4"/>
  <c r="A25" i="4"/>
  <c r="E977" i="4"/>
  <c r="A977" i="4"/>
  <c r="E653" i="4"/>
  <c r="A653" i="4"/>
  <c r="E375" i="4"/>
  <c r="A375" i="4"/>
  <c r="E1055" i="4"/>
  <c r="A1055" i="4"/>
  <c r="E651" i="4"/>
  <c r="A651" i="4"/>
  <c r="E993" i="4"/>
  <c r="A993" i="4"/>
  <c r="A117" i="4"/>
  <c r="E117" i="4"/>
  <c r="A1109" i="4"/>
  <c r="E1109" i="4"/>
  <c r="A1255" i="4"/>
  <c r="E1255" i="4"/>
  <c r="A163" i="4"/>
  <c r="E163" i="4"/>
  <c r="A739" i="4"/>
  <c r="E739" i="4"/>
  <c r="E1199" i="4"/>
  <c r="A1199" i="4"/>
  <c r="E1261" i="4"/>
  <c r="A1261" i="4"/>
  <c r="E447" i="4"/>
  <c r="A447" i="4"/>
  <c r="E1074" i="4"/>
  <c r="E303" i="4"/>
  <c r="A303" i="4"/>
  <c r="E604" i="4"/>
  <c r="A604" i="4"/>
  <c r="E74" i="4"/>
  <c r="A74" i="4"/>
  <c r="E786" i="4"/>
  <c r="A786" i="4"/>
  <c r="E1262" i="4"/>
  <c r="A1262" i="4"/>
  <c r="E29" i="4"/>
  <c r="A29" i="4"/>
  <c r="E312" i="4"/>
  <c r="A312" i="4"/>
  <c r="E930" i="4"/>
  <c r="A930" i="4"/>
  <c r="E795" i="4"/>
  <c r="A795" i="4"/>
  <c r="E647" i="4"/>
  <c r="A647" i="4"/>
  <c r="A252" i="4"/>
  <c r="A1159" i="4"/>
  <c r="A1173" i="4"/>
  <c r="A575" i="4"/>
  <c r="E397" i="4"/>
  <c r="E1252" i="4"/>
  <c r="E123" i="4"/>
  <c r="E1088" i="4"/>
  <c r="E827" i="4"/>
  <c r="E268" i="4"/>
  <c r="E907" i="4"/>
  <c r="E1011" i="4"/>
  <c r="E701" i="4"/>
  <c r="E287" i="4"/>
  <c r="E6" i="4"/>
  <c r="E1123" i="4"/>
  <c r="E908" i="4"/>
  <c r="A1123" i="4"/>
  <c r="A6" i="4"/>
  <c r="A287" i="4"/>
  <c r="A701" i="4"/>
  <c r="A1011" i="4"/>
  <c r="A907" i="4"/>
  <c r="A268" i="4"/>
  <c r="A827" i="4"/>
  <c r="A1088" i="4"/>
  <c r="A123" i="4"/>
  <c r="A1252" i="4"/>
  <c r="A397" i="4"/>
  <c r="A908" i="4"/>
  <c r="E617" i="4"/>
  <c r="A617" i="4"/>
  <c r="E284" i="4"/>
  <c r="A284" i="4"/>
  <c r="E1129" i="4"/>
  <c r="A1129" i="4"/>
  <c r="E1022" i="4"/>
  <c r="E1073" i="4"/>
  <c r="E1253" i="4"/>
  <c r="E839" i="4"/>
  <c r="E728" i="4"/>
  <c r="A1022" i="4"/>
  <c r="A1073" i="4"/>
  <c r="A1253" i="4"/>
  <c r="A839" i="4"/>
  <c r="A728" i="4"/>
  <c r="E733" i="4"/>
  <c r="E1103" i="4"/>
  <c r="E543" i="4"/>
  <c r="E42" i="4"/>
  <c r="A733" i="4"/>
  <c r="A1103" i="4"/>
  <c r="A543" i="4"/>
  <c r="A42" i="4"/>
  <c r="E1142" i="4"/>
  <c r="E307" i="4"/>
  <c r="E396" i="4"/>
  <c r="A1142" i="4"/>
  <c r="A307" i="4"/>
  <c r="A396" i="4"/>
  <c r="A1229" i="4"/>
  <c r="E1229" i="4"/>
  <c r="A906" i="4"/>
  <c r="A395" i="4"/>
  <c r="A838" i="4"/>
  <c r="E768" i="4"/>
  <c r="E838" i="4"/>
  <c r="E241" i="4"/>
  <c r="A241" i="4"/>
  <c r="A584" i="4"/>
  <c r="E409" i="4"/>
  <c r="E1235" i="4"/>
  <c r="E630" i="4"/>
  <c r="A409" i="4"/>
  <c r="A1235" i="4"/>
  <c r="A630" i="4"/>
  <c r="A88" i="4"/>
  <c r="E656" i="4"/>
  <c r="E391" i="4"/>
  <c r="E1156" i="4"/>
  <c r="E1016" i="4"/>
  <c r="E775" i="4"/>
  <c r="E934" i="4"/>
  <c r="A656" i="4"/>
  <c r="A391" i="4"/>
  <c r="A1156" i="4"/>
  <c r="A1016" i="4"/>
  <c r="A775" i="4"/>
  <c r="A934" i="4"/>
  <c r="E787" i="4"/>
  <c r="E648" i="4"/>
  <c r="E567" i="4"/>
  <c r="E315" i="4"/>
  <c r="E975" i="4"/>
  <c r="A787" i="4"/>
  <c r="A648" i="4"/>
  <c r="A567" i="4"/>
  <c r="A315" i="4"/>
  <c r="A975" i="4"/>
  <c r="A773" i="4"/>
  <c r="E111" i="4"/>
  <c r="A111" i="4"/>
  <c r="E1038" i="4"/>
  <c r="A1038" i="4"/>
  <c r="A816" i="4"/>
  <c r="A1078" i="4"/>
  <c r="E1078" i="4"/>
  <c r="A954" i="4"/>
  <c r="E954" i="4"/>
  <c r="A821" i="4"/>
  <c r="E821" i="4"/>
  <c r="E575" i="4"/>
  <c r="A27" i="4"/>
  <c r="E27" i="4"/>
  <c r="E173" i="4"/>
  <c r="E442" i="4"/>
  <c r="E899" i="4"/>
  <c r="A622" i="4"/>
  <c r="A999" i="4"/>
  <c r="A909" i="4"/>
  <c r="A442" i="4"/>
  <c r="A173" i="4"/>
  <c r="A889" i="4"/>
  <c r="E613" i="4"/>
  <c r="E782" i="4"/>
  <c r="A613" i="4"/>
  <c r="A1045" i="4"/>
  <c r="A782" i="4"/>
  <c r="A328" i="4"/>
  <c r="A1024" i="4"/>
  <c r="A393" i="4"/>
  <c r="A790" i="4"/>
  <c r="A61" i="4"/>
  <c r="A667" i="4"/>
  <c r="E439" i="4"/>
  <c r="A439" i="4"/>
  <c r="E424" i="4"/>
  <c r="A424" i="4"/>
  <c r="E198" i="4"/>
  <c r="E900" i="4"/>
  <c r="E943" i="4"/>
  <c r="A198" i="4"/>
  <c r="A900" i="4"/>
  <c r="A943" i="4"/>
  <c r="E681" i="4"/>
  <c r="A681" i="4"/>
  <c r="E1257" i="4"/>
  <c r="E229" i="4"/>
  <c r="E1165" i="4"/>
  <c r="A1257" i="4"/>
  <c r="A229" i="4"/>
  <c r="A1165" i="4"/>
  <c r="E1206" i="4"/>
  <c r="A1206" i="4"/>
  <c r="E817" i="4"/>
  <c r="A817" i="4"/>
  <c r="E622" i="4"/>
  <c r="E461" i="4"/>
  <c r="E438" i="4"/>
  <c r="E1211" i="4"/>
  <c r="E1196" i="4"/>
  <c r="A461" i="4"/>
  <c r="A438" i="4"/>
  <c r="A1211" i="4"/>
  <c r="A1196" i="4"/>
  <c r="E1256" i="4"/>
  <c r="E746" i="4"/>
  <c r="E788" i="4"/>
  <c r="E511" i="4"/>
  <c r="A511" i="4"/>
  <c r="A639" i="4"/>
  <c r="E639" i="4"/>
  <c r="E987" i="4"/>
  <c r="E584" i="4"/>
  <c r="A987" i="4"/>
  <c r="E550" i="4"/>
  <c r="A550" i="4"/>
  <c r="A1256" i="4"/>
  <c r="A746" i="4"/>
  <c r="A788" i="4"/>
  <c r="E79" i="4"/>
  <c r="E35" i="4"/>
  <c r="E36" i="4"/>
  <c r="E40" i="4"/>
  <c r="E41" i="4"/>
  <c r="E85" i="4"/>
  <c r="E80" i="4"/>
  <c r="E82" i="4"/>
  <c r="E83" i="4"/>
  <c r="E88" i="4"/>
  <c r="E87" i="4"/>
  <c r="E105" i="4"/>
  <c r="E106" i="4"/>
  <c r="E73" i="4"/>
  <c r="E115" i="4"/>
  <c r="E116" i="4"/>
  <c r="E96" i="4"/>
  <c r="E101" i="4"/>
  <c r="E91" i="4"/>
  <c r="E90" i="4"/>
  <c r="E122" i="4"/>
  <c r="E147" i="4"/>
  <c r="E130" i="4"/>
  <c r="E185" i="4"/>
  <c r="E700" i="4"/>
  <c r="E155" i="4"/>
  <c r="E769" i="4"/>
  <c r="E242" i="4"/>
  <c r="E968" i="4"/>
  <c r="E132" i="4"/>
  <c r="E133" i="4"/>
  <c r="E137" i="4"/>
  <c r="E139" i="4"/>
  <c r="E1135" i="4"/>
  <c r="E181" i="4"/>
  <c r="E189" i="4"/>
  <c r="E195" i="4"/>
  <c r="E251" i="4"/>
  <c r="E1080" i="4"/>
  <c r="E694" i="4"/>
  <c r="E484" i="4"/>
  <c r="E1172" i="4"/>
  <c r="E157" i="4"/>
  <c r="E328" i="4"/>
  <c r="E1024" i="4"/>
  <c r="E393" i="4"/>
  <c r="E790" i="4"/>
  <c r="E457" i="4"/>
  <c r="E553" i="4"/>
  <c r="E211" i="4"/>
  <c r="E224" i="4"/>
  <c r="E218" i="4"/>
  <c r="E219" i="4"/>
  <c r="E205" i="4"/>
  <c r="E201" i="4"/>
  <c r="E112" i="4"/>
  <c r="E165" i="4"/>
  <c r="E150" i="4"/>
  <c r="E177" i="4"/>
  <c r="E167" i="4"/>
  <c r="E168" i="4"/>
  <c r="E1234" i="4"/>
  <c r="E906" i="4"/>
  <c r="E153" i="4"/>
  <c r="E154" i="4"/>
  <c r="E175" i="4"/>
  <c r="E186" i="4"/>
  <c r="E188" i="4"/>
  <c r="E230" i="4"/>
  <c r="E232" i="4"/>
  <c r="E274" i="4"/>
  <c r="E271" i="4"/>
  <c r="E270" i="4"/>
  <c r="E263" i="4"/>
  <c r="E282" i="4"/>
  <c r="E285" i="4"/>
  <c r="E288" i="4"/>
  <c r="E290" i="4"/>
  <c r="E286" i="4"/>
  <c r="E297" i="4"/>
  <c r="E293" i="4"/>
  <c r="E294" i="4"/>
  <c r="E299" i="4"/>
  <c r="E305" i="4"/>
  <c r="E304" i="4"/>
  <c r="E308" i="4"/>
  <c r="E333" i="4"/>
  <c r="E331" i="4"/>
  <c r="E332" i="4"/>
  <c r="E275" i="4"/>
  <c r="E341" i="4"/>
  <c r="E314" i="4"/>
  <c r="E320" i="4"/>
  <c r="E321" i="4"/>
  <c r="E318" i="4"/>
  <c r="E433" i="4"/>
  <c r="E425" i="4"/>
  <c r="E432" i="4"/>
  <c r="E197" i="4"/>
  <c r="E225" i="4"/>
  <c r="E334" i="4"/>
  <c r="E351" i="4"/>
  <c r="E381" i="4"/>
  <c r="E401" i="4"/>
  <c r="E459" i="4"/>
  <c r="E492" i="4"/>
  <c r="E523" i="4"/>
  <c r="E582" i="4"/>
  <c r="E176" i="4"/>
  <c r="E184" i="4"/>
  <c r="E215" i="4"/>
  <c r="E233" i="4"/>
  <c r="E260" i="4"/>
  <c r="E278" i="4"/>
  <c r="E348" i="4"/>
  <c r="E371" i="4"/>
  <c r="E389" i="4"/>
  <c r="E467" i="4"/>
  <c r="E475" i="4"/>
  <c r="E525" i="4"/>
  <c r="E626" i="4"/>
  <c r="E628" i="4"/>
  <c r="E627" i="4"/>
  <c r="E649" i="4"/>
  <c r="E650" i="4"/>
  <c r="E654" i="4"/>
  <c r="E712" i="4"/>
  <c r="E736" i="4"/>
  <c r="E774" i="4"/>
  <c r="E772" i="4"/>
  <c r="E773" i="4"/>
  <c r="E797" i="4"/>
  <c r="E800" i="4"/>
  <c r="E816" i="4"/>
  <c r="E833" i="4"/>
  <c r="E854" i="4"/>
  <c r="E983" i="4"/>
  <c r="E1075" i="4"/>
  <c r="E378" i="4"/>
  <c r="E636" i="4"/>
  <c r="E408" i="4"/>
  <c r="E399" i="4"/>
  <c r="E398" i="4"/>
  <c r="E413" i="4"/>
  <c r="E465" i="4"/>
  <c r="E464" i="4"/>
  <c r="E463" i="4"/>
  <c r="E450" i="4"/>
  <c r="E469" i="4"/>
  <c r="E1089" i="4"/>
  <c r="E470" i="4"/>
  <c r="E682" i="4"/>
  <c r="E570" i="4"/>
  <c r="E161" i="4"/>
  <c r="E431" i="4"/>
  <c r="E374" i="4"/>
  <c r="E683" i="4"/>
  <c r="E1205" i="4"/>
  <c r="E863" i="4"/>
  <c r="E684" i="4"/>
  <c r="E1158" i="4"/>
  <c r="E487" i="4"/>
  <c r="E479" i="4"/>
  <c r="E481" i="4"/>
  <c r="E491" i="4"/>
  <c r="E666" i="4"/>
  <c r="E500" i="4"/>
  <c r="E501" i="4"/>
  <c r="E497" i="4"/>
  <c r="E504" i="4"/>
  <c r="E441" i="4"/>
  <c r="E515" i="4"/>
  <c r="E718" i="4"/>
  <c r="E520" i="4"/>
  <c r="E542" i="4"/>
  <c r="E557" i="4"/>
  <c r="E569" i="4"/>
  <c r="E751" i="4"/>
  <c r="E1060" i="4"/>
  <c r="E590" i="4"/>
  <c r="E587" i="4"/>
  <c r="E586" i="4"/>
  <c r="E588" i="4"/>
  <c r="E589" i="4"/>
  <c r="E594" i="4"/>
  <c r="E605" i="4"/>
  <c r="E609" i="4"/>
  <c r="E1122" i="4"/>
  <c r="E631" i="4"/>
  <c r="E632" i="4"/>
  <c r="E616" i="4"/>
  <c r="E473" i="4"/>
  <c r="E638" i="4"/>
  <c r="E641" i="4"/>
  <c r="E640" i="4"/>
  <c r="E652" i="4"/>
  <c r="E1200" i="4"/>
  <c r="E1115" i="4"/>
  <c r="E671" i="4"/>
  <c r="E675" i="4"/>
  <c r="E672" i="4"/>
  <c r="E673" i="4"/>
  <c r="E690" i="4"/>
  <c r="E708" i="4"/>
  <c r="E709" i="4"/>
  <c r="E704" i="4"/>
  <c r="E705" i="4"/>
  <c r="E702" i="4"/>
  <c r="E703" i="4"/>
  <c r="E1201" i="4"/>
  <c r="E747" i="4"/>
  <c r="E745" i="4"/>
  <c r="E322" i="4"/>
  <c r="E724" i="4"/>
  <c r="E732" i="4"/>
  <c r="E729" i="4"/>
  <c r="E730" i="4"/>
  <c r="E731" i="4"/>
  <c r="E755" i="4"/>
  <c r="E770" i="4"/>
  <c r="E757" i="4"/>
  <c r="E779" i="4"/>
  <c r="E789" i="4"/>
  <c r="E783" i="4"/>
  <c r="E799" i="4"/>
  <c r="E992" i="4"/>
  <c r="E791" i="4"/>
  <c r="E792" i="4"/>
  <c r="E793" i="4"/>
  <c r="E803" i="4"/>
  <c r="E808" i="4"/>
  <c r="E809" i="4"/>
  <c r="E818" i="4"/>
  <c r="E822" i="4"/>
  <c r="E820" i="4"/>
  <c r="E1233" i="4"/>
  <c r="E826" i="4"/>
  <c r="E828" i="4"/>
  <c r="E829" i="4"/>
  <c r="E830" i="4"/>
  <c r="E835" i="4"/>
  <c r="E851" i="4"/>
  <c r="E852" i="4"/>
  <c r="E856" i="4"/>
  <c r="E505" i="4"/>
  <c r="E1003" i="4"/>
  <c r="E1004" i="4"/>
  <c r="E1013" i="4"/>
  <c r="E1021" i="4"/>
  <c r="E1020" i="4"/>
  <c r="E1027" i="4"/>
  <c r="E1107" i="4"/>
  <c r="E1112" i="4"/>
  <c r="E1133" i="4"/>
  <c r="E1130" i="4"/>
  <c r="E1131" i="4"/>
  <c r="E1132" i="4"/>
  <c r="E1116" i="4"/>
  <c r="E1127" i="4"/>
  <c r="E1118" i="4"/>
  <c r="E1139" i="4"/>
  <c r="E862" i="4"/>
  <c r="E870" i="4"/>
  <c r="E873" i="4"/>
  <c r="E874" i="4"/>
  <c r="E646" i="4"/>
  <c r="E887" i="4"/>
  <c r="E888" i="4"/>
  <c r="E865" i="4"/>
  <c r="E902" i="4"/>
  <c r="E784" i="4"/>
  <c r="E889" i="4"/>
  <c r="E909" i="4"/>
  <c r="E999" i="4"/>
  <c r="E926" i="4"/>
  <c r="E931" i="4"/>
  <c r="E932" i="4"/>
  <c r="E946" i="4"/>
  <c r="E952" i="4"/>
  <c r="E949" i="4"/>
  <c r="E950" i="4"/>
  <c r="E942" i="4"/>
  <c r="E981" i="4"/>
  <c r="E986" i="4"/>
  <c r="E881" i="4"/>
  <c r="E978" i="4"/>
  <c r="E976" i="4"/>
  <c r="E963" i="4"/>
  <c r="E970" i="4"/>
  <c r="E964" i="4"/>
  <c r="E971" i="4"/>
  <c r="E991" i="4"/>
  <c r="E989" i="4"/>
  <c r="E1068" i="4"/>
  <c r="E1176" i="4"/>
  <c r="E1042" i="4"/>
  <c r="E1043" i="4"/>
  <c r="E1039" i="4"/>
  <c r="E1033" i="4"/>
  <c r="E1056" i="4"/>
  <c r="E1049" i="4"/>
  <c r="E1052" i="4"/>
  <c r="E1051" i="4"/>
  <c r="E1086" i="4"/>
  <c r="E1092" i="4"/>
  <c r="E1100" i="4"/>
  <c r="E1096" i="4"/>
  <c r="E1097" i="4"/>
  <c r="E1098" i="4"/>
  <c r="E1099" i="4"/>
  <c r="E1102" i="4"/>
  <c r="E1141" i="4"/>
  <c r="E1147" i="4"/>
  <c r="E1160" i="4"/>
  <c r="E1166" i="4"/>
  <c r="E1162" i="4"/>
  <c r="E1163" i="4"/>
  <c r="E1177" i="4"/>
  <c r="E1186" i="4"/>
  <c r="E1207" i="4"/>
  <c r="E1208" i="4"/>
  <c r="E1212" i="4"/>
  <c r="E1218" i="4"/>
  <c r="E1219" i="4"/>
  <c r="E1220" i="4"/>
  <c r="E1221" i="4"/>
  <c r="E1222" i="4"/>
  <c r="E1223" i="4"/>
  <c r="E1224" i="4"/>
  <c r="E1225" i="4"/>
  <c r="E1249" i="4"/>
  <c r="E1250" i="4"/>
  <c r="E1254" i="4"/>
  <c r="E1263" i="4"/>
  <c r="E1266" i="4"/>
  <c r="A968" i="4"/>
  <c r="A242" i="4"/>
  <c r="A769" i="4"/>
  <c r="A155" i="4"/>
  <c r="A700" i="4"/>
  <c r="A185" i="4"/>
  <c r="A147" i="4"/>
  <c r="A260" i="4"/>
  <c r="A278" i="4"/>
  <c r="A1234" i="4"/>
  <c r="A157" i="4"/>
  <c r="A553" i="4"/>
  <c r="A143" i="4"/>
  <c r="A516" i="4"/>
  <c r="A457" i="4"/>
  <c r="A1172" i="4"/>
  <c r="A484" i="4"/>
  <c r="A694" i="4"/>
  <c r="A488" i="4"/>
  <c r="A742" i="4"/>
  <c r="A1080" i="4"/>
  <c r="A251" i="4"/>
  <c r="A881" i="4"/>
  <c r="A225" i="4"/>
  <c r="A718" i="4"/>
  <c r="A334" i="4"/>
  <c r="A459" i="4"/>
  <c r="A1176" i="4"/>
  <c r="A636" i="4"/>
  <c r="A784" i="4"/>
  <c r="A197" i="4"/>
  <c r="A473" i="4"/>
  <c r="A983" i="4"/>
  <c r="A1233" i="4"/>
  <c r="A371" i="4"/>
  <c r="A233" i="4"/>
  <c r="A772" i="4"/>
  <c r="A1158" i="4"/>
  <c r="A684" i="4"/>
  <c r="A863" i="4"/>
  <c r="A1205" i="4"/>
  <c r="A683" i="4"/>
  <c r="A374" i="4"/>
  <c r="A431" i="4"/>
  <c r="A161" i="4"/>
  <c r="A570" i="4"/>
  <c r="A682" i="4"/>
  <c r="A348" i="4"/>
  <c r="A626" i="4"/>
  <c r="A800" i="4"/>
  <c r="A1201" i="4"/>
  <c r="A628" i="4"/>
  <c r="A525" i="4"/>
  <c r="A1075" i="4"/>
  <c r="A854" i="4"/>
  <c r="A650" i="4"/>
  <c r="A215" i="4"/>
  <c r="A736" i="4"/>
  <c r="A176" i="4"/>
  <c r="A389" i="4"/>
  <c r="A1122" i="4"/>
  <c r="A774" i="4"/>
  <c r="A1200" i="4"/>
  <c r="A467" i="4"/>
  <c r="A649" i="4"/>
  <c r="A1089" i="4"/>
  <c r="A1249" i="4"/>
  <c r="A1250" i="4"/>
  <c r="A492" i="4"/>
  <c r="A218" i="4"/>
  <c r="A732" i="4"/>
  <c r="A874" i="4"/>
  <c r="A971" i="4"/>
  <c r="A826" i="4"/>
  <c r="A413" i="4"/>
  <c r="E17" i="4"/>
  <c r="E23" i="4"/>
  <c r="E58" i="4"/>
  <c r="E67" i="4"/>
  <c r="E28" i="4"/>
  <c r="E5" i="4"/>
  <c r="A1266" i="4"/>
  <c r="A1263" i="4"/>
  <c r="A1254" i="4"/>
  <c r="A1225" i="4"/>
  <c r="A1224" i="4"/>
  <c r="A1223" i="4"/>
  <c r="A1222" i="4"/>
  <c r="A1221" i="4"/>
  <c r="A1220" i="4"/>
  <c r="A1219" i="4"/>
  <c r="A1218" i="4"/>
  <c r="A1212" i="4"/>
  <c r="A1208" i="4"/>
  <c r="A1207" i="4"/>
  <c r="A1186" i="4"/>
  <c r="A1177" i="4"/>
  <c r="A1163" i="4"/>
  <c r="A1162" i="4"/>
  <c r="A1166" i="4"/>
  <c r="A1160" i="4"/>
  <c r="A1147" i="4"/>
  <c r="A1141" i="4"/>
  <c r="A1102" i="4"/>
  <c r="A1099" i="4"/>
  <c r="A1098" i="4"/>
  <c r="A1097" i="4"/>
  <c r="A1096" i="4"/>
  <c r="A1100" i="4"/>
  <c r="A1092" i="4"/>
  <c r="A1086" i="4"/>
  <c r="A1051" i="4"/>
  <c r="A1052" i="4"/>
  <c r="A1049" i="4"/>
  <c r="A1056" i="4"/>
  <c r="A1033" i="4"/>
  <c r="A1039" i="4"/>
  <c r="A1043" i="4"/>
  <c r="A1042" i="4"/>
  <c r="A1060" i="4"/>
  <c r="A1068" i="4"/>
  <c r="A989" i="4"/>
  <c r="A991" i="4"/>
  <c r="A964" i="4"/>
  <c r="A970" i="4"/>
  <c r="A963" i="4"/>
  <c r="A976" i="4"/>
  <c r="A978" i="4"/>
  <c r="A986" i="4"/>
  <c r="A981" i="4"/>
  <c r="A942" i="4"/>
  <c r="A950" i="4"/>
  <c r="A949" i="4"/>
  <c r="A952" i="4"/>
  <c r="A946" i="4"/>
  <c r="A932" i="4"/>
  <c r="A931" i="4"/>
  <c r="A926" i="4"/>
  <c r="A902" i="4"/>
  <c r="A865" i="4"/>
  <c r="A888" i="4"/>
  <c r="A887" i="4"/>
  <c r="A873" i="4"/>
  <c r="A878" i="4"/>
  <c r="A870" i="4"/>
  <c r="A862" i="4"/>
  <c r="A1139" i="4"/>
  <c r="A1118" i="4"/>
  <c r="A1116" i="4"/>
  <c r="A1115" i="4"/>
  <c r="A1132" i="4"/>
  <c r="A1131" i="4"/>
  <c r="A1130" i="4"/>
  <c r="A1133" i="4"/>
  <c r="A1112" i="4"/>
  <c r="A1107" i="4"/>
  <c r="A1027" i="4"/>
  <c r="A1020" i="4"/>
  <c r="A1021" i="4"/>
  <c r="A1013" i="4"/>
  <c r="A1004" i="4"/>
  <c r="A1003" i="4"/>
  <c r="A856" i="4"/>
  <c r="A852" i="4"/>
  <c r="A851" i="4"/>
  <c r="A835" i="4"/>
  <c r="A830" i="4"/>
  <c r="A829" i="4"/>
  <c r="A828" i="4"/>
  <c r="A833" i="4"/>
  <c r="A820" i="4"/>
  <c r="A822" i="4"/>
  <c r="A818" i="4"/>
  <c r="A809" i="4"/>
  <c r="A808" i="4"/>
  <c r="A806" i="4"/>
  <c r="A803" i="4"/>
  <c r="A793" i="4"/>
  <c r="A792" i="4"/>
  <c r="A791" i="4"/>
  <c r="A799" i="4"/>
  <c r="A797" i="4"/>
  <c r="A783" i="4"/>
  <c r="A789" i="4"/>
  <c r="A779" i="4"/>
  <c r="A757" i="4"/>
  <c r="A770" i="4"/>
  <c r="A768" i="4"/>
  <c r="A755" i="4"/>
  <c r="A731" i="4"/>
  <c r="A730" i="4"/>
  <c r="A729" i="4"/>
  <c r="A724" i="4"/>
  <c r="A322" i="4"/>
  <c r="A745" i="4"/>
  <c r="A747" i="4"/>
  <c r="A712" i="4"/>
  <c r="A703" i="4"/>
  <c r="A702" i="4"/>
  <c r="A705" i="4"/>
  <c r="A704" i="4"/>
  <c r="A709" i="4"/>
  <c r="A708" i="4"/>
  <c r="A690" i="4"/>
  <c r="A673" i="4"/>
  <c r="A672" i="4"/>
  <c r="A675" i="4"/>
  <c r="A671" i="4"/>
  <c r="A666" i="4"/>
  <c r="A654" i="4"/>
  <c r="A652" i="4"/>
  <c r="A640" i="4"/>
  <c r="A638" i="4"/>
  <c r="A646" i="4"/>
  <c r="A616" i="4"/>
  <c r="A632" i="4"/>
  <c r="A631" i="4"/>
  <c r="A627" i="4"/>
  <c r="A609" i="4"/>
  <c r="A605" i="4"/>
  <c r="A594" i="4"/>
  <c r="A589" i="4"/>
  <c r="A588" i="4"/>
  <c r="A586" i="4"/>
  <c r="A587" i="4"/>
  <c r="A590" i="4"/>
  <c r="A582" i="4"/>
  <c r="A751" i="4"/>
  <c r="A569" i="4"/>
  <c r="A557" i="4"/>
  <c r="A542" i="4"/>
  <c r="A520" i="4"/>
  <c r="A523" i="4"/>
  <c r="A515" i="4"/>
  <c r="A505" i="4"/>
  <c r="A504" i="4"/>
  <c r="A497" i="4"/>
  <c r="A501" i="4"/>
  <c r="A500" i="4"/>
  <c r="A491" i="4"/>
  <c r="A481" i="4"/>
  <c r="A479" i="4"/>
  <c r="A487" i="4"/>
  <c r="A470" i="4"/>
  <c r="A475" i="4"/>
  <c r="A469" i="4"/>
  <c r="A450" i="4"/>
  <c r="A463" i="4"/>
  <c r="A464" i="4"/>
  <c r="A465" i="4"/>
  <c r="A398" i="4"/>
  <c r="A399" i="4"/>
  <c r="A408" i="4"/>
  <c r="A401" i="4"/>
  <c r="A378" i="4"/>
  <c r="A1127" i="4"/>
  <c r="A351" i="4"/>
  <c r="A441" i="4"/>
  <c r="A432" i="4"/>
  <c r="A425" i="4"/>
  <c r="A433" i="4"/>
  <c r="A318" i="4"/>
  <c r="A321" i="4"/>
  <c r="A320" i="4"/>
  <c r="A314" i="4"/>
  <c r="A341" i="4"/>
  <c r="A275" i="4"/>
  <c r="A332" i="4"/>
  <c r="A331" i="4"/>
  <c r="A333" i="4"/>
  <c r="A308" i="4"/>
  <c r="A304" i="4"/>
  <c r="A305" i="4"/>
  <c r="A299" i="4"/>
  <c r="A294" i="4"/>
  <c r="A293" i="4"/>
  <c r="A297" i="4"/>
  <c r="A286" i="4"/>
  <c r="A290" i="4"/>
  <c r="A288" i="4"/>
  <c r="A285" i="4"/>
  <c r="A282" i="4"/>
  <c r="A263" i="4"/>
  <c r="A270" i="4"/>
  <c r="A271" i="4"/>
  <c r="A274" i="4"/>
  <c r="A232" i="4"/>
  <c r="A230" i="4"/>
  <c r="A188" i="4"/>
  <c r="A186" i="4"/>
  <c r="A184" i="4"/>
  <c r="A154" i="4"/>
  <c r="A153" i="4"/>
  <c r="A168" i="4"/>
  <c r="A167" i="4"/>
  <c r="A175" i="4"/>
  <c r="A177" i="4"/>
  <c r="A59" i="4"/>
  <c r="A165" i="4"/>
  <c r="A150" i="4"/>
  <c r="A201" i="4"/>
  <c r="A205" i="4"/>
  <c r="A204" i="4"/>
  <c r="A219" i="4"/>
  <c r="A224" i="4"/>
  <c r="A211" i="4"/>
  <c r="A212" i="4"/>
  <c r="A195" i="4"/>
  <c r="A189" i="4"/>
  <c r="A181" i="4"/>
  <c r="A1135" i="4"/>
  <c r="A139" i="4"/>
  <c r="A137" i="4"/>
  <c r="A133" i="4"/>
  <c r="A132" i="4"/>
  <c r="A122" i="4"/>
  <c r="A90" i="4"/>
  <c r="A91" i="4"/>
  <c r="A101" i="4"/>
  <c r="A96" i="4"/>
  <c r="A116" i="4"/>
  <c r="A115" i="4"/>
  <c r="A112" i="4"/>
  <c r="A106" i="4"/>
  <c r="A105" i="4"/>
  <c r="A104" i="4"/>
  <c r="A87" i="4"/>
  <c r="A28" i="4"/>
  <c r="A83" i="4"/>
  <c r="A82" i="4"/>
  <c r="A80" i="4"/>
  <c r="A85" i="4"/>
  <c r="A41" i="4"/>
  <c r="A40" i="4"/>
  <c r="A36" i="4"/>
  <c r="A35" i="4"/>
  <c r="A79" i="4"/>
  <c r="A67" i="4"/>
  <c r="A58" i="4"/>
  <c r="A23" i="4"/>
  <c r="A17" i="4"/>
  <c r="AB2" i="7" l="1"/>
  <c r="AB7" i="5"/>
  <c r="X2" i="8"/>
  <c r="AB4" i="6"/>
  <c r="AB6" i="6" s="1"/>
  <c r="G8" i="11"/>
  <c r="AB2" i="5"/>
  <c r="R8" i="5"/>
  <c r="AB6" i="5"/>
  <c r="AB4" i="5"/>
  <c r="Z8" i="5"/>
  <c r="X8" i="5"/>
  <c r="T8" i="5"/>
  <c r="AB5" i="5"/>
  <c r="AB3" i="5"/>
  <c r="AB2" i="6"/>
  <c r="AB5" i="2"/>
  <c r="X4" i="2"/>
  <c r="Z4" i="2"/>
  <c r="A151" i="2"/>
  <c r="A211" i="2" s="1"/>
  <c r="A271" i="2" s="1"/>
  <c r="T2" i="2"/>
  <c r="T3" i="2"/>
  <c r="Z2" i="2"/>
  <c r="Z3" i="2"/>
  <c r="R2" i="2"/>
  <c r="R3" i="2"/>
  <c r="X3" i="2"/>
  <c r="X2" i="2"/>
  <c r="R4" i="2"/>
  <c r="T4" i="2"/>
  <c r="AB2" i="8"/>
  <c r="G12" i="11"/>
  <c r="G13" i="11"/>
  <c r="F4" i="11"/>
  <c r="G4" i="11" s="1"/>
  <c r="G15" i="11"/>
  <c r="G17" i="11"/>
  <c r="E37" i="11"/>
  <c r="G9" i="11"/>
  <c r="G6" i="11"/>
  <c r="E18" i="11"/>
  <c r="E1284" i="4"/>
  <c r="A301" i="2" l="1"/>
  <c r="A361" i="2" s="1"/>
  <c r="A391" i="2" s="1"/>
  <c r="A421" i="2" s="1"/>
  <c r="A451" i="2" s="1"/>
  <c r="A481" i="2" s="1"/>
  <c r="A331" i="2"/>
  <c r="F18" i="11"/>
  <c r="AB8" i="5"/>
  <c r="AB4" i="2"/>
  <c r="AB2" i="2"/>
  <c r="AB3" i="2"/>
  <c r="F37" i="11"/>
  <c r="G37" i="11"/>
  <c r="G18" i="11"/>
  <c r="A5" i="9"/>
  <c r="A6" i="9" l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l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l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</calcChain>
</file>

<file path=xl/sharedStrings.xml><?xml version="1.0" encoding="utf-8"?>
<sst xmlns="http://schemas.openxmlformats.org/spreadsheetml/2006/main" count="10778" uniqueCount="1407">
  <si>
    <t>A</t>
  </si>
  <si>
    <t>B</t>
  </si>
  <si>
    <t>C</t>
  </si>
  <si>
    <t>Lê Duy Tín</t>
  </si>
  <si>
    <t>Đạt</t>
  </si>
  <si>
    <t>Thịnh</t>
  </si>
  <si>
    <t>Duy</t>
  </si>
  <si>
    <t>Thành</t>
  </si>
  <si>
    <t>Hiền</t>
  </si>
  <si>
    <t>Quân</t>
  </si>
  <si>
    <t>An</t>
  </si>
  <si>
    <t>Thư</t>
  </si>
  <si>
    <t>Bảo</t>
  </si>
  <si>
    <t>Minh</t>
  </si>
  <si>
    <t>Anh</t>
  </si>
  <si>
    <t>Dương</t>
  </si>
  <si>
    <t>Tường</t>
  </si>
  <si>
    <t>Ni</t>
  </si>
  <si>
    <t>Khánh</t>
  </si>
  <si>
    <t>Nhân</t>
  </si>
  <si>
    <t>Vy</t>
  </si>
  <si>
    <t>Dung</t>
  </si>
  <si>
    <t>Ân</t>
  </si>
  <si>
    <t>Khoa</t>
  </si>
  <si>
    <t>Ngân</t>
  </si>
  <si>
    <t>Lực</t>
  </si>
  <si>
    <t>Nguyên</t>
  </si>
  <si>
    <t>Thảo</t>
  </si>
  <si>
    <t>Thiện</t>
  </si>
  <si>
    <t>Kim</t>
  </si>
  <si>
    <t>Tiên</t>
  </si>
  <si>
    <t>Thi</t>
  </si>
  <si>
    <t>Vinh</t>
  </si>
  <si>
    <t>Trí</t>
  </si>
  <si>
    <t>Ngọc</t>
  </si>
  <si>
    <t>Phúc</t>
  </si>
  <si>
    <t>Đoan</t>
  </si>
  <si>
    <t>Nhiên</t>
  </si>
  <si>
    <t>Nguyện</t>
  </si>
  <si>
    <t>Đan</t>
  </si>
  <si>
    <t>Quyên</t>
  </si>
  <si>
    <t>Linh</t>
  </si>
  <si>
    <t>Yến</t>
  </si>
  <si>
    <t>Phú</t>
  </si>
  <si>
    <t>Long</t>
  </si>
  <si>
    <t>Nhung</t>
  </si>
  <si>
    <t>Nhi</t>
  </si>
  <si>
    <t>Trâm</t>
  </si>
  <si>
    <t>Danh</t>
  </si>
  <si>
    <t>Hân</t>
  </si>
  <si>
    <t>Tuyền</t>
  </si>
  <si>
    <t>Thuận</t>
  </si>
  <si>
    <t>Quy</t>
  </si>
  <si>
    <t>Hương</t>
  </si>
  <si>
    <t>Tú</t>
  </si>
  <si>
    <t>Quý</t>
  </si>
  <si>
    <t>Như</t>
  </si>
  <si>
    <t>Trúc</t>
  </si>
  <si>
    <t>Tình</t>
  </si>
  <si>
    <t>Đông</t>
  </si>
  <si>
    <t>Trung</t>
  </si>
  <si>
    <t>Phấn</t>
  </si>
  <si>
    <t>Nhật</t>
  </si>
  <si>
    <t>Hiếu</t>
  </si>
  <si>
    <t>Kiệt</t>
  </si>
  <si>
    <t>Vân</t>
  </si>
  <si>
    <t>Đào</t>
  </si>
  <si>
    <t>Luật</t>
  </si>
  <si>
    <t>Khang</t>
  </si>
  <si>
    <t>Tỷ</t>
  </si>
  <si>
    <t>Bách</t>
  </si>
  <si>
    <t>Duyên</t>
  </si>
  <si>
    <t>Nguyễn</t>
  </si>
  <si>
    <t>Nam</t>
  </si>
  <si>
    <t>Trân</t>
  </si>
  <si>
    <t>Nghi</t>
  </si>
  <si>
    <t>Ánh</t>
  </si>
  <si>
    <t>Hạnh</t>
  </si>
  <si>
    <t>Uyên</t>
  </si>
  <si>
    <t>Ý</t>
  </si>
  <si>
    <t>Tiến</t>
  </si>
  <si>
    <t>Đoàn</t>
  </si>
  <si>
    <t>Ly</t>
  </si>
  <si>
    <t>Hên</t>
  </si>
  <si>
    <t>Trăm</t>
  </si>
  <si>
    <t>Thy</t>
  </si>
  <si>
    <t>Hưng</t>
  </si>
  <si>
    <t>Châu</t>
  </si>
  <si>
    <t>Bin</t>
  </si>
  <si>
    <t>Thắng</t>
  </si>
  <si>
    <t>Nghĩa</t>
  </si>
  <si>
    <t>Quỳnh</t>
  </si>
  <si>
    <t>Phát</t>
  </si>
  <si>
    <t>Toàn</t>
  </si>
  <si>
    <t>Xuyên</t>
  </si>
  <si>
    <t>Đăng</t>
  </si>
  <si>
    <t>Trọng</t>
  </si>
  <si>
    <t>Hoàng</t>
  </si>
  <si>
    <t>Tài</t>
  </si>
  <si>
    <t>Lộc</t>
  </si>
  <si>
    <t>Chí</t>
  </si>
  <si>
    <t>Trinh</t>
  </si>
  <si>
    <t>Huỳnh</t>
  </si>
  <si>
    <t>Giàu</t>
  </si>
  <si>
    <t>Thanh</t>
  </si>
  <si>
    <t>Băng</t>
  </si>
  <si>
    <t>Huy</t>
  </si>
  <si>
    <t>Diệu</t>
  </si>
  <si>
    <t>Hoa</t>
  </si>
  <si>
    <t>Thông</t>
  </si>
  <si>
    <t>Thiên</t>
  </si>
  <si>
    <t>Chi</t>
  </si>
  <si>
    <t>Cường</t>
  </si>
  <si>
    <t>Khôi</t>
  </si>
  <si>
    <t>Ái</t>
  </si>
  <si>
    <t>Tâm</t>
  </si>
  <si>
    <t>Hậu</t>
  </si>
  <si>
    <t>Tín</t>
  </si>
  <si>
    <t>Du</t>
  </si>
  <si>
    <t>Liên</t>
  </si>
  <si>
    <t>Trường</t>
  </si>
  <si>
    <t>Phong</t>
  </si>
  <si>
    <t>Phước</t>
  </si>
  <si>
    <t>Hà</t>
  </si>
  <si>
    <t>Lan</t>
  </si>
  <si>
    <t>Oanh</t>
  </si>
  <si>
    <t>My</t>
  </si>
  <si>
    <t>Thơ</t>
  </si>
  <si>
    <t>Hòa</t>
  </si>
  <si>
    <t>Thái</t>
  </si>
  <si>
    <t>Thuyền</t>
  </si>
  <si>
    <t>Tùng</t>
  </si>
  <si>
    <t>Chương</t>
  </si>
  <si>
    <t>Mai</t>
  </si>
  <si>
    <t>Trang</t>
  </si>
  <si>
    <t>Lê Huỳnh Tường</t>
  </si>
  <si>
    <t>Ng Lê Minh</t>
  </si>
  <si>
    <t>Ng Phước</t>
  </si>
  <si>
    <t>Ng Trần Thảo</t>
  </si>
  <si>
    <t>Phạm Anh</t>
  </si>
  <si>
    <t>Phan Khang Phúc</t>
  </si>
  <si>
    <t>Phan Trần Ngọc</t>
  </si>
  <si>
    <t>Văn Viết Gia</t>
  </si>
  <si>
    <t>Võ Đặng Gia</t>
  </si>
  <si>
    <t>Võ Đoàn Minh</t>
  </si>
  <si>
    <t>Ng Đặng Thùy</t>
  </si>
  <si>
    <t>Lý Gia</t>
  </si>
  <si>
    <t>Ng Ng Rop</t>
  </si>
  <si>
    <t>Ng Quốc</t>
  </si>
  <si>
    <t>Ng Trọng</t>
  </si>
  <si>
    <t>Phan Gia</t>
  </si>
  <si>
    <t>Phan Ngọc Ngân</t>
  </si>
  <si>
    <t>Võ T Diễm</t>
  </si>
  <si>
    <t>Phan Thị Tú</t>
  </si>
  <si>
    <t>Tr Ngọc Cát</t>
  </si>
  <si>
    <t>Hồ Gia</t>
  </si>
  <si>
    <t>Lê Hạnh</t>
  </si>
  <si>
    <t>Lê Ng Thiên</t>
  </si>
  <si>
    <t>Ng Lê Tuấn</t>
  </si>
  <si>
    <t>Ng Thị Ngọc</t>
  </si>
  <si>
    <t>Ng Thị Thùy</t>
  </si>
  <si>
    <t xml:space="preserve">Phạm Công </t>
  </si>
  <si>
    <t>Phan Quang</t>
  </si>
  <si>
    <t>Tr Quang</t>
  </si>
  <si>
    <t xml:space="preserve">Bùi Thị Thảo </t>
  </si>
  <si>
    <t xml:space="preserve">Đặng Ngọc Lan </t>
  </si>
  <si>
    <t xml:space="preserve">Lê Chí </t>
  </si>
  <si>
    <t xml:space="preserve">Lê Hoàng Lam </t>
  </si>
  <si>
    <t xml:space="preserve">Lê Ng Thiên </t>
  </si>
  <si>
    <t xml:space="preserve">Nông Trần Bảo </t>
  </si>
  <si>
    <t>Tr Mỹ Thi</t>
  </si>
  <si>
    <t>Ng Minh</t>
  </si>
  <si>
    <t>Đỗ Thành</t>
  </si>
  <si>
    <t>Hồ Hoài</t>
  </si>
  <si>
    <t>Lê Hoàng</t>
  </si>
  <si>
    <t>Lê Huỳnh Khánh</t>
  </si>
  <si>
    <t>Lê</t>
  </si>
  <si>
    <t>Lý Hạo</t>
  </si>
  <si>
    <t>Ng Văn</t>
  </si>
  <si>
    <t>Phạm Thuyên</t>
  </si>
  <si>
    <t>Trần Ng Hoàng</t>
  </si>
  <si>
    <t>Trương Thành</t>
  </si>
  <si>
    <t>Võ Tr Phương</t>
  </si>
  <si>
    <t>Ng Thị Bảo</t>
  </si>
  <si>
    <t>Hồ Ngọc Gia</t>
  </si>
  <si>
    <t>Lê Ng Gia</t>
  </si>
  <si>
    <t>Lê Ng Phước</t>
  </si>
  <si>
    <t>Lê Phan Thiên</t>
  </si>
  <si>
    <t>Lê Thị Tuyết</t>
  </si>
  <si>
    <t>Lê Xuân Kiều</t>
  </si>
  <si>
    <t>Ng Hữu</t>
  </si>
  <si>
    <t>Ng Nhã</t>
  </si>
  <si>
    <t>Ng Thị Kim</t>
  </si>
  <si>
    <t xml:space="preserve">Ng Vũ Như </t>
  </si>
  <si>
    <t>Ngô Ng Hòa</t>
  </si>
  <si>
    <t>Phạm Lê Gia</t>
  </si>
  <si>
    <t>Dương Mỹ</t>
  </si>
  <si>
    <t>Lê Bùi Quyền</t>
  </si>
  <si>
    <t>Ng Hoàng</t>
  </si>
  <si>
    <t>Ng Ngọc Song</t>
  </si>
  <si>
    <t>Ng Thị Cẫm</t>
  </si>
  <si>
    <t>Ng Thị Quỳnh</t>
  </si>
  <si>
    <t>Ng Thị Xuân</t>
  </si>
  <si>
    <t>Hồ Quốc</t>
  </si>
  <si>
    <t>Trần Thị Xuân</t>
  </si>
  <si>
    <t>Võ Ngọc</t>
  </si>
  <si>
    <t>Huỳnh Minh</t>
  </si>
  <si>
    <t>Lê Thị Như</t>
  </si>
  <si>
    <t>Ng Kim Ngọc</t>
  </si>
  <si>
    <t xml:space="preserve">Ng Minh </t>
  </si>
  <si>
    <t>Ng Duy</t>
  </si>
  <si>
    <t>Ng Thanh</t>
  </si>
  <si>
    <t>Trần Hoài</t>
  </si>
  <si>
    <t>Ng Trí Ái</t>
  </si>
  <si>
    <t>Đỗ Thị Hoài</t>
  </si>
  <si>
    <t>Ngô Ngọc Kim</t>
  </si>
  <si>
    <t>Pham Thị Xuân</t>
  </si>
  <si>
    <t>Nguyễn Tiến</t>
  </si>
  <si>
    <t>Phan  Đức</t>
  </si>
  <si>
    <t>Đặng Huy Hoàng Gia</t>
  </si>
  <si>
    <t>Huỳnh Quốc</t>
  </si>
  <si>
    <t>Lê Phát</t>
  </si>
  <si>
    <t>Lê Xuân</t>
  </si>
  <si>
    <t>Ng Ngọc Thanh</t>
  </si>
  <si>
    <t>Phan Ng Ngọc</t>
  </si>
  <si>
    <t>Phan Ng Phương</t>
  </si>
  <si>
    <t>Dương Thị Yến</t>
  </si>
  <si>
    <t>Trần Ng Thúy</t>
  </si>
  <si>
    <t>Trần Ng Anh</t>
  </si>
  <si>
    <t>Ng Ngọc Bảo</t>
  </si>
  <si>
    <t>Phan Thị Thu</t>
  </si>
  <si>
    <t>Võ Thị Hồng</t>
  </si>
  <si>
    <t>Dương Trần Nhựt</t>
  </si>
  <si>
    <t>Đỗ Ngọc Thiên</t>
  </si>
  <si>
    <t>Lê Tú</t>
  </si>
  <si>
    <t xml:space="preserve">Lê Trần Ngọc Như </t>
  </si>
  <si>
    <t>Ng Đức</t>
  </si>
  <si>
    <t>Ng Gia</t>
  </si>
  <si>
    <t>Trần Thanh</t>
  </si>
  <si>
    <t>Ng Huỳnh Trí</t>
  </si>
  <si>
    <t>Ng Lê Thiện</t>
  </si>
  <si>
    <t>Trần Ng Trúc</t>
  </si>
  <si>
    <t>Hồ Hữu</t>
  </si>
  <si>
    <t>Lê Ng Ngọc</t>
  </si>
  <si>
    <t>Lê Thị Bích</t>
  </si>
  <si>
    <t>Lê Trung</t>
  </si>
  <si>
    <t>Ng Thị Thanh</t>
  </si>
  <si>
    <t>Ng Trần Bảo</t>
  </si>
  <si>
    <t>Pham Anh</t>
  </si>
  <si>
    <t>Phạm Quốc</t>
  </si>
  <si>
    <t>Phan Ngọc Bảo</t>
  </si>
  <si>
    <t>Trần Huỳnh</t>
  </si>
  <si>
    <t>Trần Minh</t>
  </si>
  <si>
    <t>Lê Ng Huỳnh</t>
  </si>
  <si>
    <t>Phạm Thái</t>
  </si>
  <si>
    <t>Phan Thị Xuân</t>
  </si>
  <si>
    <t>Trần Đình</t>
  </si>
  <si>
    <t>Lê Phạm Yến</t>
  </si>
  <si>
    <t>Ng Trí</t>
  </si>
  <si>
    <t>Trần Thị</t>
  </si>
  <si>
    <t>Võ Thị Ngọc</t>
  </si>
  <si>
    <t>Phạm Thị Kim</t>
  </si>
  <si>
    <t>Phạm Hoàng</t>
  </si>
  <si>
    <t>Ngô Ng Tường</t>
  </si>
  <si>
    <t>Ng Thị Thu</t>
  </si>
  <si>
    <t>Ng Thị Thoại</t>
  </si>
  <si>
    <t>Ng Thị Tuyết</t>
  </si>
  <si>
    <t>Ng Thị Như</t>
  </si>
  <si>
    <t>Ng Thị Ngoc</t>
  </si>
  <si>
    <t>Ng Phúc</t>
  </si>
  <si>
    <t>Le Thị Nhựt</t>
  </si>
  <si>
    <t>Dương Duy</t>
  </si>
  <si>
    <t>Phù Thị Mỹ</t>
  </si>
  <si>
    <t>Lê Hải</t>
  </si>
  <si>
    <t>Ng Thị Phi</t>
  </si>
  <si>
    <t>Ng Thị Thúy</t>
  </si>
  <si>
    <t>Võ Ng Thanh</t>
  </si>
  <si>
    <t>Trần Thị Thanh</t>
  </si>
  <si>
    <t>Trần Lê Tuấn</t>
  </si>
  <si>
    <t>Phan Thị Trúc</t>
  </si>
  <si>
    <t>Phan Hoàng</t>
  </si>
  <si>
    <t>Ng Thị Kiều</t>
  </si>
  <si>
    <t>Ng Phạm Thị Tuyết</t>
  </si>
  <si>
    <t>Lê Quang</t>
  </si>
  <si>
    <t>Lê Mai Huỳnh</t>
  </si>
  <si>
    <t xml:space="preserve">Ng Hoàng </t>
  </si>
  <si>
    <t>Ng Ngọc Ý</t>
  </si>
  <si>
    <t>Phạm Hữu</t>
  </si>
  <si>
    <t>Lê Chí</t>
  </si>
  <si>
    <t>Lê Hữu</t>
  </si>
  <si>
    <t>Lê Ng Diệp</t>
  </si>
  <si>
    <t>Lê Ngọc Như</t>
  </si>
  <si>
    <t>Lê Tuấn</t>
  </si>
  <si>
    <t>Ng Thị Huỳnh</t>
  </si>
  <si>
    <t>Thạch Trần Gia</t>
  </si>
  <si>
    <t>Trần Bảo</t>
  </si>
  <si>
    <t>Trần Hiếu</t>
  </si>
  <si>
    <t>Lê Minh Tấn</t>
  </si>
  <si>
    <t>Lục Minh</t>
  </si>
  <si>
    <t>Ng Huy</t>
  </si>
  <si>
    <t>Phạm Hải</t>
  </si>
  <si>
    <t>Phan Phước</t>
  </si>
  <si>
    <t>Phan Tấn</t>
  </si>
  <si>
    <t>Trần Chí</t>
  </si>
  <si>
    <t>Võ Ng Tuấn</t>
  </si>
  <si>
    <t>Võ Quốc</t>
  </si>
  <si>
    <t>Ng Thị Tú</t>
  </si>
  <si>
    <t>Phan Ngọc Thùy</t>
  </si>
  <si>
    <t>Dương Anh</t>
  </si>
  <si>
    <t>Hồ Thị Ngọc</t>
  </si>
  <si>
    <t>Lê Hoàng Thiên</t>
  </si>
  <si>
    <t>Lê Trần Khánh</t>
  </si>
  <si>
    <t>Lê Trần Thảo</t>
  </si>
  <si>
    <t>Ng Lê Phương</t>
  </si>
  <si>
    <t>Ng Thị Hoàng</t>
  </si>
  <si>
    <t>Ngụy Vĩnh</t>
  </si>
  <si>
    <t>Pham Hồng</t>
  </si>
  <si>
    <t>Phan Trần Huỳnh</t>
  </si>
  <si>
    <t>Trần Huỳnh Như</t>
  </si>
  <si>
    <t>Dư Ngọc Cát</t>
  </si>
  <si>
    <t>Dương Trần Nhật</t>
  </si>
  <si>
    <t>Lê Đỗ Kim</t>
  </si>
  <si>
    <t>Lê Phạm Gia</t>
  </si>
  <si>
    <t>Ng Thái Thịnh</t>
  </si>
  <si>
    <t>Trần Ng Đăng</t>
  </si>
  <si>
    <t>Trần Ng Khã</t>
  </si>
  <si>
    <t>Văn Ngọc Khánh</t>
  </si>
  <si>
    <t>Võ Minh</t>
  </si>
  <si>
    <t>Võ Phúc</t>
  </si>
  <si>
    <t>Lê Thị Thùy</t>
  </si>
  <si>
    <t>Trần Võ Thảo</t>
  </si>
  <si>
    <t>Chu Hà</t>
  </si>
  <si>
    <t>Huỳnh Thị Anh</t>
  </si>
  <si>
    <t>Lê Hoàng Phước</t>
  </si>
  <si>
    <t>Lê Ngọc Phương</t>
  </si>
  <si>
    <t>Mai Tố</t>
  </si>
  <si>
    <t>Ng Huỳnh Xuân</t>
  </si>
  <si>
    <t>Ng Lê Hạnh</t>
  </si>
  <si>
    <t>Ng Lê Yến</t>
  </si>
  <si>
    <t>Ng Ngọc Anh</t>
  </si>
  <si>
    <t>Ng Thị Bích</t>
  </si>
  <si>
    <t>Pham Ng Nhật</t>
  </si>
  <si>
    <t>Phan Ng Bích</t>
  </si>
  <si>
    <t>Bùi Duy</t>
  </si>
  <si>
    <t>Võ Ng Ngọc</t>
  </si>
  <si>
    <t>Ng Hoàng Quốc</t>
  </si>
  <si>
    <t>Ng Hồng</t>
  </si>
  <si>
    <t>Lê Thị Minh</t>
  </si>
  <si>
    <t>Ng Thị Yến</t>
  </si>
  <si>
    <t>Phan Thái</t>
  </si>
  <si>
    <t>Trần Thiện</t>
  </si>
  <si>
    <t>Võ Lê Phước</t>
  </si>
  <si>
    <t>Phạm Lĩnh Sơn</t>
  </si>
  <si>
    <t>Trần Lê Nguyên</t>
  </si>
  <si>
    <t>Huỳnh Ngọc Yến</t>
  </si>
  <si>
    <t>Lê Thị Yến</t>
  </si>
  <si>
    <t>Ng Huỳnh Bảo</t>
  </si>
  <si>
    <t>Ng Thị Trà</t>
  </si>
  <si>
    <t>Võ Thị Kim</t>
  </si>
  <si>
    <t>Hồ Lê Bảo</t>
  </si>
  <si>
    <t>Huỳnh Thị Trúc</t>
  </si>
  <si>
    <t>Ng Lê Bảo</t>
  </si>
  <si>
    <t>Ng Thị Cẩm</t>
  </si>
  <si>
    <t>Ng Thiện</t>
  </si>
  <si>
    <t>Ngô Phạm Đăng</t>
  </si>
  <si>
    <t>Phạm Tấn</t>
  </si>
  <si>
    <t>Phan Ng Anh</t>
  </si>
  <si>
    <t>Võ Ng An</t>
  </si>
  <si>
    <t>Võ Phú</t>
  </si>
  <si>
    <t>Lê Ngọc Anh</t>
  </si>
  <si>
    <t>Ng Lâm Gia</t>
  </si>
  <si>
    <t>Trương Ái</t>
  </si>
  <si>
    <t>Trần Thị Diểm</t>
  </si>
  <si>
    <t>Nguyễn Đình Nhật</t>
  </si>
  <si>
    <t>STT</t>
  </si>
  <si>
    <t>HỌ</t>
  </si>
  <si>
    <t>TÊN</t>
  </si>
  <si>
    <t>SỐ ĐT</t>
  </si>
  <si>
    <t>LỚP</t>
  </si>
  <si>
    <t>NHỚM</t>
  </si>
  <si>
    <t>Họ và tên</t>
  </si>
  <si>
    <t>Tiền</t>
  </si>
  <si>
    <t>Ngày</t>
  </si>
  <si>
    <t>Tên</t>
  </si>
  <si>
    <t>Số 
Đ Thoại</t>
  </si>
  <si>
    <t>Thiếu</t>
  </si>
  <si>
    <t>THIẾU</t>
  </si>
  <si>
    <t>ĐỢT 5</t>
  </si>
  <si>
    <t>ĐỢT 6</t>
  </si>
  <si>
    <t>ĐỢT 7</t>
  </si>
  <si>
    <t>ĐỢT 8</t>
  </si>
  <si>
    <t>TỔNG CỘNG</t>
  </si>
  <si>
    <t>SÓ L Đ</t>
  </si>
  <si>
    <t>số đợt</t>
  </si>
  <si>
    <t>tiền 1 đợt</t>
  </si>
  <si>
    <r>
      <t xml:space="preserve">Số </t>
    </r>
    <r>
      <rPr>
        <sz val="14"/>
        <color rgb="FF00B050"/>
        <rFont val="Times New Roman"/>
        <family val="1"/>
      </rPr>
      <t>đợt</t>
    </r>
    <r>
      <rPr>
        <sz val="14"/>
        <color theme="1"/>
        <rFont val="Times New Roman"/>
        <family val="1"/>
      </rPr>
      <t xml:space="preserve"> bằng đột dạy trong danh sách</t>
    </r>
  </si>
  <si>
    <t>Copy nợ củ sang file mói</t>
  </si>
  <si>
    <t>Học sinh nghỉ, đánh N ở cột nhớm</t>
  </si>
  <si>
    <t>DANH SÁCH HỌC SINH NGHỈ CHƯA ĐỐNG TIỀN NĂM 2023 - 2024</t>
  </si>
  <si>
    <t>copy học simh nghỉ sang danh sách nợi</t>
  </si>
  <si>
    <t>SaveAs file mới</t>
  </si>
  <si>
    <t>Sóa học sinh nghỉ khổi danh sách mới</t>
  </si>
  <si>
    <t>Sữa lớp, xóa HS 12. Sửa từ lớp lớn xuống lớp nhỏ</t>
  </si>
  <si>
    <t>TÔ MAU XEN KẺ</t>
  </si>
  <si>
    <t>quét khối (bỏ vòng tiêu đề</t>
  </si>
  <si>
    <t>Chon:Home/Conditinoal Formatting/New Rule</t>
  </si>
  <si>
    <t>Chon: Use a fomula to dêtmne ….(vòng cuối)</t>
  </si>
  <si>
    <t>cú pháp =ISODD(ROW())</t>
  </si>
  <si>
    <t>Fmat/Fill/màu/ok/ok</t>
  </si>
  <si>
    <t xml:space="preserve">Trần Lê Yến </t>
  </si>
  <si>
    <t>Lê Long</t>
  </si>
  <si>
    <t>Cẩm</t>
  </si>
  <si>
    <t xml:space="preserve">Quyên </t>
  </si>
  <si>
    <t>Mỹ</t>
  </si>
  <si>
    <t>Ngô Gia</t>
  </si>
  <si>
    <t>N</t>
  </si>
  <si>
    <t>Đỗ Minh</t>
  </si>
  <si>
    <t>Đợt 3</t>
  </si>
  <si>
    <t>Đợt 4</t>
  </si>
  <si>
    <t>Hồ Thị Huỳnh</t>
  </si>
  <si>
    <t xml:space="preserve">Ng Thiên </t>
  </si>
  <si>
    <t>DANH SÁCH HỌC SINH NĂM 2024 - 2025</t>
  </si>
  <si>
    <t xml:space="preserve">Lê Diểm </t>
  </si>
  <si>
    <t>Trịnh Ng Phú</t>
  </si>
  <si>
    <t>Lê Thanh</t>
  </si>
  <si>
    <t>Hào</t>
  </si>
  <si>
    <t>Trần Thị Mỹ</t>
  </si>
  <si>
    <t xml:space="preserve">Bùi Lý Gia </t>
  </si>
  <si>
    <t>Trần Thi Thảo</t>
  </si>
  <si>
    <t>Đỗ Mai Học</t>
  </si>
  <si>
    <t>Lễ</t>
  </si>
  <si>
    <t>Huỳnh Tiến</t>
  </si>
  <si>
    <t>Triển</t>
  </si>
  <si>
    <t xml:space="preserve">Võ Thành </t>
  </si>
  <si>
    <t>Ng Vĩnh</t>
  </si>
  <si>
    <t>Ng Nhựt</t>
  </si>
  <si>
    <t xml:space="preserve">Huỳnh Thị Bảo </t>
  </si>
  <si>
    <t xml:space="preserve">Phan Tiến </t>
  </si>
  <si>
    <t>Kha</t>
  </si>
  <si>
    <t>Phan Ng Gia</t>
  </si>
  <si>
    <t xml:space="preserve">Phan Hồng </t>
  </si>
  <si>
    <t>Lê Hãi</t>
  </si>
  <si>
    <t>Cao Huỳnh</t>
  </si>
  <si>
    <t>Lê Thành</t>
  </si>
  <si>
    <t>Đỗ Phan Trong</t>
  </si>
  <si>
    <t xml:space="preserve">Đặng Anh </t>
  </si>
  <si>
    <t>Quốc</t>
  </si>
  <si>
    <t>Nguyễn Nguyên</t>
  </si>
  <si>
    <t>Lương Thị Trúc</t>
  </si>
  <si>
    <t>Phạm Thành</t>
  </si>
  <si>
    <t xml:space="preserve">Đinh Tuấn </t>
  </si>
  <si>
    <t>Thạch Trần Đỗ</t>
  </si>
  <si>
    <t>Trần Thị Thu</t>
  </si>
  <si>
    <t>Thuỷ</t>
  </si>
  <si>
    <t>Tô Nhã</t>
  </si>
  <si>
    <t xml:space="preserve">Huỳnh Thị Thuỳ </t>
  </si>
  <si>
    <t>Phan Thị Thuỳ</t>
  </si>
  <si>
    <t xml:space="preserve">Trần Tấn </t>
  </si>
  <si>
    <t xml:space="preserve">Ng Thị Kim </t>
  </si>
  <si>
    <t>Nguyễn Thị Hồng</t>
  </si>
  <si>
    <t>Gấm</t>
  </si>
  <si>
    <t xml:space="preserve">Huỳnh Trần Hữu </t>
  </si>
  <si>
    <t>Lê Hoàng Thuỳ</t>
  </si>
  <si>
    <t>Lâm</t>
  </si>
  <si>
    <t xml:space="preserve">Phan Yến </t>
  </si>
  <si>
    <t xml:space="preserve">Trần Gia </t>
  </si>
  <si>
    <t>Phan Minh</t>
  </si>
  <si>
    <t>Triết</t>
  </si>
  <si>
    <t xml:space="preserve">Đỗ Thị Cẩm </t>
  </si>
  <si>
    <t>Lụa</t>
  </si>
  <si>
    <t xml:space="preserve">Trần Lan </t>
  </si>
  <si>
    <t xml:space="preserve">Lê Hoàng Thuỳ </t>
  </si>
  <si>
    <t xml:space="preserve">Trần Thị Thiên </t>
  </si>
  <si>
    <t xml:space="preserve">Lê Hiếu </t>
  </si>
  <si>
    <t xml:space="preserve">Hồ Lê Bảo </t>
  </si>
  <si>
    <t>Ng Đoan Gia</t>
  </si>
  <si>
    <t xml:space="preserve">Nguễn Thái Đăng </t>
  </si>
  <si>
    <t>Trần Quốc</t>
  </si>
  <si>
    <t>Nga</t>
  </si>
  <si>
    <t>Ng Trương Ngọc</t>
  </si>
  <si>
    <t xml:space="preserve">Ng Viết </t>
  </si>
  <si>
    <t xml:space="preserve">Ng Trọng </t>
  </si>
  <si>
    <t xml:space="preserve">Trần Thị Tường </t>
  </si>
  <si>
    <t xml:space="preserve">Trần Thị Thảo </t>
  </si>
  <si>
    <t xml:space="preserve">Ng Hữu </t>
  </si>
  <si>
    <t>Việt</t>
  </si>
  <si>
    <t>Ng Thi Thiên</t>
  </si>
  <si>
    <t>Võ Ngọc Thảo</t>
  </si>
  <si>
    <t xml:space="preserve">Trần Bảo </t>
  </si>
  <si>
    <t>Võ Thị Thuý</t>
  </si>
  <si>
    <t>Chế Ng Trí</t>
  </si>
  <si>
    <t xml:space="preserve">Trần Minh </t>
  </si>
  <si>
    <t xml:space="preserve">Hà Phan Hãi </t>
  </si>
  <si>
    <t>Lê Tấn</t>
  </si>
  <si>
    <t>Ng Thi kim</t>
  </si>
  <si>
    <t>Phan Thị Anh</t>
  </si>
  <si>
    <t>Phan Huỳnh Như</t>
  </si>
  <si>
    <t>Đợt 1</t>
  </si>
  <si>
    <t>Đợt 2</t>
  </si>
  <si>
    <t>Vi</t>
  </si>
  <si>
    <t>Phan La</t>
  </si>
  <si>
    <t>Thăng</t>
  </si>
  <si>
    <t>Phan Thị Thanh</t>
  </si>
  <si>
    <t xml:space="preserve">Lê Anh </t>
  </si>
  <si>
    <t xml:space="preserve">Lê Ng Triệu </t>
  </si>
  <si>
    <t>Ng Ngọc kim</t>
  </si>
  <si>
    <t>Đăng H Thị Thảo</t>
  </si>
  <si>
    <t xml:space="preserve">Huỳnh Hữu </t>
  </si>
  <si>
    <t>Mẩn</t>
  </si>
  <si>
    <t xml:space="preserve">Võ Thị Kim </t>
  </si>
  <si>
    <t>Đặng Chí</t>
  </si>
  <si>
    <t>Ng Thị Ánh</t>
  </si>
  <si>
    <t>La Thiên</t>
  </si>
  <si>
    <t xml:space="preserve">Ngô Gia </t>
  </si>
  <si>
    <t>Ng Bảo</t>
  </si>
  <si>
    <t>Đõ Huỳnh Bảo</t>
  </si>
  <si>
    <t>Ng Ngọc Quang</t>
  </si>
  <si>
    <t xml:space="preserve">Ng Hoàng Vân </t>
  </si>
  <si>
    <t>Giang</t>
  </si>
  <si>
    <t xml:space="preserve">Lê Thiện </t>
  </si>
  <si>
    <t>Lê Dương Anh</t>
  </si>
  <si>
    <t>Võ Thị Bảo</t>
  </si>
  <si>
    <t>Phan Thị</t>
  </si>
  <si>
    <t xml:space="preserve">Ng Lê </t>
  </si>
  <si>
    <t>Phạm Huy</t>
  </si>
  <si>
    <t>Trần Trọng</t>
  </si>
  <si>
    <t xml:space="preserve">Trần Thị Kim </t>
  </si>
  <si>
    <t>Ng Trần Hoài Thiện</t>
  </si>
  <si>
    <t>Nguyễn Gia</t>
  </si>
  <si>
    <t>La Chí</t>
  </si>
  <si>
    <t>Khải</t>
  </si>
  <si>
    <t xml:space="preserve">Lê Ngọc Bảo </t>
  </si>
  <si>
    <t>Ngà</t>
  </si>
  <si>
    <t>Nguyễn Lê Ngọc</t>
  </si>
  <si>
    <t>Trần Ng Ngọc</t>
  </si>
  <si>
    <t>Phùng</t>
  </si>
  <si>
    <t>Ng Lê Quốc</t>
  </si>
  <si>
    <t>Lý Võ Thanh</t>
  </si>
  <si>
    <t xml:space="preserve">Lê Phạm Hoài </t>
  </si>
  <si>
    <t>Trần Thị Cao</t>
  </si>
  <si>
    <t>Trần Quang</t>
  </si>
  <si>
    <t>Võ Thanh</t>
  </si>
  <si>
    <t>Nhã</t>
  </si>
  <si>
    <t xml:space="preserve">Ng Thị Tường </t>
  </si>
  <si>
    <t xml:space="preserve">Ng Trung </t>
  </si>
  <si>
    <t>Ng Thành</t>
  </si>
  <si>
    <t xml:space="preserve">Đõ Pham Mỹ </t>
  </si>
  <si>
    <t>Xuyến</t>
  </si>
  <si>
    <t xml:space="preserve">Gia </t>
  </si>
  <si>
    <t xml:space="preserve">Ng Đăng </t>
  </si>
  <si>
    <t xml:space="preserve">Ng Kim </t>
  </si>
  <si>
    <t>Xuân</t>
  </si>
  <si>
    <t xml:space="preserve">Ng Lê Kim </t>
  </si>
  <si>
    <t>Ng Đăng</t>
  </si>
  <si>
    <t>Phan Nhật Hồng</t>
  </si>
  <si>
    <t>Ng Thị Diễm</t>
  </si>
  <si>
    <t xml:space="preserve">Lê Ng Đức </t>
  </si>
  <si>
    <t>Tô Dương</t>
  </si>
  <si>
    <t>Tơ</t>
  </si>
  <si>
    <t>Lê Thị Huỳnh</t>
  </si>
  <si>
    <t>Ng Pham Khánh</t>
  </si>
  <si>
    <t>Bùi Thị Thanh</t>
  </si>
  <si>
    <t>Dũng</t>
  </si>
  <si>
    <t>Lê Tiến</t>
  </si>
  <si>
    <t xml:space="preserve">Nguyễn Chí </t>
  </si>
  <si>
    <t xml:space="preserve">Tường </t>
  </si>
  <si>
    <t>Trần Văn</t>
  </si>
  <si>
    <t>Ng Ngọc Phương</t>
  </si>
  <si>
    <t>Trần Thị Tố</t>
  </si>
  <si>
    <t>Phan Trọng</t>
  </si>
  <si>
    <t>Pham Thị Tuyết</t>
  </si>
  <si>
    <t>Ng Chí</t>
  </si>
  <si>
    <t>Ng Toàn</t>
  </si>
  <si>
    <t>Đỗ Trí</t>
  </si>
  <si>
    <t>C2</t>
  </si>
  <si>
    <t>Phạm Thị Uuyên</t>
  </si>
  <si>
    <t>Lê Ngọc Lan</t>
  </si>
  <si>
    <t>Phan Bảo</t>
  </si>
  <si>
    <t>Dương Thảo</t>
  </si>
  <si>
    <t>Ng Xuân Gia</t>
  </si>
  <si>
    <t>Ng Quang</t>
  </si>
  <si>
    <t>Hùng</t>
  </si>
  <si>
    <t>Ng Quốc Thiên</t>
  </si>
  <si>
    <t xml:space="preserve">Phạm Phi </t>
  </si>
  <si>
    <t>Huỳnh Ngọc Lan</t>
  </si>
  <si>
    <t>Phạm Trần Phương</t>
  </si>
  <si>
    <t xml:space="preserve">Ng Phan Gia </t>
  </si>
  <si>
    <t>Hoà</t>
  </si>
  <si>
    <t xml:space="preserve">Ng Văn </t>
  </si>
  <si>
    <t xml:space="preserve">Ngô Hiếu </t>
  </si>
  <si>
    <t>Kỳ</t>
  </si>
  <si>
    <t>Lê Trần Hãi</t>
  </si>
  <si>
    <t>Ng Kim</t>
  </si>
  <si>
    <t>Trương Ngọc</t>
  </si>
  <si>
    <t xml:space="preserve">Phan Lê Trí </t>
  </si>
  <si>
    <t>Lê Anh</t>
  </si>
  <si>
    <t>Dĩ</t>
  </si>
  <si>
    <t xml:space="preserve">Võ Bình </t>
  </si>
  <si>
    <t>Ng Đình Thư</t>
  </si>
  <si>
    <t>Cát</t>
  </si>
  <si>
    <t>Ng Thi Mỹ</t>
  </si>
  <si>
    <t>Kiều</t>
  </si>
  <si>
    <t xml:space="preserve">Pham Thanh </t>
  </si>
  <si>
    <t>Tô Hoàng Thái</t>
  </si>
  <si>
    <t>Lê Ng Minh</t>
  </si>
  <si>
    <t xml:space="preserve">Trương Ngọc Linh   </t>
  </si>
  <si>
    <t>Trương Quỳnh</t>
  </si>
  <si>
    <t>Lê Trần Nhựt</t>
  </si>
  <si>
    <t>Lê Thị</t>
  </si>
  <si>
    <t>Cao Chí</t>
  </si>
  <si>
    <t>Mai Thị Huỳnh</t>
  </si>
  <si>
    <t xml:space="preserve">Phạm Võ Như </t>
  </si>
  <si>
    <t xml:space="preserve">Phạm Hiếu </t>
  </si>
  <si>
    <t xml:space="preserve">Lê Minh </t>
  </si>
  <si>
    <t>Trần Thị Ngoc</t>
  </si>
  <si>
    <t>Ng Thị Thuý</t>
  </si>
  <si>
    <t xml:space="preserve">Pham Quốc </t>
  </si>
  <si>
    <t xml:space="preserve">Mai Thị Thiên </t>
  </si>
  <si>
    <t>Trần Thị Cẩm</t>
  </si>
  <si>
    <t>Di</t>
  </si>
  <si>
    <t>AV</t>
  </si>
  <si>
    <t>TOÁN</t>
  </si>
  <si>
    <t>VĂN</t>
  </si>
  <si>
    <t>NHOM
 AV</t>
  </si>
  <si>
    <t>NHOM
 T</t>
  </si>
  <si>
    <t>NHOM
 V</t>
  </si>
  <si>
    <t>Ng Thị Mỹ</t>
  </si>
  <si>
    <t>Phương</t>
  </si>
  <si>
    <t xml:space="preserve">Ng Nhã </t>
  </si>
  <si>
    <t>Hữu</t>
  </si>
  <si>
    <t>Phạm Gia</t>
  </si>
  <si>
    <t>Ng Lê Ngọc Tường</t>
  </si>
  <si>
    <t>Ng Lê Tường</t>
  </si>
  <si>
    <t xml:space="preserve">Hồ Thị Kim </t>
  </si>
  <si>
    <t>G</t>
  </si>
  <si>
    <t>L</t>
  </si>
  <si>
    <t xml:space="preserve">Mg Thị Quỳnh </t>
  </si>
  <si>
    <t>Huỳnh Ngọc</t>
  </si>
  <si>
    <t>Tôn Đức</t>
  </si>
  <si>
    <t>Trần Ng Thái</t>
  </si>
  <si>
    <t xml:space="preserve">Ng Ngọc </t>
  </si>
  <si>
    <t>Trương Lê Bảo</t>
  </si>
  <si>
    <t>Huỳnh Gia</t>
  </si>
  <si>
    <t xml:space="preserve">Ng Thị Tuyết </t>
  </si>
  <si>
    <t>Lê Nhựt</t>
  </si>
  <si>
    <t>Pham Ng Tường</t>
  </si>
  <si>
    <t>Võ Phạm Trúc</t>
  </si>
  <si>
    <t xml:space="preserve">Mai Thị Thanh </t>
  </si>
  <si>
    <t xml:space="preserve">Phạm Minh </t>
  </si>
  <si>
    <t>Nhựt</t>
  </si>
  <si>
    <t xml:space="preserve">Ng Quốc </t>
  </si>
  <si>
    <t>Trần Thị Yến</t>
  </si>
  <si>
    <t xml:space="preserve">Cường </t>
  </si>
  <si>
    <t>Ng Quốc        A6</t>
  </si>
  <si>
    <t>Ng Quốc        A4</t>
  </si>
  <si>
    <t>Lạc</t>
  </si>
  <si>
    <t>Phan Vỹ</t>
  </si>
  <si>
    <t>Lê Trương Thiên</t>
  </si>
  <si>
    <t>Đặng Lê Cát</t>
  </si>
  <si>
    <t>Tuyết</t>
  </si>
  <si>
    <t>H</t>
  </si>
  <si>
    <t>D</t>
  </si>
  <si>
    <t>NHOM 
HOÁ</t>
  </si>
  <si>
    <t>NHÓM
LÝ</t>
  </si>
  <si>
    <t xml:space="preserve">Võ Phước </t>
  </si>
  <si>
    <t>Trần Mạnh</t>
  </si>
  <si>
    <t>Đinh Thị Hoài</t>
  </si>
  <si>
    <t xml:space="preserve">Ng Bảo </t>
  </si>
  <si>
    <t xml:space="preserve">Ngô Thị Đông </t>
  </si>
  <si>
    <t>Lê Ngọc Thảo</t>
  </si>
  <si>
    <t>Phạm Thanh</t>
  </si>
  <si>
    <t xml:space="preserve">Phạm Ngọc </t>
  </si>
  <si>
    <t>Lê Huỳnh Thảo</t>
  </si>
  <si>
    <t>Ng Lê</t>
  </si>
  <si>
    <t>Ng Lưu</t>
  </si>
  <si>
    <t>Thạch</t>
  </si>
  <si>
    <t>Vẹn</t>
  </si>
  <si>
    <t>Vũ</t>
  </si>
  <si>
    <t>Hằng</t>
  </si>
  <si>
    <t>Thoa</t>
  </si>
  <si>
    <t xml:space="preserve">Phạm Thị Thùy </t>
  </si>
  <si>
    <t xml:space="preserve">Lê Thị Mỹ </t>
  </si>
  <si>
    <t xml:space="preserve">Huỳnh Duy </t>
  </si>
  <si>
    <t xml:space="preserve">Phạn Thị Tuyết </t>
  </si>
  <si>
    <t xml:space="preserve">Nguyễn Thị Kim </t>
  </si>
  <si>
    <t xml:space="preserve">Lê Lin </t>
  </si>
  <si>
    <t xml:space="preserve">Mai Thị Cẩm </t>
  </si>
  <si>
    <t xml:space="preserve">Đặng Thị Mỹ </t>
  </si>
  <si>
    <t xml:space="preserve">Ng Hoàng Tường </t>
  </si>
  <si>
    <t xml:space="preserve">Trần Nguyễn Khả </t>
  </si>
  <si>
    <t xml:space="preserve">Đỗ Huỳnh Bảo </t>
  </si>
  <si>
    <t xml:space="preserve">Thạch Thị Thanh </t>
  </si>
  <si>
    <t xml:space="preserve">Lê Thanh </t>
  </si>
  <si>
    <t xml:space="preserve">Bùi Ngọc Khánh </t>
  </si>
  <si>
    <t xml:space="preserve">Nguyễn Quốc </t>
  </si>
  <si>
    <t xml:space="preserve">Ng Thị Diễm </t>
  </si>
  <si>
    <t>T</t>
  </si>
  <si>
    <t>Lăm Tâm</t>
  </si>
  <si>
    <t>Lê Hậu</t>
  </si>
  <si>
    <t>Cần</t>
  </si>
  <si>
    <t xml:space="preserve">Lê Thị Huỳnh </t>
  </si>
  <si>
    <t>Trần Ng Tú</t>
  </si>
  <si>
    <t xml:space="preserve">Ng Lê Tường </t>
  </si>
  <si>
    <t xml:space="preserve">Ng Võ Nhã </t>
  </si>
  <si>
    <t>Lam</t>
  </si>
  <si>
    <t>Ng Phan Tường</t>
  </si>
  <si>
    <t>Trần Thị Quỳnh</t>
  </si>
  <si>
    <t xml:space="preserve">Ng Đăng Ngọc </t>
  </si>
  <si>
    <t>Huỳnh Tuấn</t>
  </si>
  <si>
    <t>Đăng Huỳnh Thị Thảo</t>
  </si>
  <si>
    <t>BO</t>
  </si>
  <si>
    <t xml:space="preserve">Phan Thanh </t>
  </si>
  <si>
    <t xml:space="preserve">Bùi Công </t>
  </si>
  <si>
    <t xml:space="preserve">Phạm Văn </t>
  </si>
  <si>
    <t>Ng Trần Trà</t>
  </si>
  <si>
    <t>Ng Ngọc Minh</t>
  </si>
  <si>
    <t>Trần Thị Tuyết</t>
  </si>
  <si>
    <t>Trà Thị Ngọc</t>
  </si>
  <si>
    <t xml:space="preserve">Trần Ng </t>
  </si>
  <si>
    <t xml:space="preserve">Ng Ngọc Huỳnh </t>
  </si>
  <si>
    <t>Đa</t>
  </si>
  <si>
    <t>M</t>
  </si>
  <si>
    <t>S</t>
  </si>
  <si>
    <t>Ng Tuấn</t>
  </si>
  <si>
    <t>Ng Ngọc</t>
  </si>
  <si>
    <t>Phụng</t>
  </si>
  <si>
    <t>Trần Đức</t>
  </si>
  <si>
    <t xml:space="preserve">Mai Thiện </t>
  </si>
  <si>
    <t>Trần Ng Minh</t>
  </si>
  <si>
    <t xml:space="preserve">Lê Trần Quỳnh </t>
  </si>
  <si>
    <t>Ng Phương</t>
  </si>
  <si>
    <t xml:space="preserve">Huỳnh Quốc </t>
  </si>
  <si>
    <t>Đang</t>
  </si>
  <si>
    <t>Bùi Ng Xuân</t>
  </si>
  <si>
    <t xml:space="preserve">Lê Trung </t>
  </si>
  <si>
    <t>TrầnThị Mỹ</t>
  </si>
  <si>
    <t>Phan Trần Yến</t>
  </si>
  <si>
    <t>Na</t>
  </si>
  <si>
    <t>Ng Vương Quốc</t>
  </si>
  <si>
    <t>Dương Ng Thiên</t>
  </si>
  <si>
    <t xml:space="preserve">Võ Ngọc Thiên </t>
  </si>
  <si>
    <t xml:space="preserve">Phan Lê Tấn </t>
  </si>
  <si>
    <t>Hóa</t>
  </si>
  <si>
    <t>Lý</t>
  </si>
  <si>
    <t>HÈ 
LẦN 1</t>
  </si>
  <si>
    <t>HÈ 
LẦN 2</t>
  </si>
  <si>
    <t>HÈ 
LẦN 3</t>
  </si>
  <si>
    <t>HÈ 
LẦN 4</t>
  </si>
  <si>
    <t>TỔNG</t>
  </si>
  <si>
    <t>DANH SÁCH HỌC SINH ĐĂNG KÝ HỌC</t>
  </si>
  <si>
    <t>DSHS ĐĂNG KÝ THÊM MÔN HỌC</t>
  </si>
  <si>
    <t>HOÁ</t>
  </si>
  <si>
    <t>LÝ</t>
  </si>
  <si>
    <t>NỘI DUNG</t>
  </si>
  <si>
    <t>co linh qua thầy C</t>
  </si>
  <si>
    <t>Ng Trong</t>
  </si>
  <si>
    <t>x</t>
  </si>
  <si>
    <t>Dương Thi Yến</t>
  </si>
  <si>
    <t>co linh</t>
  </si>
  <si>
    <t>Trần Thị Thảo</t>
  </si>
  <si>
    <t>Cô Huyên</t>
  </si>
  <si>
    <t>Đỗ Trọng</t>
  </si>
  <si>
    <t>Quí</t>
  </si>
  <si>
    <t>Dương Thi yến</t>
  </si>
  <si>
    <t>Toán</t>
  </si>
  <si>
    <t>Bùi Thị Trúc</t>
  </si>
  <si>
    <t>Ng Ngọc Tuyết</t>
  </si>
  <si>
    <t>Trần Thị Ngọc</t>
  </si>
  <si>
    <t>Thu</t>
  </si>
  <si>
    <t>Lê Mỹ</t>
  </si>
  <si>
    <t>Hồ Huỳnh Tường</t>
  </si>
  <si>
    <t>Phạm Hồ Tuấn</t>
  </si>
  <si>
    <t>Nguyễn Hoàng</t>
  </si>
  <si>
    <t>Tuấn</t>
  </si>
  <si>
    <t>Phạm Đức</t>
  </si>
  <si>
    <t>Trần Thị Diễm</t>
  </si>
  <si>
    <t>G( 4h)</t>
  </si>
  <si>
    <t>Huỳnh Thu</t>
  </si>
  <si>
    <t>Thủy</t>
  </si>
  <si>
    <t>Nguyễn Hữu</t>
  </si>
  <si>
    <t>Võ Thị Cẩm</t>
  </si>
  <si>
    <t>Nguyễn Thiên</t>
  </si>
  <si>
    <t>TrầnThi Thiên</t>
  </si>
  <si>
    <t>Ng Khã</t>
  </si>
  <si>
    <t>Ng Phan Anh</t>
  </si>
  <si>
    <t>Đức</t>
  </si>
  <si>
    <t>Ng Văn Duy</t>
  </si>
  <si>
    <t>Văn Thị Ngoc</t>
  </si>
  <si>
    <t>Nữ</t>
  </si>
  <si>
    <t>Lê Nhật</t>
  </si>
  <si>
    <t>Đoàn Dương</t>
  </si>
  <si>
    <t>Huỳnh Thị Ngọc</t>
  </si>
  <si>
    <t>Trần Thij Tú</t>
  </si>
  <si>
    <t>Le Ng Ngọc</t>
  </si>
  <si>
    <t>Phan Thị Bích</t>
  </si>
  <si>
    <t>Bùi Quang</t>
  </si>
  <si>
    <t>Đỗ Phạm Ngọc</t>
  </si>
  <si>
    <t>Ng Đặng Khánh</t>
  </si>
  <si>
    <t>NgMinh</t>
  </si>
  <si>
    <t>Tân</t>
  </si>
  <si>
    <t>Ng Sa</t>
  </si>
  <si>
    <t>Ng Phan Ngọc</t>
  </si>
  <si>
    <t>Luân</t>
  </si>
  <si>
    <t>Ng Phạm Ngọc</t>
  </si>
  <si>
    <t>Chế Ng Mỹ</t>
  </si>
  <si>
    <t>Đỗ Thị Bích</t>
  </si>
  <si>
    <t>Ng Ngọc Kỳ</t>
  </si>
  <si>
    <t>Lê Trường Gia</t>
  </si>
  <si>
    <t>Ng Huỳnh Bão</t>
  </si>
  <si>
    <t>Ng Ngọc Đan</t>
  </si>
  <si>
    <t>Mai Khãi</t>
  </si>
  <si>
    <t>Ng Ngọc Như</t>
  </si>
  <si>
    <t>Trần Lê Nhật</t>
  </si>
  <si>
    <t>Ng Thế</t>
  </si>
  <si>
    <t>Hiển</t>
  </si>
  <si>
    <t>Lê Hồng Hiếu</t>
  </si>
  <si>
    <t>Huỳnh Thiên</t>
  </si>
  <si>
    <t>Trần Tuấn</t>
  </si>
  <si>
    <t>Ng Hiếu</t>
  </si>
  <si>
    <t>Ng Thiên</t>
  </si>
  <si>
    <t>Khuê</t>
  </si>
  <si>
    <t>Pham Thị Kiều</t>
  </si>
  <si>
    <t>Lê Như</t>
  </si>
  <si>
    <t>Bùi Ngọc</t>
  </si>
  <si>
    <t>anh em hoàng</t>
  </si>
  <si>
    <t>Phạm Ngân</t>
  </si>
  <si>
    <t>Q</t>
  </si>
  <si>
    <t>Lê Trí</t>
  </si>
  <si>
    <t>6B</t>
  </si>
  <si>
    <t>Bình</t>
  </si>
  <si>
    <t>Hồ Ng Nhã</t>
  </si>
  <si>
    <t>Phạm Hồ Tuyết</t>
  </si>
  <si>
    <t>Quang</t>
  </si>
  <si>
    <t>Ng Tấn</t>
  </si>
  <si>
    <t>o</t>
  </si>
  <si>
    <t>Tô Ng Bảo</t>
  </si>
  <si>
    <t>Ng Lan</t>
  </si>
  <si>
    <t>cháo thầy</t>
  </si>
  <si>
    <t>Phạm Hò Tuyết</t>
  </si>
  <si>
    <t>Viêt TD</t>
  </si>
  <si>
    <t>Lê Nhân Trí</t>
  </si>
  <si>
    <t>Chị 5</t>
  </si>
  <si>
    <t>Đỗ Dương Tường</t>
  </si>
  <si>
    <t>NgThị Mỹ</t>
  </si>
  <si>
    <t>Ng Ngọc An</t>
  </si>
  <si>
    <t>Ng Thị Hà</t>
  </si>
  <si>
    <t>Ng Thị Minh</t>
  </si>
  <si>
    <t>6A</t>
  </si>
  <si>
    <t>O</t>
  </si>
  <si>
    <t>9A</t>
  </si>
  <si>
    <t xml:space="preserve">Bảo </t>
  </si>
  <si>
    <t>Lê Văn</t>
  </si>
  <si>
    <t>Trần Đỗ Quốc</t>
  </si>
  <si>
    <t>Lâm Thị Thanh</t>
  </si>
  <si>
    <t>Lê Ngọc Ngân</t>
  </si>
  <si>
    <t>Ng Lê Quỳnh</t>
  </si>
  <si>
    <t>ISODD(ROW())</t>
  </si>
  <si>
    <t>Lê Nọc Ngân</t>
  </si>
  <si>
    <t>Lê Ng Quỳnh</t>
  </si>
  <si>
    <t>n</t>
  </si>
  <si>
    <t>K</t>
  </si>
  <si>
    <t>Lĩnh</t>
  </si>
  <si>
    <t>Bùi Mạch Trâm</t>
  </si>
  <si>
    <t>Mạch Văn</t>
  </si>
  <si>
    <t>Văn</t>
  </si>
  <si>
    <t>Nhí Heo</t>
  </si>
  <si>
    <t>chín</t>
  </si>
  <si>
    <t>con  Phụng</t>
  </si>
  <si>
    <t>Trần Ng  Huỳnh</t>
  </si>
  <si>
    <t xml:space="preserve">Ng Thị Thuỳ    </t>
  </si>
  <si>
    <t>Pham Ng Gia</t>
  </si>
  <si>
    <t xml:space="preserve">Lê Trần Công </t>
  </si>
  <si>
    <t>Trần Phát</t>
  </si>
  <si>
    <t>Ng Thái Phương</t>
  </si>
  <si>
    <t>con sịn</t>
  </si>
  <si>
    <t>Thạnh</t>
  </si>
  <si>
    <t>Huỳnh Ng Ngân</t>
  </si>
  <si>
    <t>Phạm Ng Tuấn</t>
  </si>
  <si>
    <t>Ng Thị Lan</t>
  </si>
  <si>
    <t xml:space="preserve">Mạch Thiên </t>
  </si>
  <si>
    <t>Ch Chú My</t>
  </si>
  <si>
    <t xml:space="preserve">Phạm Hạnh </t>
  </si>
  <si>
    <t>Phan Ng Quốc</t>
  </si>
  <si>
    <t>em Khang 7B</t>
  </si>
  <si>
    <t>Đặng Ngọc Ánh</t>
  </si>
  <si>
    <t>Phạm Minh</t>
  </si>
  <si>
    <t>Sơn</t>
  </si>
  <si>
    <t>Ng Ngọc Bão</t>
  </si>
  <si>
    <t>Ng Lê Hoàng</t>
  </si>
  <si>
    <t>Trần Ng Hoài</t>
  </si>
  <si>
    <t>Trần Ngọc Thảo</t>
  </si>
  <si>
    <t>Mẫn</t>
  </si>
  <si>
    <t>Hồ Thục</t>
  </si>
  <si>
    <t>Hồ Minh</t>
  </si>
  <si>
    <t>Ng Thái</t>
  </si>
  <si>
    <t>Võ Thị Thúy</t>
  </si>
  <si>
    <t>Bùi Thị Diễm</t>
  </si>
  <si>
    <t>gần nhà</t>
  </si>
  <si>
    <t>Huỳnh Thị Diễm</t>
  </si>
  <si>
    <t xml:space="preserve">Trần Bão </t>
  </si>
  <si>
    <t>a</t>
  </si>
  <si>
    <t xml:space="preserve">Đăng </t>
  </si>
  <si>
    <t>Đỗ Quang</t>
  </si>
  <si>
    <t>Hà Ng Trúc</t>
  </si>
  <si>
    <t xml:space="preserve">Lê Hải </t>
  </si>
  <si>
    <t>Nhát</t>
  </si>
  <si>
    <t>Ng Trường</t>
  </si>
  <si>
    <t>Lê Thị Gia</t>
  </si>
  <si>
    <t>Phan Kiều Thuỳ</t>
  </si>
  <si>
    <t>Huỳnh Ng Ngọc</t>
  </si>
  <si>
    <t>Ng TH Thiện</t>
  </si>
  <si>
    <t>Trương Ngọc Thảo</t>
  </si>
  <si>
    <t>Trần Lê Mỹ</t>
  </si>
  <si>
    <t>Phan Trần Tiến</t>
  </si>
  <si>
    <t>Trần Đỗ Gia</t>
  </si>
  <si>
    <t>Lê Tường</t>
  </si>
  <si>
    <t>Ng Ngọc Thu</t>
  </si>
  <si>
    <t>Ng Thị Huyền</t>
  </si>
  <si>
    <t>Phạm Thị Hồng</t>
  </si>
  <si>
    <t>Hiệp</t>
  </si>
  <si>
    <t>Mai Chấn</t>
  </si>
  <si>
    <t>Phạm Phúc</t>
  </si>
  <si>
    <t>Bích</t>
  </si>
  <si>
    <t>Phạm</t>
  </si>
  <si>
    <t xml:space="preserve">Phạm Lê Anh </t>
  </si>
  <si>
    <t xml:space="preserve">Lê Quang </t>
  </si>
  <si>
    <t>Lê Quang Phúc</t>
  </si>
  <si>
    <t>Các</t>
  </si>
  <si>
    <t>Đặng Tường</t>
  </si>
  <si>
    <t>Lập</t>
  </si>
  <si>
    <t>Lê  Đức</t>
  </si>
  <si>
    <t>Lê Khắc Trung</t>
  </si>
  <si>
    <t>Kiên</t>
  </si>
  <si>
    <t>Tên GV</t>
  </si>
  <si>
    <t>TS HS</t>
  </si>
  <si>
    <t>Tiền/1hs</t>
  </si>
  <si>
    <t>Ng Khúc Trà Giang</t>
  </si>
  <si>
    <t>Trần Thị Bích Duyên</t>
  </si>
  <si>
    <t>Ng Tuyết Sương</t>
  </si>
  <si>
    <t>Hò Thị Xuân Quỳnh</t>
  </si>
  <si>
    <t>Võ Thị Mỹ Ngọc</t>
  </si>
  <si>
    <t>Dương Mai Như Hoa</t>
  </si>
  <si>
    <t>Hồ Hùng Cường</t>
  </si>
  <si>
    <t>Phạm Thị Hồng Huyên</t>
  </si>
  <si>
    <t>Huỳnh Thụy Mỹ Linh</t>
  </si>
  <si>
    <t>Võ Thị Tuyết Trinh</t>
  </si>
  <si>
    <t>Bùi Thị Kiều Diễm</t>
  </si>
  <si>
    <t>BẢNG THEO DỎI ĐẦU RA ĐẦU VÀO</t>
  </si>
  <si>
    <t>Khả</t>
  </si>
  <si>
    <t>Chánh</t>
  </si>
  <si>
    <t>Trần Thị Bảo</t>
  </si>
  <si>
    <t>Lê Bùi Tiến</t>
  </si>
  <si>
    <t>Lê Công</t>
  </si>
  <si>
    <t>Phạm Thị yến</t>
  </si>
  <si>
    <t>Trần Ng Thư</t>
  </si>
  <si>
    <t>Trương Minh</t>
  </si>
  <si>
    <t>Si</t>
  </si>
  <si>
    <t>Vàng</t>
  </si>
  <si>
    <t>Ng Mét</t>
  </si>
  <si>
    <t>Dương Thị Diệu</t>
  </si>
  <si>
    <t>Trần Cao Ánh</t>
  </si>
  <si>
    <t>Võ Quốc Bảo</t>
  </si>
  <si>
    <t>Kiên Trường</t>
  </si>
  <si>
    <t xml:space="preserve">Nông Trần Ngọc </t>
  </si>
  <si>
    <t>DANH SÁCH LỚP VĂN</t>
  </si>
  <si>
    <t>Lê Thị Nhựt</t>
  </si>
  <si>
    <t>Trần Thị Tú</t>
  </si>
  <si>
    <t>LẤY PHẦN TÊN</t>
  </si>
  <si>
    <t>Quết khối hết cọt họ tên</t>
  </si>
  <si>
    <t>Chọn Ctrol+H</t>
  </si>
  <si>
    <t>Find ưhat: nhập * khoãn cách</t>
  </si>
  <si>
    <t>Replave; bỏ tróng</t>
  </si>
  <si>
    <t>Đợt 5</t>
  </si>
  <si>
    <t>DANH SÁCH LỚP 2</t>
  </si>
  <si>
    <t>Việt TD</t>
  </si>
  <si>
    <t>Lục Nguyên</t>
  </si>
  <si>
    <t>Ng Lê Trúc</t>
  </si>
  <si>
    <t>Dương Ngọc Bảo</t>
  </si>
  <si>
    <t>Võ Gia</t>
  </si>
  <si>
    <t>con Anh Sáng</t>
  </si>
  <si>
    <t>C Th Chiến</t>
  </si>
  <si>
    <t>Ng Ngọc Hoài</t>
  </si>
  <si>
    <t>Thương</t>
  </si>
  <si>
    <t xml:space="preserve">Đỗ  Tường </t>
  </si>
  <si>
    <t>Ng Đông</t>
  </si>
  <si>
    <t>Trần Ân</t>
  </si>
  <si>
    <t>Lê Ngọc Thúy</t>
  </si>
  <si>
    <t>Trần Thị Hãi</t>
  </si>
  <si>
    <t>Ngô Tuyết</t>
  </si>
  <si>
    <t>Ng Trần Gia</t>
  </si>
  <si>
    <t xml:space="preserve">Ng Thị Thiên </t>
  </si>
  <si>
    <t xml:space="preserve">Ng Xuân </t>
  </si>
  <si>
    <t>Trương Thị Quỳnh</t>
  </si>
  <si>
    <t xml:space="preserve">Minh </t>
  </si>
  <si>
    <t>Trần Mỹ</t>
  </si>
  <si>
    <t>Qui PCT</t>
  </si>
  <si>
    <t>Lê Đăng</t>
  </si>
  <si>
    <t>Nhớ</t>
  </si>
  <si>
    <t>Phạm Duy</t>
  </si>
  <si>
    <t>Pham Lê Nguyên</t>
  </si>
  <si>
    <t>Phạm Quang</t>
  </si>
  <si>
    <t>Lương Đức</t>
  </si>
  <si>
    <t>Tính</t>
  </si>
  <si>
    <t>Thái Văn</t>
  </si>
  <si>
    <t>Doãn Trần Ngọc</t>
  </si>
  <si>
    <t xml:space="preserve">Thái Gia </t>
  </si>
  <si>
    <t>LOP 6</t>
  </si>
  <si>
    <t>LOP 6A</t>
  </si>
  <si>
    <t>LOP 6B</t>
  </si>
  <si>
    <t>LOP 6C</t>
  </si>
  <si>
    <t>LỚP 7O</t>
  </si>
  <si>
    <t>LỚP 7A</t>
  </si>
  <si>
    <t>LỚP 7B</t>
  </si>
  <si>
    <t>LỚP 7C</t>
  </si>
  <si>
    <t>LOP 8O</t>
  </si>
  <si>
    <t>LOP 8A</t>
  </si>
  <si>
    <t>LOP 8B</t>
  </si>
  <si>
    <t>LOP 8C</t>
  </si>
  <si>
    <t>LOP 9O</t>
  </si>
  <si>
    <t>LOP 9A</t>
  </si>
  <si>
    <t>LOP 9B</t>
  </si>
  <si>
    <t>LOP 9C</t>
  </si>
  <si>
    <t>DANH SÁCH LỚP STARTER</t>
  </si>
  <si>
    <t>3A</t>
  </si>
  <si>
    <t>3B</t>
  </si>
  <si>
    <t>4A</t>
  </si>
  <si>
    <t>4B</t>
  </si>
  <si>
    <t>6O</t>
  </si>
  <si>
    <t>DANH SÁCH LỚP KET</t>
  </si>
  <si>
    <t>7O</t>
  </si>
  <si>
    <t>7A</t>
  </si>
  <si>
    <t>7B</t>
  </si>
  <si>
    <t>8O</t>
  </si>
  <si>
    <t>8A</t>
  </si>
  <si>
    <t>8B</t>
  </si>
  <si>
    <t>8C</t>
  </si>
  <si>
    <t>9O</t>
  </si>
  <si>
    <t>9B</t>
  </si>
  <si>
    <t>9C</t>
  </si>
  <si>
    <t>10B</t>
  </si>
  <si>
    <t>T CỘNG</t>
  </si>
  <si>
    <t>Cấp I</t>
  </si>
  <si>
    <t>DANH SÁCH LÝ</t>
  </si>
  <si>
    <t>DANH SÁCH LỚP TOÁN</t>
  </si>
  <si>
    <t>DANH SÁCH HÓA</t>
  </si>
  <si>
    <t>6C</t>
  </si>
  <si>
    <t>9D</t>
  </si>
  <si>
    <t>8D</t>
  </si>
  <si>
    <t>Huyên</t>
  </si>
  <si>
    <t>Năm</t>
  </si>
  <si>
    <t>Trần Thi Bão</t>
  </si>
  <si>
    <t>Trần Cao Kim Phương</t>
  </si>
  <si>
    <t xml:space="preserve">Trần Thị Mỹ </t>
  </si>
  <si>
    <t>c Chị 2</t>
  </si>
  <si>
    <t>NHOM 
AV NN</t>
  </si>
  <si>
    <t>AV NN</t>
  </si>
  <si>
    <t xml:space="preserve">Trần Ngọc </t>
  </si>
  <si>
    <t>con A Sáng</t>
  </si>
  <si>
    <t>Ng Hoàng Phúc</t>
  </si>
  <si>
    <t>DANH SÁCH LỚP TA NƯỚC NGOÀI</t>
  </si>
  <si>
    <t>Trần Thị Bích</t>
  </si>
  <si>
    <t>Tứ</t>
  </si>
  <si>
    <t>Châu Đinh Long</t>
  </si>
  <si>
    <t xml:space="preserve">Duy </t>
  </si>
  <si>
    <t>Ng</t>
  </si>
  <si>
    <t>Bo</t>
  </si>
  <si>
    <t>Lê Thị Diệu</t>
  </si>
  <si>
    <t xml:space="preserve">Nguyễn Lâm Lan </t>
  </si>
  <si>
    <t>Trần Tôn Quang</t>
  </si>
  <si>
    <t xml:space="preserve">Lục Minh </t>
  </si>
  <si>
    <t>Trần Vỹ</t>
  </si>
  <si>
    <t>An An</t>
  </si>
  <si>
    <t xml:space="preserve">Phan Văn </t>
  </si>
  <si>
    <t>Lượng</t>
  </si>
  <si>
    <t>Ý B</t>
  </si>
  <si>
    <t>Phạm Ngọc</t>
  </si>
  <si>
    <t>Bùi Minh</t>
  </si>
  <si>
    <t>Lê Việt Thảo</t>
  </si>
  <si>
    <t>Trần Thị Thùy</t>
  </si>
  <si>
    <t>Nguyễn Thị Cẩm</t>
  </si>
  <si>
    <t>Ba</t>
  </si>
  <si>
    <t>Thoại</t>
  </si>
  <si>
    <t>Trần Thị Hoàng</t>
  </si>
  <si>
    <t>Đặng Thị Diễm</t>
  </si>
  <si>
    <t>Trần Thị Thuỳ</t>
  </si>
  <si>
    <t xml:space="preserve">Lê Ngọc Như </t>
  </si>
  <si>
    <t xml:space="preserve">Phạm Thị Xuân </t>
  </si>
  <si>
    <t xml:space="preserve">Lê Thị Tuyết </t>
  </si>
  <si>
    <t>cC 4 Thăng</t>
  </si>
  <si>
    <t>Đào Thị</t>
  </si>
  <si>
    <t xml:space="preserve">Lê Ng Hạnh </t>
  </si>
  <si>
    <t xml:space="preserve">Huỳnh Hải </t>
  </si>
  <si>
    <t>Điền</t>
  </si>
  <si>
    <t>Hà Ng Thuyền</t>
  </si>
  <si>
    <t xml:space="preserve">Ng Trâm </t>
  </si>
  <si>
    <t xml:space="preserve">Ng Vũ </t>
  </si>
  <si>
    <t>Phạm Thị Ngọc</t>
  </si>
  <si>
    <t>Trần Thị Bão</t>
  </si>
  <si>
    <t>Tớ</t>
  </si>
  <si>
    <t xml:space="preserve">Văn </t>
  </si>
  <si>
    <t>Nguyệt</t>
  </si>
  <si>
    <t>Thạch Gia</t>
  </si>
  <si>
    <t>Lê Trang</t>
  </si>
  <si>
    <t>Phan Trần yến</t>
  </si>
  <si>
    <t xml:space="preserve">Lê Chi </t>
  </si>
  <si>
    <t>Đỗ Duy</t>
  </si>
  <si>
    <t>Ng Phan Minh</t>
  </si>
  <si>
    <t>Vũ Quốc</t>
  </si>
  <si>
    <t>Kí Gia</t>
  </si>
  <si>
    <t>Mai Thị Xuân</t>
  </si>
  <si>
    <t>Vũ Hoàng</t>
  </si>
  <si>
    <t>Lương Chí</t>
  </si>
  <si>
    <t>Phạm Ngọc Huỳnh</t>
  </si>
  <si>
    <t>Ng Khoa</t>
  </si>
  <si>
    <t>Ng Tân</t>
  </si>
  <si>
    <t>Ly Nhật</t>
  </si>
  <si>
    <t>Trần Thị Như</t>
  </si>
  <si>
    <t>Ngô Thị Ngọc</t>
  </si>
  <si>
    <t>Tỹ</t>
  </si>
  <si>
    <t>Ng Đặng Tưởng</t>
  </si>
  <si>
    <t>Lê Thị Nhự</t>
  </si>
  <si>
    <t>Trương Ng Chí</t>
  </si>
  <si>
    <t>Trần Thiên</t>
  </si>
  <si>
    <t>Huỳnh Lê</t>
  </si>
  <si>
    <t>Trần Phi</t>
  </si>
  <si>
    <t>Ng Hoàng Thi</t>
  </si>
  <si>
    <t>Lê Thị Quế</t>
  </si>
  <si>
    <t xml:space="preserve">Phạm Hồ Mai </t>
  </si>
  <si>
    <t>Phạm Thị Tường</t>
  </si>
  <si>
    <t>Lưu Lệ Xuân</t>
  </si>
  <si>
    <t xml:space="preserve">Ng Trà </t>
  </si>
  <si>
    <t>Ng Mai</t>
  </si>
  <si>
    <t xml:space="preserve">Đinh Ngọc </t>
  </si>
  <si>
    <t>Võ Thi Trúc</t>
  </si>
  <si>
    <t>Dương Thị Cẫm</t>
  </si>
  <si>
    <t>Thế</t>
  </si>
  <si>
    <t>Ng Trần Thanh</t>
  </si>
  <si>
    <t>Hồ Ng Nghỉ</t>
  </si>
  <si>
    <t>Mai Minh</t>
  </si>
  <si>
    <t>Ng Khả</t>
  </si>
  <si>
    <t>Tiết Trần Phương</t>
  </si>
  <si>
    <t>Ng Thị Linh</t>
  </si>
  <si>
    <t>Ng Thuý</t>
  </si>
  <si>
    <t>Tràn Hồ Lan</t>
  </si>
  <si>
    <t xml:space="preserve">Ng Ngọc Hoàng </t>
  </si>
  <si>
    <t>Thach Gia</t>
  </si>
  <si>
    <t>Dư ơng    Hoàng</t>
  </si>
  <si>
    <t>Ng Thi Bích   </t>
  </si>
  <si>
    <t>Trần Duy</t>
  </si>
  <si>
    <t>Xoàn</t>
  </si>
  <si>
    <t>Ng Bùi Anh</t>
  </si>
  <si>
    <t>Bùi Bách</t>
  </si>
  <si>
    <t>Ch anh Vũ</t>
  </si>
  <si>
    <t>Ng Ngọc Thảo</t>
  </si>
  <si>
    <t>Phan Thị Hồng</t>
  </si>
  <si>
    <t>Phan Đăng</t>
  </si>
  <si>
    <t>Văn Thúy</t>
  </si>
  <si>
    <t>Lục Lam</t>
  </si>
  <si>
    <t>Trần Ng Phước</t>
  </si>
  <si>
    <t>Phạm Thị Minh</t>
  </si>
  <si>
    <t>Thùy</t>
  </si>
  <si>
    <t>5A</t>
  </si>
  <si>
    <t>5B</t>
  </si>
  <si>
    <t>Đợt 6</t>
  </si>
  <si>
    <t>Đợt 7</t>
  </si>
  <si>
    <t>Đợt 8</t>
  </si>
  <si>
    <t>Đợt 9</t>
  </si>
  <si>
    <t>Đợt 10</t>
  </si>
  <si>
    <t>Ng Hoàng Tiến</t>
  </si>
  <si>
    <t xml:space="preserve">Thành </t>
  </si>
  <si>
    <t xml:space="preserve">Ng Mai Kim </t>
  </si>
  <si>
    <t xml:space="preserve">Đoàn Hùng </t>
  </si>
  <si>
    <t>Trần Ngọc</t>
  </si>
  <si>
    <t>Diệp</t>
  </si>
  <si>
    <t>Trần Hò Lan</t>
  </si>
  <si>
    <t>Ng Băng</t>
  </si>
  <si>
    <t>Ng Gọc Minh</t>
  </si>
  <si>
    <t>Lí Gia</t>
  </si>
  <si>
    <t xml:space="preserve">Võ Tuấn </t>
  </si>
  <si>
    <t>Thạch Trần Giá</t>
  </si>
  <si>
    <t xml:space="preserve">Hải </t>
  </si>
  <si>
    <t>Ng Phan Nhựt</t>
  </si>
  <si>
    <t>Ng Lê Phước</t>
  </si>
  <si>
    <t>Đặng Đức</t>
  </si>
  <si>
    <t xml:space="preserve">Trần Thiện </t>
  </si>
  <si>
    <t>Ng Ngọc Kim</t>
  </si>
  <si>
    <t>Tới</t>
  </si>
  <si>
    <t xml:space="preserve">Ng Thị </t>
  </si>
  <si>
    <t>Cương</t>
  </si>
  <si>
    <t xml:space="preserve">Trọng </t>
  </si>
  <si>
    <t>Trần Vỷ</t>
  </si>
  <si>
    <t>Trần Ngọc Bảo</t>
  </si>
  <si>
    <t xml:space="preserve">Trần Thị Huỳnh </t>
  </si>
  <si>
    <t xml:space="preserve">Phạm Mỹ </t>
  </si>
  <si>
    <t xml:space="preserve">Ng Thị Ngọc </t>
  </si>
  <si>
    <t>Đỗ Gia</t>
  </si>
  <si>
    <t>Hạo</t>
  </si>
  <si>
    <t xml:space="preserve">Cẫm </t>
  </si>
  <si>
    <t>Ng Thị</t>
  </si>
  <si>
    <t>Của</t>
  </si>
  <si>
    <t xml:space="preserve">Mai Tú </t>
  </si>
  <si>
    <t>TrầnTrung</t>
  </si>
  <si>
    <t>Dương Ng Cẫm</t>
  </si>
  <si>
    <t>Sen</t>
  </si>
  <si>
    <t>Trần Hữu</t>
  </si>
  <si>
    <t>Lê Thị Hà</t>
  </si>
  <si>
    <t>7C</t>
  </si>
  <si>
    <t>Phạn Thanh</t>
  </si>
  <si>
    <t>Ng Thị Tường</t>
  </si>
  <si>
    <t>Ng Hoàng Tường</t>
  </si>
  <si>
    <t>Ly A</t>
  </si>
  <si>
    <t>Ly B</t>
  </si>
  <si>
    <t xml:space="preserve">Hữu </t>
  </si>
  <si>
    <t>12N26</t>
  </si>
  <si>
    <t>Năm 26</t>
  </si>
  <si>
    <t>Nguyễn Thị Kiều</t>
  </si>
  <si>
    <t>Trần Thúy</t>
  </si>
  <si>
    <t>Ng Huân</t>
  </si>
  <si>
    <t>Nguyễn Phúc</t>
  </si>
  <si>
    <t>HƯng</t>
  </si>
  <si>
    <t>Nguyễn Lê Hoàng</t>
  </si>
  <si>
    <t>Nguyễn Thị Ngọc</t>
  </si>
  <si>
    <t>Trăng</t>
  </si>
  <si>
    <t>Phạm Phan Trang</t>
  </si>
  <si>
    <t>Đài</t>
  </si>
  <si>
    <t>Bùi Thị Xuân</t>
  </si>
  <si>
    <t>Lưu Nguyễn Gia</t>
  </si>
  <si>
    <t>Nguyễn Thị Bích</t>
  </si>
  <si>
    <t>Lưu Nguyễn Nhật</t>
  </si>
  <si>
    <t>Nguyễn Thị Bé</t>
  </si>
  <si>
    <t>Ngoan</t>
  </si>
  <si>
    <t>Huỳnh Nguyễn Hoàng</t>
  </si>
  <si>
    <t>Nguyễn Võ An</t>
  </si>
  <si>
    <t>Phạm Nguyễn Phúc</t>
  </si>
  <si>
    <t>Nguyễn Ngọc Như</t>
  </si>
  <si>
    <t>Lê Hiếu</t>
  </si>
  <si>
    <t>Đinh Thiện</t>
  </si>
  <si>
    <t>Nguyễn Ngọc Huyền</t>
  </si>
  <si>
    <t>Huỳnh Mạch Gia</t>
  </si>
  <si>
    <t>Phan Nguyễn Trường</t>
  </si>
  <si>
    <t>vĩ</t>
  </si>
  <si>
    <t>Lê Thị Mỹ</t>
  </si>
  <si>
    <t>Dương Hoàng</t>
  </si>
  <si>
    <t>Phan Trần Quỳnh</t>
  </si>
  <si>
    <t>Hồ Thái</t>
  </si>
  <si>
    <t>Lê Thị Bảo</t>
  </si>
  <si>
    <t>Nguyễn Dương Hải</t>
  </si>
  <si>
    <t>Nguyễn Lê Tuấn</t>
  </si>
  <si>
    <t>Trương Nguyễn Ngọc</t>
  </si>
  <si>
    <t>Nguyễn Đỗ Thảo</t>
  </si>
  <si>
    <t>Phạm Trần Khánh</t>
  </si>
  <si>
    <t>Nguyễn Thị Thảo</t>
  </si>
  <si>
    <t>Lê Thị Ngọc</t>
  </si>
  <si>
    <t>Nguyễn Lê Phương</t>
  </si>
  <si>
    <t>Mai Như</t>
  </si>
  <si>
    <t>Lâm Thị Tố</t>
  </si>
  <si>
    <t>Trần Nguyễn Trọng</t>
  </si>
  <si>
    <t>Nhơn</t>
  </si>
  <si>
    <t>Nguyễn Tấn</t>
  </si>
  <si>
    <t>Phạm Trần Duy</t>
  </si>
  <si>
    <t>Trần Quang Quốc</t>
  </si>
  <si>
    <t>Trần Nguyễn Ngọc</t>
  </si>
  <si>
    <t>Đăng Phương</t>
  </si>
  <si>
    <t>Nguyễn Thị Xuân</t>
  </si>
  <si>
    <t>Nguyễn Ngọc Minh</t>
  </si>
  <si>
    <t>Lê Nguyễn Thị Quế</t>
  </si>
  <si>
    <t>Lê Khánh</t>
  </si>
  <si>
    <t>Phan Yến</t>
  </si>
  <si>
    <t>Đỗ Ngọc Thảo</t>
  </si>
  <si>
    <t>Nguyễn Ngọc Thảo</t>
  </si>
  <si>
    <t>Lê ngọc bảo</t>
  </si>
  <si>
    <t>Nguyễn Lê Như</t>
  </si>
  <si>
    <t>Nguyễn Thành</t>
  </si>
  <si>
    <t>Nguyễn Khả</t>
  </si>
  <si>
    <t>Trần Đăng</t>
  </si>
  <si>
    <t>Đặng Đỗ Khả</t>
  </si>
  <si>
    <t>Trịnh Thị Phương</t>
  </si>
  <si>
    <t>Lê Nguyễn Thái</t>
  </si>
  <si>
    <t>Dương Gia</t>
  </si>
  <si>
    <t>Nguyễn Phát</t>
  </si>
  <si>
    <t>Lê Thị Khánh</t>
  </si>
  <si>
    <t>Lê Phạm Tán</t>
  </si>
  <si>
    <t>Nguyễn Như</t>
  </si>
  <si>
    <t>Nguyễn Nhat</t>
  </si>
  <si>
    <t>Trần Đinh Đình</t>
  </si>
  <si>
    <t>Phan Phú</t>
  </si>
  <si>
    <t>Nguyễn Việt</t>
  </si>
  <si>
    <t>Dương Ngọc Thanh</t>
  </si>
  <si>
    <t>Nguyễn Duy</t>
  </si>
  <si>
    <t>Lê Phước</t>
  </si>
  <si>
    <t>Mã Trọng</t>
  </si>
  <si>
    <t>Phan Thị Khánh</t>
  </si>
  <si>
    <t>Ti</t>
  </si>
  <si>
    <t>Chương Ng Ánh</t>
  </si>
  <si>
    <t>Hồng</t>
  </si>
  <si>
    <t>Huỳnh Thị ·Ngọc</t>
  </si>
  <si>
    <t>Bich</t>
  </si>
  <si>
    <t>Đinh Lê Ngọc</t>
  </si>
  <si>
    <t>Trà Nguyễn Hữu</t>
  </si>
  <si>
    <t>Nguyễn Lê</t>
  </si>
  <si>
    <t>Nguyễn Văn Thanh</t>
  </si>
  <si>
    <t>Đào Thị An</t>
  </si>
  <si>
    <t>Nguyễn Phạm Ngọc</t>
  </si>
  <si>
    <t>Đỗ Thị Quỳnh</t>
  </si>
  <si>
    <t>Nguyễn Thị Uyển</t>
  </si>
  <si>
    <t>Uyển</t>
  </si>
  <si>
    <t>Nguyễn Minh</t>
  </si>
  <si>
    <t>Nguyễn Thị Quỳnh</t>
  </si>
  <si>
    <t>Trần Thị Tường</t>
  </si>
  <si>
    <t>Nguyễn Huỳnh Phúc</t>
  </si>
  <si>
    <t>Văn Nguyễn Tâm</t>
  </si>
  <si>
    <t>Nguyễn Lê Thanh</t>
  </si>
  <si>
    <t>377064440// 0392673708</t>
  </si>
  <si>
    <t>0787269911/ 0939949218</t>
  </si>
  <si>
    <t>0914894996/ 0917497921</t>
  </si>
  <si>
    <t>0707002541/ 0706239150</t>
  </si>
  <si>
    <t>chau tho, nhu</t>
  </si>
  <si>
    <t>0788708957/0933607448</t>
  </si>
  <si>
    <t>0939833364/0902585704</t>
  </si>
  <si>
    <t>5C</t>
  </si>
  <si>
    <t>6C ?</t>
  </si>
  <si>
    <t>7D</t>
  </si>
  <si>
    <t>7D/ 7B</t>
  </si>
  <si>
    <t>7D/7B</t>
  </si>
  <si>
    <t>8C/8C</t>
  </si>
  <si>
    <t>8D/8C</t>
  </si>
  <si>
    <t>9D/9C</t>
  </si>
  <si>
    <t>9D/9D</t>
  </si>
  <si>
    <t>Lớp Chồi</t>
  </si>
  <si>
    <t>Lớp Lá</t>
  </si>
  <si>
    <t>lớp lá</t>
  </si>
  <si>
    <t>Mẫu giao</t>
  </si>
  <si>
    <t>NS</t>
  </si>
  <si>
    <t>Châu·</t>
  </si>
  <si>
    <t>Nguyen Nam Huy</t>
  </si>
  <si>
    <t xml:space="preserve">Phạm Tiến </t>
  </si>
  <si>
    <t>Huyền</t>
  </si>
  <si>
    <t>Trần Ng Thiện</t>
  </si>
  <si>
    <t>Trần Hà Phước</t>
  </si>
  <si>
    <t>Nguyễn Trọng</t>
  </si>
  <si>
    <t>Phạm  Anh</t>
  </si>
  <si>
    <t>Phan Thị  Anh</t>
  </si>
  <si>
    <t>Ng Thi Diễm</t>
  </si>
  <si>
    <t>Đo Thi Bích</t>
  </si>
  <si>
    <t>Mai Thị Trang</t>
  </si>
  <si>
    <t xml:space="preserve">Lê Nguyễn Đức </t>
  </si>
  <si>
    <t>382375860/ 0344626561</t>
  </si>
  <si>
    <t>357951266/ 0379466355</t>
  </si>
  <si>
    <t>Ng Phan Nhật</t>
  </si>
  <si>
    <t>Phan Triệu</t>
  </si>
  <si>
    <t>Đồng Thị Kim</t>
  </si>
  <si>
    <t>Tràn Thanh</t>
  </si>
  <si>
    <t>Lý Tuyết</t>
  </si>
  <si>
    <t>Mãi</t>
  </si>
  <si>
    <t>Huỳnh Phúc</t>
  </si>
  <si>
    <t>Huỳnh Hạo</t>
  </si>
  <si>
    <t>Ng14.26</t>
  </si>
  <si>
    <t>Trần Nguyễn Khánh</t>
  </si>
  <si>
    <t>Mai Hiếu</t>
  </si>
  <si>
    <t>Trần Tường</t>
  </si>
  <si>
    <t>Nguyễn Thị Thùy</t>
  </si>
  <si>
    <t>Phạm Ngọc Thảo</t>
  </si>
  <si>
    <t>Nguyễn Ngân</t>
  </si>
  <si>
    <t>Lê Hoàng Gia</t>
  </si>
  <si>
    <t>Đỗ Thị Diệu</t>
  </si>
  <si>
    <t>Huỳnh Mạc Gia</t>
  </si>
  <si>
    <t>Nguyễn Đăng Tưởng</t>
  </si>
  <si>
    <t>Nguyễn Ngọc Vân</t>
  </si>
  <si>
    <t>Lê Nguyễn</t>
  </si>
  <si>
    <t>Nguyễn Ngọc Kỳ</t>
  </si>
  <si>
    <t>Phan Thị Cẩm</t>
  </si>
  <si>
    <t>Lê Khả</t>
  </si>
  <si>
    <t>Lê Ngọc</t>
  </si>
  <si>
    <t>Nguyen Ngọc Thảo</t>
  </si>
  <si>
    <t>915416671 - / 0914886617</t>
  </si>
  <si>
    <t>em phước an</t>
  </si>
  <si>
    <t>Tiếng Anh</t>
  </si>
  <si>
    <t>Toán, tiếng anh</t>
  </si>
  <si>
    <t>Tiếng Anh, Toán, Văn</t>
  </si>
  <si>
    <t>Toán, TIếng anh</t>
  </si>
  <si>
    <t>Tiếng Anh, Văn</t>
  </si>
  <si>
    <t>Tiếng Anh, Toán</t>
  </si>
  <si>
    <t>Tiếng Anh, Toán, Hóa</t>
  </si>
  <si>
    <t>TIẾNG ANH</t>
  </si>
  <si>
    <t>Tiêếng anh</t>
  </si>
  <si>
    <t>Tiêng anh</t>
  </si>
  <si>
    <t>Tiếng anh</t>
  </si>
  <si>
    <t>Hè 1</t>
  </si>
  <si>
    <t>Hè 2</t>
  </si>
  <si>
    <t>Hè 3</t>
  </si>
  <si>
    <t>.</t>
  </si>
  <si>
    <t xml:space="preserve">Cao Phan Hoàng </t>
  </si>
  <si>
    <t>Trần Văm Mịnh</t>
  </si>
  <si>
    <t xml:space="preserve">Ng Ngọc Kim </t>
  </si>
  <si>
    <t xml:space="preserve">Ng Ngọc Thanh </t>
  </si>
  <si>
    <t>Ty</t>
  </si>
  <si>
    <t xml:space="preserve">Ng Nguyên </t>
  </si>
  <si>
    <t>Nguyễn kim Thảo</t>
  </si>
  <si>
    <t xml:space="preserve">Ng Gia </t>
  </si>
  <si>
    <t xml:space="preserve">Khă </t>
  </si>
  <si>
    <t>Lê Quỳnh Như</t>
  </si>
  <si>
    <t xml:space="preserve">Ng Bùi Trí </t>
  </si>
  <si>
    <t>Thiẹn</t>
  </si>
  <si>
    <t>Lê Trương Bảo</t>
  </si>
  <si>
    <t>Khuyên</t>
  </si>
  <si>
    <t xml:space="preserve">Phan Minh </t>
  </si>
  <si>
    <t>Tin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</si>
</sst>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#,##0.0;[Red]#,##0.0"/>
  </numFmts>
  <fonts count="26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8"/>
      <name val="Arial"/>
      <family val="2"/>
      <charset val="163"/>
      <scheme val="minor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00B050"/>
      <name val="Times New Roman"/>
      <family val="1"/>
    </font>
    <font>
      <b/>
      <sz val="14"/>
      <color rgb="FFC00000"/>
      <name val="Times New Roman"/>
      <family val="1"/>
    </font>
    <font>
      <b/>
      <sz val="18"/>
      <color rgb="FFC00000"/>
      <name val="Times New Roman"/>
      <family val="1"/>
    </font>
    <font>
      <sz val="14"/>
      <color theme="1"/>
      <name val="Arial"/>
      <family val="2"/>
      <charset val="163"/>
      <scheme val="minor"/>
    </font>
    <font>
      <sz val="14"/>
      <color rgb="FFC00000"/>
      <name val="Arial"/>
      <family val="2"/>
      <charset val="163"/>
      <scheme val="minor"/>
    </font>
    <font>
      <sz val="14"/>
      <color rgb="FFC00000"/>
      <name val="Times New Roman"/>
      <family val="1"/>
    </font>
    <font>
      <b/>
      <sz val="10"/>
      <color rgb="FFC00000"/>
      <name val="Times New Roman"/>
      <family val="1"/>
    </font>
    <font>
      <sz val="10"/>
      <color theme="1"/>
      <name val="Arial"/>
      <family val="2"/>
      <charset val="163"/>
      <scheme val="minor"/>
    </font>
    <font>
      <b/>
      <sz val="18"/>
      <color rgb="FF008D00"/>
      <name val="Times New Roman"/>
      <family val="1"/>
    </font>
    <font>
      <sz val="14"/>
      <color rgb="FF008D00"/>
      <name val="Times New Roman"/>
      <family val="1"/>
    </font>
    <font>
      <b/>
      <sz val="18"/>
      <color rgb="FFFF0000"/>
      <name val="Times New Roman"/>
      <family val="1"/>
    </font>
    <font>
      <sz val="14"/>
      <color rgb="FF00FF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8D00"/>
      <name val="Times New Roman"/>
      <family val="1"/>
    </font>
    <font>
      <sz val="14"/>
      <color rgb="FF43434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00"/>
      </right>
      <top style="medium">
        <color rgb="FFB6D7A8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442F65"/>
      </bottom>
      <diagonal/>
    </border>
    <border>
      <left style="medium">
        <color rgb="FFFFFF00"/>
      </left>
      <right style="medium">
        <color rgb="FFFFFF00"/>
      </right>
      <top style="medium">
        <color rgb="FFB6D7A8"/>
      </top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1" fillId="0" borderId="0"/>
  </cellStyleXfs>
  <cellXfs count="477">
    <xf numFmtId="0" fontId="0" fillId="0" borderId="0" xfId="0"/>
    <xf numFmtId="0" fontId="2" fillId="0" borderId="1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left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left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1" applyFont="1" applyBorder="1" applyAlignment="1" applyProtection="1">
      <alignment vertical="center"/>
      <protection hidden="1"/>
    </xf>
    <xf numFmtId="0" fontId="2" fillId="0" borderId="2" xfId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hidden="1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/>
    </xf>
    <xf numFmtId="0" fontId="3" fillId="0" borderId="2" xfId="0" applyFont="1" applyBorder="1"/>
    <xf numFmtId="0" fontId="2" fillId="0" borderId="1" xfId="1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3" fillId="0" borderId="0" xfId="0" applyNumberFormat="1" applyFont="1"/>
    <xf numFmtId="0" fontId="3" fillId="0" borderId="6" xfId="0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10" fillId="0" borderId="6" xfId="0" applyFont="1" applyBorder="1" applyAlignment="1">
      <alignment horizontal="center"/>
    </xf>
    <xf numFmtId="3" fontId="9" fillId="0" borderId="2" xfId="0" applyNumberFormat="1" applyFont="1" applyBorder="1"/>
    <xf numFmtId="0" fontId="9" fillId="0" borderId="2" xfId="0" applyFont="1" applyBorder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hidden="1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3" fontId="7" fillId="0" borderId="6" xfId="0" applyNumberFormat="1" applyFont="1" applyBorder="1" applyAlignment="1">
      <alignment horizontal="left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vertical="center"/>
      <protection hidden="1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vertical="center"/>
      <protection hidden="1"/>
    </xf>
    <xf numFmtId="0" fontId="2" fillId="4" borderId="2" xfId="1" applyFont="1" applyFill="1" applyBorder="1" applyAlignment="1" applyProtection="1">
      <alignment vertical="center"/>
      <protection hidden="1"/>
    </xf>
    <xf numFmtId="0" fontId="2" fillId="0" borderId="2" xfId="1" applyFont="1" applyBorder="1" applyAlignment="1" applyProtection="1">
      <alignment horizontal="left" vertical="center"/>
      <protection locked="0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0" fontId="13" fillId="0" borderId="0" xfId="0" applyFont="1"/>
    <xf numFmtId="0" fontId="2" fillId="3" borderId="6" xfId="0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left" vertical="center"/>
    </xf>
    <xf numFmtId="3" fontId="3" fillId="0" borderId="0" xfId="0" applyNumberFormat="1" applyFont="1" applyAlignment="1">
      <alignment horizontal="center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2" fillId="0" borderId="6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  <xf numFmtId="3" fontId="2" fillId="0" borderId="4" xfId="0" applyNumberFormat="1" applyFont="1" applyBorder="1" applyAlignment="1" applyProtection="1">
      <alignment horizontal="center" vertical="center"/>
      <protection hidden="1"/>
    </xf>
    <xf numFmtId="3" fontId="2" fillId="0" borderId="1" xfId="0" applyNumberFormat="1" applyFont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horizontal="center" vertical="center"/>
      <protection hidden="1"/>
    </xf>
    <xf numFmtId="3" fontId="2" fillId="0" borderId="3" xfId="0" applyNumberFormat="1" applyFont="1" applyBorder="1" applyAlignment="1" applyProtection="1">
      <alignment horizontal="center" vertical="center"/>
      <protection hidden="1"/>
    </xf>
    <xf numFmtId="3" fontId="2" fillId="0" borderId="5" xfId="0" applyNumberFormat="1" applyFont="1" applyBorder="1" applyAlignment="1" applyProtection="1">
      <alignment horizontal="center" vertical="center"/>
      <protection hidden="1"/>
    </xf>
    <xf numFmtId="3" fontId="0" fillId="0" borderId="0" xfId="0" applyNumberFormat="1"/>
    <xf numFmtId="3" fontId="11" fillId="0" borderId="11" xfId="0" applyNumberFormat="1" applyFont="1" applyBorder="1"/>
    <xf numFmtId="3" fontId="11" fillId="0" borderId="0" xfId="0" applyNumberFormat="1" applyFont="1"/>
    <xf numFmtId="0" fontId="0" fillId="0" borderId="0" xfId="0" applyAlignment="1">
      <alignment horizontal="center" vertical="center"/>
    </xf>
    <xf numFmtId="3" fontId="18" fillId="0" borderId="0" xfId="0" applyNumberFormat="1" applyFont="1" applyAlignment="1" applyProtection="1">
      <alignment vertical="center"/>
      <protection hidden="1"/>
    </xf>
    <xf numFmtId="14" fontId="2" fillId="4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wrapText="1"/>
    </xf>
    <xf numFmtId="0" fontId="7" fillId="0" borderId="20" xfId="0" applyFont="1" applyBorder="1" applyAlignment="1">
      <alignment horizontal="right" wrapText="1"/>
    </xf>
    <xf numFmtId="0" fontId="7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wrapText="1"/>
    </xf>
    <xf numFmtId="0" fontId="9" fillId="0" borderId="20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4" xfId="0" applyFont="1" applyBorder="1" applyAlignment="1">
      <alignment wrapText="1"/>
    </xf>
    <xf numFmtId="0" fontId="3" fillId="0" borderId="24" xfId="0" applyFont="1" applyBorder="1" applyAlignment="1">
      <alignment horizontal="center" wrapText="1"/>
    </xf>
    <xf numFmtId="0" fontId="9" fillId="0" borderId="25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3" fillId="0" borderId="25" xfId="0" applyFont="1" applyBorder="1" applyAlignment="1">
      <alignment horizontal="center" wrapText="1"/>
    </xf>
    <xf numFmtId="0" fontId="9" fillId="7" borderId="23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right" wrapText="1"/>
    </xf>
    <xf numFmtId="0" fontId="9" fillId="0" borderId="24" xfId="0" applyFont="1" applyBorder="1" applyAlignment="1">
      <alignment wrapText="1"/>
    </xf>
    <xf numFmtId="0" fontId="9" fillId="0" borderId="24" xfId="0" applyFont="1" applyBorder="1" applyAlignment="1">
      <alignment horizontal="center" wrapText="1"/>
    </xf>
    <xf numFmtId="0" fontId="21" fillId="0" borderId="24" xfId="0" applyFont="1" applyBorder="1" applyAlignment="1">
      <alignment wrapText="1"/>
    </xf>
    <xf numFmtId="0" fontId="21" fillId="0" borderId="24" xfId="0" applyFont="1" applyBorder="1" applyAlignment="1">
      <alignment horizontal="right" wrapText="1"/>
    </xf>
    <xf numFmtId="0" fontId="21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right" wrapText="1"/>
    </xf>
    <xf numFmtId="0" fontId="3" fillId="0" borderId="23" xfId="0" applyFont="1" applyBorder="1" applyAlignment="1">
      <alignment vertical="center" wrapText="1"/>
    </xf>
    <xf numFmtId="0" fontId="3" fillId="7" borderId="23" xfId="0" applyFont="1" applyFill="1" applyBorder="1" applyAlignment="1">
      <alignment vertical="center" wrapText="1"/>
    </xf>
    <xf numFmtId="0" fontId="3" fillId="0" borderId="20" xfId="0" applyFont="1" applyBorder="1" applyAlignment="1">
      <alignment wrapText="1"/>
    </xf>
    <xf numFmtId="0" fontId="7" fillId="0" borderId="33" xfId="0" applyFont="1" applyBorder="1" applyAlignment="1">
      <alignment horizontal="center" wrapText="1"/>
    </xf>
    <xf numFmtId="0" fontId="7" fillId="0" borderId="34" xfId="0" applyFont="1" applyBorder="1" applyAlignment="1">
      <alignment wrapText="1"/>
    </xf>
    <xf numFmtId="0" fontId="7" fillId="0" borderId="34" xfId="0" applyFont="1" applyBorder="1" applyAlignment="1">
      <alignment horizontal="right" wrapText="1"/>
    </xf>
    <xf numFmtId="0" fontId="7" fillId="0" borderId="34" xfId="0" applyFont="1" applyBorder="1" applyAlignment="1">
      <alignment horizontal="center" wrapText="1"/>
    </xf>
    <xf numFmtId="0" fontId="9" fillId="0" borderId="34" xfId="0" applyFont="1" applyBorder="1" applyAlignment="1">
      <alignment horizontal="center" wrapText="1"/>
    </xf>
    <xf numFmtId="0" fontId="3" fillId="0" borderId="3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/>
    </xf>
    <xf numFmtId="0" fontId="3" fillId="0" borderId="24" xfId="0" applyFont="1" applyBorder="1"/>
    <xf numFmtId="0" fontId="3" fillId="0" borderId="37" xfId="0" applyFont="1" applyBorder="1" applyAlignment="1">
      <alignment wrapText="1"/>
    </xf>
    <xf numFmtId="0" fontId="3" fillId="0" borderId="38" xfId="0" applyFont="1" applyBorder="1" applyAlignment="1">
      <alignment wrapText="1"/>
    </xf>
    <xf numFmtId="0" fontId="3" fillId="0" borderId="38" xfId="0" applyFont="1" applyBorder="1" applyAlignment="1">
      <alignment horizontal="right" wrapText="1"/>
    </xf>
    <xf numFmtId="0" fontId="3" fillId="0" borderId="38" xfId="0" applyFont="1" applyBorder="1" applyAlignment="1">
      <alignment horizontal="center" wrapText="1"/>
    </xf>
    <xf numFmtId="0" fontId="3" fillId="0" borderId="23" xfId="0" applyFont="1" applyBorder="1" applyAlignment="1">
      <alignment wrapText="1"/>
    </xf>
    <xf numFmtId="0" fontId="3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21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13" xfId="0" applyFont="1" applyBorder="1"/>
    <xf numFmtId="0" fontId="3" fillId="0" borderId="13" xfId="0" applyFont="1" applyBorder="1" applyAlignment="1">
      <alignment horizontal="left"/>
    </xf>
    <xf numFmtId="0" fontId="3" fillId="0" borderId="13" xfId="0" applyFont="1" applyBorder="1" applyAlignment="1">
      <alignment horizontal="left" vertical="center"/>
    </xf>
    <xf numFmtId="3" fontId="16" fillId="0" borderId="13" xfId="0" applyNumberFormat="1" applyFont="1" applyBorder="1"/>
    <xf numFmtId="3" fontId="17" fillId="0" borderId="13" xfId="0" applyNumberFormat="1" applyFont="1" applyBorder="1"/>
    <xf numFmtId="0" fontId="17" fillId="0" borderId="13" xfId="0" applyFont="1" applyBorder="1"/>
    <xf numFmtId="0" fontId="3" fillId="0" borderId="0" xfId="0" applyFont="1" applyAlignment="1">
      <alignment horizontal="right" wrapText="1"/>
    </xf>
    <xf numFmtId="0" fontId="3" fillId="0" borderId="14" xfId="0" applyFont="1" applyBorder="1" applyAlignment="1">
      <alignment vertical="center" wrapText="1"/>
    </xf>
    <xf numFmtId="0" fontId="3" fillId="7" borderId="14" xfId="0" applyFont="1" applyFill="1" applyBorder="1" applyAlignment="1">
      <alignment vertical="center" wrapText="1"/>
    </xf>
    <xf numFmtId="0" fontId="21" fillId="0" borderId="23" xfId="0" applyFont="1" applyBorder="1" applyAlignment="1">
      <alignment wrapText="1"/>
    </xf>
    <xf numFmtId="0" fontId="9" fillId="0" borderId="38" xfId="0" applyFont="1" applyBorder="1" applyAlignment="1">
      <alignment wrapText="1"/>
    </xf>
    <xf numFmtId="0" fontId="9" fillId="0" borderId="38" xfId="0" applyFont="1" applyBorder="1" applyAlignment="1">
      <alignment horizontal="center" wrapText="1"/>
    </xf>
    <xf numFmtId="0" fontId="3" fillId="8" borderId="24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2" fillId="0" borderId="2" xfId="1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1" applyFont="1" applyBorder="1" applyAlignment="1">
      <alignment vertical="center"/>
    </xf>
    <xf numFmtId="9" fontId="3" fillId="0" borderId="6" xfId="0" applyNumberFormat="1" applyFont="1" applyBorder="1" applyAlignment="1">
      <alignment horizontal="center" vertical="center"/>
    </xf>
    <xf numFmtId="9" fontId="9" fillId="0" borderId="6" xfId="0" applyNumberFormat="1" applyFont="1" applyBorder="1"/>
    <xf numFmtId="0" fontId="3" fillId="0" borderId="6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right" vertical="center"/>
    </xf>
    <xf numFmtId="164" fontId="3" fillId="0" borderId="6" xfId="0" applyNumberFormat="1" applyFont="1" applyBorder="1"/>
    <xf numFmtId="164" fontId="9" fillId="0" borderId="6" xfId="0" applyNumberFormat="1" applyFont="1" applyBorder="1" applyAlignment="1">
      <alignment horizontal="right" vertical="center"/>
    </xf>
    <xf numFmtId="164" fontId="3" fillId="5" borderId="6" xfId="0" applyNumberFormat="1" applyFont="1" applyFill="1" applyBorder="1" applyAlignment="1">
      <alignment horizontal="right" vertical="center"/>
    </xf>
    <xf numFmtId="9" fontId="7" fillId="0" borderId="6" xfId="0" applyNumberFormat="1" applyFont="1" applyBorder="1" applyAlignment="1">
      <alignment horizontal="center" vertical="center"/>
    </xf>
    <xf numFmtId="9" fontId="23" fillId="0" borderId="6" xfId="0" applyNumberFormat="1" applyFont="1" applyBorder="1"/>
    <xf numFmtId="0" fontId="2" fillId="0" borderId="2" xfId="1" applyFont="1" applyBorder="1" applyAlignment="1" applyProtection="1">
      <alignment horizontal="left" vertical="center"/>
      <protection hidden="1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wrapText="1"/>
    </xf>
    <xf numFmtId="3" fontId="3" fillId="6" borderId="0" xfId="0" applyNumberFormat="1" applyFont="1" applyFill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3" fontId="9" fillId="6" borderId="1" xfId="0" applyNumberFormat="1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/>
    </xf>
    <xf numFmtId="3" fontId="9" fillId="6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center"/>
    </xf>
    <xf numFmtId="3" fontId="3" fillId="10" borderId="2" xfId="0" applyNumberFormat="1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3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wrapText="1"/>
    </xf>
    <xf numFmtId="0" fontId="9" fillId="10" borderId="2" xfId="0" applyFont="1" applyFill="1" applyBorder="1" applyAlignment="1">
      <alignment horizontal="center" wrapText="1"/>
    </xf>
    <xf numFmtId="0" fontId="3" fillId="10" borderId="2" xfId="0" applyFont="1" applyFill="1" applyBorder="1" applyAlignment="1">
      <alignment horizontal="center" vertical="center"/>
    </xf>
    <xf numFmtId="3" fontId="9" fillId="10" borderId="2" xfId="0" applyNumberFormat="1" applyFont="1" applyFill="1" applyBorder="1" applyAlignment="1">
      <alignment horizontal="center"/>
    </xf>
    <xf numFmtId="0" fontId="21" fillId="10" borderId="2" xfId="0" applyFont="1" applyFill="1" applyBorder="1" applyAlignment="1">
      <alignment horizontal="center" wrapText="1"/>
    </xf>
    <xf numFmtId="3" fontId="3" fillId="11" borderId="1" xfId="0" applyNumberFormat="1" applyFont="1" applyFill="1" applyBorder="1" applyAlignment="1">
      <alignment horizontal="center"/>
    </xf>
    <xf numFmtId="3" fontId="3" fillId="11" borderId="2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 wrapText="1"/>
    </xf>
    <xf numFmtId="3" fontId="9" fillId="11" borderId="2" xfId="0" applyNumberFormat="1" applyFont="1" applyFill="1" applyBorder="1" applyAlignment="1">
      <alignment horizontal="center"/>
    </xf>
    <xf numFmtId="165" fontId="3" fillId="0" borderId="6" xfId="0" applyNumberFormat="1" applyFont="1" applyBorder="1" applyAlignment="1">
      <alignment horizontal="right" vertical="center"/>
    </xf>
    <xf numFmtId="165" fontId="9" fillId="0" borderId="6" xfId="0" applyNumberFormat="1" applyFont="1" applyBorder="1" applyAlignment="1">
      <alignment horizontal="right" vertical="center"/>
    </xf>
    <xf numFmtId="0" fontId="7" fillId="0" borderId="0" xfId="0" applyFont="1"/>
    <xf numFmtId="0" fontId="15" fillId="0" borderId="39" xfId="0" applyFont="1" applyBorder="1" applyAlignment="1" applyProtection="1">
      <alignment horizontal="center" vertical="center"/>
      <protection locked="0"/>
    </xf>
    <xf numFmtId="0" fontId="3" fillId="0" borderId="6" xfId="0" applyFont="1" applyBorder="1"/>
    <xf numFmtId="0" fontId="3" fillId="0" borderId="0" xfId="0" applyFont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39" xfId="0" applyFont="1" applyBorder="1"/>
    <xf numFmtId="0" fontId="3" fillId="0" borderId="11" xfId="0" applyFont="1" applyBorder="1"/>
    <xf numFmtId="0" fontId="2" fillId="0" borderId="9" xfId="0" applyFont="1" applyBorder="1" applyAlignment="1" applyProtection="1">
      <alignment horizontal="center" vertical="center"/>
      <protection locked="0"/>
    </xf>
    <xf numFmtId="14" fontId="2" fillId="0" borderId="40" xfId="0" applyNumberFormat="1" applyFont="1" applyBorder="1" applyAlignment="1" applyProtection="1">
      <alignment horizontal="center" vertical="center"/>
      <protection locked="0"/>
    </xf>
    <xf numFmtId="0" fontId="2" fillId="0" borderId="41" xfId="0" applyFont="1" applyBorder="1" applyAlignment="1" applyProtection="1">
      <alignment horizontal="center" vertical="center"/>
      <protection locked="0"/>
    </xf>
    <xf numFmtId="0" fontId="7" fillId="12" borderId="6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 vertical="center"/>
    </xf>
    <xf numFmtId="3" fontId="24" fillId="0" borderId="0" xfId="0" applyNumberFormat="1" applyFont="1" applyAlignment="1" applyProtection="1">
      <alignment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11" fillId="0" borderId="13" xfId="0" applyNumberFormat="1" applyFont="1" applyBorder="1"/>
    <xf numFmtId="3" fontId="3" fillId="0" borderId="13" xfId="0" applyNumberFormat="1" applyFont="1" applyBorder="1"/>
    <xf numFmtId="3" fontId="7" fillId="0" borderId="0" xfId="0" applyNumberFormat="1" applyFont="1" applyAlignment="1">
      <alignment horizontal="center"/>
    </xf>
    <xf numFmtId="3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vertical="center"/>
    </xf>
    <xf numFmtId="3" fontId="2" fillId="3" borderId="6" xfId="0" applyNumberFormat="1" applyFont="1" applyFill="1" applyBorder="1" applyAlignment="1">
      <alignment horizontal="left"/>
    </xf>
    <xf numFmtId="3" fontId="2" fillId="3" borderId="6" xfId="0" applyNumberFormat="1" applyFont="1" applyFill="1" applyBorder="1" applyAlignment="1">
      <alignment horizontal="center" vertic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7" fillId="0" borderId="8" xfId="0" applyFont="1" applyBorder="1"/>
    <xf numFmtId="3" fontId="11" fillId="0" borderId="8" xfId="0" applyNumberFormat="1" applyFont="1" applyBorder="1"/>
    <xf numFmtId="3" fontId="11" fillId="0" borderId="8" xfId="0" applyNumberFormat="1" applyFont="1" applyBorder="1" applyAlignment="1">
      <alignment horizontal="center" vertical="center"/>
    </xf>
    <xf numFmtId="3" fontId="11" fillId="11" borderId="8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3" fontId="11" fillId="0" borderId="8" xfId="0" applyNumberFormat="1" applyFont="1" applyBorder="1" applyAlignment="1">
      <alignment horizontal="center"/>
    </xf>
    <xf numFmtId="3" fontId="9" fillId="12" borderId="1" xfId="0" applyNumberFormat="1" applyFont="1" applyFill="1" applyBorder="1" applyAlignment="1">
      <alignment horizontal="center"/>
    </xf>
    <xf numFmtId="3" fontId="9" fillId="12" borderId="2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9" fillId="0" borderId="2" xfId="1" applyFont="1" applyBorder="1" applyAlignment="1" applyProtection="1">
      <alignment vertical="center"/>
      <protection locked="0"/>
    </xf>
    <xf numFmtId="0" fontId="9" fillId="0" borderId="2" xfId="1" applyFont="1" applyBorder="1" applyAlignment="1" applyProtection="1">
      <alignment vertical="center"/>
      <protection hidden="1"/>
    </xf>
    <xf numFmtId="0" fontId="3" fillId="0" borderId="2" xfId="1" applyFont="1" applyBorder="1" applyAlignment="1" applyProtection="1">
      <alignment vertical="center"/>
      <protection locked="0"/>
    </xf>
    <xf numFmtId="0" fontId="3" fillId="0" borderId="2" xfId="1" applyFont="1" applyBorder="1" applyAlignment="1" applyProtection="1">
      <alignment vertical="center"/>
      <protection hidden="1"/>
    </xf>
    <xf numFmtId="0" fontId="3" fillId="0" borderId="2" xfId="0" applyFont="1" applyBorder="1" applyAlignment="1" applyProtection="1">
      <alignment vertical="center"/>
      <protection hidden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9" fillId="0" borderId="1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2" fillId="0" borderId="42" xfId="0" applyFont="1" applyBorder="1" applyAlignment="1" applyProtection="1">
      <alignment vertical="center"/>
      <protection hidden="1"/>
    </xf>
    <xf numFmtId="0" fontId="2" fillId="0" borderId="42" xfId="1" applyFont="1" applyBorder="1" applyAlignment="1" applyProtection="1">
      <alignment vertical="center"/>
      <protection hidden="1"/>
    </xf>
    <xf numFmtId="0" fontId="7" fillId="9" borderId="2" xfId="0" applyFont="1" applyFill="1" applyBorder="1" applyAlignment="1">
      <alignment horizontal="center" vertical="center"/>
    </xf>
    <xf numFmtId="0" fontId="2" fillId="0" borderId="2" xfId="0" applyFont="1" applyBorder="1" applyAlignment="1" applyProtection="1">
      <alignment horizontal="right" vertical="center"/>
      <protection hidden="1"/>
    </xf>
    <xf numFmtId="0" fontId="2" fillId="0" borderId="2" xfId="1" applyFont="1" applyBorder="1" applyAlignment="1" applyProtection="1">
      <alignment horizontal="right" vertical="center"/>
      <protection hidden="1"/>
    </xf>
    <xf numFmtId="0" fontId="3" fillId="13" borderId="2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25" fillId="14" borderId="43" xfId="0" applyFont="1" applyFill="1" applyBorder="1" applyAlignment="1">
      <alignment horizontal="left" vertical="center" wrapText="1"/>
    </xf>
    <xf numFmtId="0" fontId="25" fillId="15" borderId="44" xfId="0" applyFont="1" applyFill="1" applyBorder="1" applyAlignment="1">
      <alignment horizontal="left" vertical="center" wrapText="1"/>
    </xf>
    <xf numFmtId="0" fontId="25" fillId="15" borderId="44" xfId="0" applyFont="1" applyFill="1" applyBorder="1" applyAlignment="1">
      <alignment horizontal="center" vertical="center" wrapText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25" fillId="14" borderId="2" xfId="0" applyFont="1" applyFill="1" applyBorder="1" applyAlignment="1">
      <alignment horizontal="left" vertical="center" wrapText="1"/>
    </xf>
    <xf numFmtId="0" fontId="2" fillId="0" borderId="43" xfId="0" applyFont="1" applyBorder="1" applyAlignment="1" applyProtection="1">
      <alignment vertical="center"/>
      <protection hidden="1"/>
    </xf>
    <xf numFmtId="0" fontId="2" fillId="0" borderId="43" xfId="1" applyFont="1" applyBorder="1" applyAlignment="1" applyProtection="1">
      <alignment vertical="center"/>
      <protection hidden="1"/>
    </xf>
    <xf numFmtId="0" fontId="2" fillId="0" borderId="51" xfId="1" applyFont="1" applyBorder="1" applyAlignment="1" applyProtection="1">
      <alignment vertical="center"/>
      <protection hidden="1"/>
    </xf>
    <xf numFmtId="0" fontId="25" fillId="15" borderId="2" xfId="0" applyFont="1" applyFill="1" applyBorder="1" applyAlignment="1">
      <alignment horizontal="left" vertical="center" wrapText="1"/>
    </xf>
    <xf numFmtId="0" fontId="2" fillId="0" borderId="44" xfId="1" applyFont="1" applyBorder="1" applyAlignment="1" applyProtection="1">
      <alignment vertical="center"/>
      <protection hidden="1"/>
    </xf>
    <xf numFmtId="0" fontId="25" fillId="5" borderId="2" xfId="0" applyFont="1" applyFill="1" applyBorder="1" applyAlignment="1">
      <alignment horizontal="left" vertical="center" wrapText="1"/>
    </xf>
    <xf numFmtId="0" fontId="2" fillId="0" borderId="6" xfId="1" applyFont="1" applyBorder="1" applyAlignment="1" applyProtection="1">
      <alignment vertical="center"/>
      <protection locked="0"/>
    </xf>
    <xf numFmtId="0" fontId="25" fillId="14" borderId="2" xfId="0" applyFont="1" applyFill="1" applyBorder="1" applyAlignment="1">
      <alignment vertical="center" wrapText="1"/>
    </xf>
    <xf numFmtId="0" fontId="2" fillId="0" borderId="6" xfId="0" applyFont="1" applyBorder="1" applyAlignment="1" applyProtection="1">
      <alignment vertical="center"/>
      <protection hidden="1"/>
    </xf>
    <xf numFmtId="0" fontId="3" fillId="0" borderId="2" xfId="0" applyFont="1" applyBorder="1" applyAlignment="1">
      <alignment horizontal="left" vertical="center" wrapText="1"/>
    </xf>
    <xf numFmtId="0" fontId="2" fillId="0" borderId="6" xfId="1" applyFont="1" applyBorder="1" applyAlignment="1" applyProtection="1">
      <alignment vertical="center"/>
      <protection hidden="1"/>
    </xf>
    <xf numFmtId="0" fontId="2" fillId="0" borderId="51" xfId="1" applyFont="1" applyBorder="1" applyAlignment="1" applyProtection="1">
      <alignment vertical="center"/>
      <protection locked="0"/>
    </xf>
    <xf numFmtId="0" fontId="25" fillId="15" borderId="2" xfId="0" applyFont="1" applyFill="1" applyBorder="1" applyAlignment="1">
      <alignment vertical="center" wrapText="1"/>
    </xf>
    <xf numFmtId="0" fontId="25" fillId="14" borderId="44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wrapText="1"/>
    </xf>
    <xf numFmtId="0" fontId="2" fillId="0" borderId="44" xfId="1" applyFont="1" applyBorder="1" applyAlignment="1" applyProtection="1">
      <alignment vertical="center"/>
      <protection locked="0"/>
    </xf>
    <xf numFmtId="0" fontId="3" fillId="15" borderId="2" xfId="0" applyFont="1" applyFill="1" applyBorder="1" applyAlignment="1">
      <alignment horizontal="left" wrapText="1"/>
    </xf>
    <xf numFmtId="0" fontId="3" fillId="0" borderId="44" xfId="0" applyFont="1" applyBorder="1" applyAlignment="1">
      <alignment wrapText="1"/>
    </xf>
    <xf numFmtId="0" fontId="2" fillId="0" borderId="44" xfId="0" applyFont="1" applyBorder="1" applyAlignment="1" applyProtection="1">
      <alignment vertical="center"/>
      <protection hidden="1"/>
    </xf>
    <xf numFmtId="0" fontId="2" fillId="0" borderId="43" xfId="1" applyFont="1" applyBorder="1" applyAlignment="1" applyProtection="1">
      <alignment vertical="center"/>
      <protection locked="0"/>
    </xf>
    <xf numFmtId="0" fontId="3" fillId="0" borderId="43" xfId="0" applyFont="1" applyBorder="1" applyAlignment="1">
      <alignment wrapText="1"/>
    </xf>
    <xf numFmtId="0" fontId="25" fillId="15" borderId="51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wrapText="1"/>
    </xf>
    <xf numFmtId="0" fontId="3" fillId="0" borderId="51" xfId="0" applyFont="1" applyBorder="1" applyAlignment="1">
      <alignment wrapText="1"/>
    </xf>
    <xf numFmtId="0" fontId="3" fillId="0" borderId="6" xfId="0" applyFont="1" applyBorder="1" applyAlignment="1">
      <alignment horizontal="left" wrapText="1"/>
    </xf>
    <xf numFmtId="0" fontId="3" fillId="0" borderId="44" xfId="0" applyFont="1" applyBorder="1" applyAlignment="1">
      <alignment horizontal="center" wrapText="1"/>
    </xf>
    <xf numFmtId="0" fontId="2" fillId="0" borderId="51" xfId="1" applyFont="1" applyBorder="1" applyAlignment="1" applyProtection="1">
      <alignment horizontal="left" vertical="center"/>
      <protection locked="0"/>
    </xf>
    <xf numFmtId="0" fontId="3" fillId="0" borderId="43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2" fillId="0" borderId="43" xfId="1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25" fillId="5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5" fillId="14" borderId="2" xfId="0" applyFont="1" applyFill="1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 vertical="center" wrapText="1"/>
    </xf>
    <xf numFmtId="0" fontId="25" fillId="15" borderId="2" xfId="0" applyFont="1" applyFill="1" applyBorder="1" applyAlignment="1">
      <alignment horizontal="left" wrapText="1"/>
    </xf>
    <xf numFmtId="0" fontId="2" fillId="0" borderId="2" xfId="1" applyFont="1" applyBorder="1" applyAlignment="1" applyProtection="1">
      <alignment horizontal="center" vertical="center"/>
      <protection locked="0"/>
    </xf>
    <xf numFmtId="0" fontId="25" fillId="0" borderId="2" xfId="0" applyFont="1" applyBorder="1"/>
    <xf numFmtId="0" fontId="3" fillId="14" borderId="2" xfId="0" applyFont="1" applyFill="1" applyBorder="1" applyAlignment="1">
      <alignment horizontal="left" vertical="center" wrapText="1"/>
    </xf>
    <xf numFmtId="0" fontId="25" fillId="15" borderId="54" xfId="0" applyFont="1" applyFill="1" applyBorder="1" applyAlignment="1">
      <alignment horizontal="left" vertical="center" wrapText="1"/>
    </xf>
    <xf numFmtId="0" fontId="25" fillId="14" borderId="2" xfId="0" applyFont="1" applyFill="1" applyBorder="1" applyAlignment="1">
      <alignment horizontal="left" wrapText="1"/>
    </xf>
    <xf numFmtId="0" fontId="3" fillId="0" borderId="54" xfId="0" applyFont="1" applyBorder="1" applyAlignment="1">
      <alignment wrapText="1"/>
    </xf>
    <xf numFmtId="0" fontId="3" fillId="0" borderId="7" xfId="0" applyFont="1" applyBorder="1" applyAlignment="1">
      <alignment vertical="center"/>
    </xf>
    <xf numFmtId="0" fontId="3" fillId="14" borderId="2" xfId="0" applyFont="1" applyFill="1" applyBorder="1" applyAlignment="1">
      <alignment horizontal="center" vertical="center" wrapText="1"/>
    </xf>
    <xf numFmtId="0" fontId="2" fillId="0" borderId="54" xfId="0" applyFont="1" applyBorder="1" applyAlignment="1" applyProtection="1">
      <alignment vertical="center"/>
      <protection hidden="1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25" fillId="15" borderId="43" xfId="0" applyFont="1" applyFill="1" applyBorder="1" applyAlignment="1">
      <alignment horizontal="center" vertical="center" wrapText="1"/>
    </xf>
    <xf numFmtId="0" fontId="25" fillId="14" borderId="44" xfId="0" applyFont="1" applyFill="1" applyBorder="1" applyAlignment="1">
      <alignment horizontal="center" vertical="center" wrapText="1"/>
    </xf>
    <xf numFmtId="0" fontId="25" fillId="15" borderId="51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/>
    </xf>
    <xf numFmtId="0" fontId="25" fillId="14" borderId="0" xfId="0" applyFont="1" applyFill="1" applyAlignment="1">
      <alignment horizontal="left" vertical="center" wrapText="1"/>
    </xf>
    <xf numFmtId="0" fontId="3" fillId="12" borderId="43" xfId="0" applyFont="1" applyFill="1" applyBorder="1" applyAlignment="1">
      <alignment horizontal="center" vertical="center"/>
    </xf>
    <xf numFmtId="0" fontId="3" fillId="12" borderId="51" xfId="0" applyFont="1" applyFill="1" applyBorder="1" applyAlignment="1">
      <alignment horizontal="center" vertical="center"/>
    </xf>
    <xf numFmtId="0" fontId="25" fillId="15" borderId="0" xfId="0" applyFont="1" applyFill="1" applyAlignment="1">
      <alignment horizontal="left" vertical="center" wrapText="1"/>
    </xf>
    <xf numFmtId="0" fontId="3" fillId="12" borderId="44" xfId="0" applyFont="1" applyFill="1" applyBorder="1" applyAlignment="1">
      <alignment horizontal="center" vertical="center"/>
    </xf>
    <xf numFmtId="0" fontId="3" fillId="12" borderId="50" xfId="0" applyFont="1" applyFill="1" applyBorder="1" applyAlignment="1">
      <alignment horizontal="center" vertical="center"/>
    </xf>
    <xf numFmtId="0" fontId="3" fillId="12" borderId="45" xfId="0" applyFont="1" applyFill="1" applyBorder="1" applyAlignment="1">
      <alignment horizontal="center" vertical="center"/>
    </xf>
    <xf numFmtId="0" fontId="25" fillId="15" borderId="6" xfId="0" applyFont="1" applyFill="1" applyBorder="1" applyAlignment="1">
      <alignment horizontal="left" vertical="center" wrapText="1"/>
    </xf>
    <xf numFmtId="0" fontId="25" fillId="14" borderId="51" xfId="0" applyFont="1" applyFill="1" applyBorder="1" applyAlignment="1">
      <alignment horizontal="left" vertical="center" wrapText="1"/>
    </xf>
    <xf numFmtId="0" fontId="3" fillId="0" borderId="43" xfId="0" applyFont="1" applyBorder="1"/>
    <xf numFmtId="0" fontId="2" fillId="0" borderId="43" xfId="1" applyFont="1" applyBorder="1" applyAlignment="1" applyProtection="1">
      <alignment horizontal="left" vertical="center"/>
      <protection hidden="1"/>
    </xf>
    <xf numFmtId="0" fontId="25" fillId="14" borderId="6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0" borderId="43" xfId="0" applyFont="1" applyBorder="1" applyAlignment="1" applyProtection="1">
      <alignment horizontal="left" vertical="center"/>
      <protection hidden="1"/>
    </xf>
    <xf numFmtId="0" fontId="21" fillId="0" borderId="43" xfId="0" applyFont="1" applyBorder="1" applyAlignment="1">
      <alignment wrapText="1"/>
    </xf>
    <xf numFmtId="0" fontId="2" fillId="0" borderId="51" xfId="0" applyFont="1" applyBorder="1" applyAlignment="1" applyProtection="1">
      <alignment vertical="center"/>
      <protection hidden="1"/>
    </xf>
    <xf numFmtId="0" fontId="25" fillId="5" borderId="46" xfId="0" applyFont="1" applyFill="1" applyBorder="1" applyAlignment="1">
      <alignment horizontal="left" vertical="center" wrapText="1"/>
    </xf>
    <xf numFmtId="0" fontId="3" fillId="0" borderId="44" xfId="0" applyFont="1" applyBorder="1"/>
    <xf numFmtId="0" fontId="2" fillId="0" borderId="51" xfId="1" applyFont="1" applyBorder="1" applyAlignment="1" applyProtection="1">
      <alignment horizontal="center" vertical="center"/>
      <protection hidden="1"/>
    </xf>
    <xf numFmtId="0" fontId="25" fillId="5" borderId="44" xfId="0" applyFont="1" applyFill="1" applyBorder="1" applyAlignment="1">
      <alignment horizontal="left" vertical="center" wrapText="1"/>
    </xf>
    <xf numFmtId="0" fontId="25" fillId="15" borderId="43" xfId="0" applyFont="1" applyFill="1" applyBorder="1" applyAlignment="1">
      <alignment horizontal="left" vertical="center" wrapText="1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43" xfId="1" applyFont="1" applyBorder="1" applyAlignment="1" applyProtection="1">
      <alignment horizontal="left" vertical="center"/>
      <protection locked="0"/>
    </xf>
    <xf numFmtId="0" fontId="2" fillId="0" borderId="44" xfId="1" applyFont="1" applyBorder="1" applyAlignment="1" applyProtection="1">
      <alignment horizontal="left" vertical="center"/>
      <protection hidden="1"/>
    </xf>
    <xf numFmtId="0" fontId="2" fillId="0" borderId="44" xfId="1" applyFont="1" applyBorder="1" applyAlignment="1" applyProtection="1">
      <alignment horizontal="left" vertical="center"/>
      <protection locked="0"/>
    </xf>
    <xf numFmtId="0" fontId="3" fillId="0" borderId="51" xfId="0" applyFont="1" applyBorder="1"/>
    <xf numFmtId="0" fontId="9" fillId="0" borderId="6" xfId="0" applyFont="1" applyBorder="1" applyAlignment="1">
      <alignment wrapText="1"/>
    </xf>
    <xf numFmtId="0" fontId="25" fillId="5" borderId="47" xfId="0" applyFont="1" applyFill="1" applyBorder="1" applyAlignment="1">
      <alignment horizontal="left" vertical="center" wrapText="1"/>
    </xf>
    <xf numFmtId="0" fontId="3" fillId="0" borderId="44" xfId="1" applyFont="1" applyBorder="1" applyAlignment="1" applyProtection="1">
      <alignment vertical="center"/>
      <protection locked="0"/>
    </xf>
    <xf numFmtId="0" fontId="3" fillId="0" borderId="51" xfId="1" applyFont="1" applyBorder="1" applyAlignment="1" applyProtection="1">
      <alignment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3" fillId="0" borderId="6" xfId="1" applyFont="1" applyBorder="1" applyAlignment="1" applyProtection="1">
      <alignment vertical="center"/>
      <protection hidden="1"/>
    </xf>
    <xf numFmtId="0" fontId="9" fillId="0" borderId="6" xfId="1" applyFont="1" applyBorder="1" applyAlignment="1" applyProtection="1">
      <alignment vertical="center"/>
      <protection locked="0"/>
    </xf>
    <xf numFmtId="0" fontId="9" fillId="0" borderId="44" xfId="1" applyFont="1" applyBorder="1" applyAlignment="1" applyProtection="1">
      <alignment vertical="center"/>
      <protection locked="0"/>
    </xf>
    <xf numFmtId="0" fontId="9" fillId="0" borderId="6" xfId="1" applyFont="1" applyBorder="1" applyAlignment="1" applyProtection="1">
      <alignment vertical="center"/>
      <protection hidden="1"/>
    </xf>
    <xf numFmtId="0" fontId="3" fillId="0" borderId="43" xfId="1" applyFont="1" applyBorder="1" applyAlignment="1" applyProtection="1">
      <alignment vertical="center"/>
      <protection locked="0"/>
    </xf>
    <xf numFmtId="0" fontId="9" fillId="0" borderId="44" xfId="1" applyFont="1" applyBorder="1" applyAlignment="1" applyProtection="1">
      <alignment vertical="center"/>
      <protection hidden="1"/>
    </xf>
    <xf numFmtId="0" fontId="25" fillId="14" borderId="54" xfId="0" applyFont="1" applyFill="1" applyBorder="1" applyAlignment="1">
      <alignment horizontal="left" vertical="center" wrapText="1"/>
    </xf>
    <xf numFmtId="0" fontId="25" fillId="14" borderId="6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  <xf numFmtId="0" fontId="25" fillId="14" borderId="43" xfId="0" applyFont="1" applyFill="1" applyBorder="1" applyAlignment="1">
      <alignment horizontal="center" vertical="center" wrapText="1"/>
    </xf>
    <xf numFmtId="0" fontId="2" fillId="0" borderId="54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25" fillId="15" borderId="0" xfId="0" applyFont="1" applyFill="1" applyAlignment="1">
      <alignment horizontal="center" vertical="center" wrapText="1"/>
    </xf>
    <xf numFmtId="0" fontId="2" fillId="0" borderId="54" xfId="1" applyFont="1" applyBorder="1" applyAlignment="1" applyProtection="1">
      <alignment vertical="center"/>
      <protection hidden="1"/>
    </xf>
    <xf numFmtId="0" fontId="2" fillId="0" borderId="6" xfId="1" applyFont="1" applyBorder="1" applyAlignment="1">
      <alignment vertical="center"/>
    </xf>
    <xf numFmtId="0" fontId="3" fillId="15" borderId="6" xfId="0" applyFont="1" applyFill="1" applyBorder="1" applyAlignment="1">
      <alignment horizontal="left" vertical="center" wrapText="1"/>
    </xf>
    <xf numFmtId="0" fontId="25" fillId="5" borderId="44" xfId="0" applyFont="1" applyFill="1" applyBorder="1" applyAlignment="1">
      <alignment horizontal="center" vertical="center" wrapText="1"/>
    </xf>
    <xf numFmtId="0" fontId="2" fillId="0" borderId="44" xfId="1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center" wrapText="1"/>
    </xf>
    <xf numFmtId="0" fontId="3" fillId="0" borderId="43" xfId="0" applyFont="1" applyBorder="1" applyAlignment="1">
      <alignment horizontal="center" wrapText="1"/>
    </xf>
    <xf numFmtId="0" fontId="25" fillId="15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wrapText="1"/>
    </xf>
    <xf numFmtId="0" fontId="25" fillId="9" borderId="6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 vertical="center" wrapText="1"/>
    </xf>
    <xf numFmtId="0" fontId="25" fillId="9" borderId="42" xfId="0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5" fillId="5" borderId="2" xfId="0" applyFont="1" applyFill="1" applyBorder="1" applyAlignment="1">
      <alignment horizontal="right" vertical="center" wrapText="1"/>
    </xf>
    <xf numFmtId="0" fontId="25" fillId="5" borderId="0" xfId="0" applyFont="1" applyFill="1" applyAlignment="1">
      <alignment vertical="center" wrapText="1"/>
    </xf>
    <xf numFmtId="0" fontId="25" fillId="5" borderId="1" xfId="0" applyFont="1" applyFill="1" applyBorder="1" applyAlignment="1">
      <alignment horizontal="right" vertical="center" wrapText="1"/>
    </xf>
    <xf numFmtId="0" fontId="25" fillId="5" borderId="44" xfId="0" applyFont="1" applyFill="1" applyBorder="1" applyAlignment="1">
      <alignment vertical="center" wrapText="1"/>
    </xf>
    <xf numFmtId="0" fontId="25" fillId="5" borderId="43" xfId="0" applyFont="1" applyFill="1" applyBorder="1" applyAlignment="1">
      <alignment horizontal="right" vertical="center" wrapText="1"/>
    </xf>
    <xf numFmtId="0" fontId="25" fillId="14" borderId="45" xfId="0" applyFont="1" applyFill="1" applyBorder="1" applyAlignment="1">
      <alignment horizontal="left" vertical="center" wrapText="1"/>
    </xf>
    <xf numFmtId="0" fontId="2" fillId="0" borderId="52" xfId="1" applyFont="1" applyBorder="1" applyAlignment="1" applyProtection="1">
      <alignment vertical="center"/>
      <protection locked="0"/>
    </xf>
    <xf numFmtId="0" fontId="3" fillId="0" borderId="50" xfId="0" applyFont="1" applyBorder="1" applyAlignment="1">
      <alignment wrapText="1"/>
    </xf>
    <xf numFmtId="0" fontId="25" fillId="5" borderId="0" xfId="0" applyFont="1" applyFill="1" applyAlignment="1">
      <alignment horizontal="left" vertical="center" wrapText="1"/>
    </xf>
    <xf numFmtId="0" fontId="25" fillId="15" borderId="48" xfId="0" applyFont="1" applyFill="1" applyBorder="1" applyAlignment="1">
      <alignment horizontal="left" vertical="center" wrapText="1"/>
    </xf>
    <xf numFmtId="0" fontId="25" fillId="14" borderId="46" xfId="0" applyFont="1" applyFill="1" applyBorder="1" applyAlignment="1">
      <alignment horizontal="left" vertical="center" wrapText="1"/>
    </xf>
    <xf numFmtId="0" fontId="2" fillId="0" borderId="7" xfId="0" applyFont="1" applyBorder="1" applyAlignment="1" applyProtection="1">
      <alignment vertical="center"/>
      <protection hidden="1"/>
    </xf>
    <xf numFmtId="0" fontId="2" fillId="5" borderId="44" xfId="0" applyFont="1" applyFill="1" applyBorder="1" applyAlignment="1" applyProtection="1">
      <alignment horizontal="left" vertical="center"/>
      <protection hidden="1"/>
    </xf>
    <xf numFmtId="0" fontId="25" fillId="15" borderId="49" xfId="0" applyFont="1" applyFill="1" applyBorder="1" applyAlignment="1">
      <alignment horizontal="left" vertical="center" wrapText="1"/>
    </xf>
    <xf numFmtId="0" fontId="25" fillId="14" borderId="47" xfId="0" applyFont="1" applyFill="1" applyBorder="1" applyAlignment="1">
      <alignment horizontal="left" vertical="center" wrapText="1"/>
    </xf>
    <xf numFmtId="0" fontId="3" fillId="0" borderId="55" xfId="0" applyFont="1" applyBorder="1" applyAlignment="1">
      <alignment vertical="center"/>
    </xf>
    <xf numFmtId="0" fontId="3" fillId="0" borderId="53" xfId="0" applyFont="1" applyBorder="1" applyAlignment="1">
      <alignment wrapText="1"/>
    </xf>
    <xf numFmtId="0" fontId="25" fillId="14" borderId="0" xfId="0" applyFont="1" applyFill="1" applyAlignment="1">
      <alignment horizontal="center" vertical="center" wrapText="1"/>
    </xf>
    <xf numFmtId="0" fontId="25" fillId="14" borderId="45" xfId="0" applyFont="1" applyFill="1" applyBorder="1" applyAlignment="1">
      <alignment horizontal="center" vertical="center" wrapText="1"/>
    </xf>
    <xf numFmtId="0" fontId="2" fillId="5" borderId="44" xfId="1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wrapText="1"/>
    </xf>
    <xf numFmtId="0" fontId="3" fillId="16" borderId="0" xfId="0" applyFont="1" applyFill="1" applyAlignment="1">
      <alignment horizontal="center" vertical="center"/>
    </xf>
    <xf numFmtId="3" fontId="3" fillId="17" borderId="1" xfId="0" applyNumberFormat="1" applyFont="1" applyFill="1" applyBorder="1" applyAlignment="1">
      <alignment horizontal="center"/>
    </xf>
    <xf numFmtId="3" fontId="3" fillId="17" borderId="2" xfId="0" applyNumberFormat="1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 wrapText="1"/>
    </xf>
    <xf numFmtId="0" fontId="9" fillId="17" borderId="2" xfId="0" applyFont="1" applyFill="1" applyBorder="1" applyAlignment="1">
      <alignment horizontal="center" wrapText="1"/>
    </xf>
    <xf numFmtId="0" fontId="3" fillId="17" borderId="2" xfId="0" applyFont="1" applyFill="1" applyBorder="1" applyAlignment="1">
      <alignment horizontal="center"/>
    </xf>
    <xf numFmtId="3" fontId="3" fillId="17" borderId="2" xfId="0" applyNumberFormat="1" applyFont="1" applyFill="1" applyBorder="1" applyAlignment="1">
      <alignment horizontal="center" vertical="center"/>
    </xf>
    <xf numFmtId="3" fontId="9" fillId="17" borderId="2" xfId="0" applyNumberFormat="1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 vertical="center"/>
    </xf>
    <xf numFmtId="0" fontId="21" fillId="17" borderId="2" xfId="0" applyFont="1" applyFill="1" applyBorder="1" applyAlignment="1">
      <alignment horizontal="center" wrapText="1"/>
    </xf>
    <xf numFmtId="0" fontId="3" fillId="17" borderId="1" xfId="0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/>
    </xf>
    <xf numFmtId="0" fontId="7" fillId="17" borderId="6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/>
    </xf>
    <xf numFmtId="0" fontId="3" fillId="17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3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right"/>
    </xf>
    <xf numFmtId="3" fontId="7" fillId="6" borderId="0" xfId="0" applyNumberFormat="1" applyFont="1" applyFill="1" applyAlignment="1">
      <alignment horizontal="right"/>
    </xf>
    <xf numFmtId="3" fontId="7" fillId="6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 vertical="center"/>
      <protection hidden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0" xfId="0" applyFont="1" applyBorder="1" applyAlignment="1" applyProtection="1">
      <alignment horizontal="center" vertical="center"/>
      <protection locked="0"/>
    </xf>
    <xf numFmtId="3" fontId="11" fillId="0" borderId="12" xfId="0" applyNumberFormat="1" applyFont="1" applyBorder="1" applyAlignment="1">
      <alignment horizontal="center" vertical="center"/>
    </xf>
    <xf numFmtId="3" fontId="11" fillId="0" borderId="13" xfId="0" applyNumberFormat="1" applyFont="1" applyBorder="1" applyAlignment="1">
      <alignment horizontal="center" vertical="center"/>
    </xf>
    <xf numFmtId="3" fontId="14" fillId="0" borderId="13" xfId="0" applyNumberFormat="1" applyFont="1" applyBorder="1" applyAlignment="1">
      <alignment horizontal="center" vertical="center"/>
    </xf>
    <xf numFmtId="0" fontId="5" fillId="0" borderId="0" xfId="0" applyFont="1" applyAlignment="1" applyProtection="1">
      <alignment horizontal="right" vertical="center"/>
      <protection hidden="1"/>
    </xf>
    <xf numFmtId="3" fontId="11" fillId="0" borderId="6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9" fillId="0" borderId="6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3" fontId="11" fillId="12" borderId="6" xfId="0" applyNumberFormat="1" applyFont="1" applyFill="1" applyBorder="1" applyAlignment="1">
      <alignment horizontal="center" vertical="center"/>
    </xf>
    <xf numFmtId="3" fontId="15" fillId="12" borderId="6" xfId="0" applyNumberFormat="1" applyFont="1" applyFill="1" applyBorder="1" applyAlignment="1">
      <alignment horizontal="center" vertical="center"/>
    </xf>
    <xf numFmtId="0" fontId="15" fillId="0" borderId="39" xfId="0" applyFont="1" applyBorder="1" applyAlignment="1" applyProtection="1">
      <alignment horizontal="center" vertical="center"/>
      <protection locked="0"/>
    </xf>
    <xf numFmtId="3" fontId="15" fillId="0" borderId="6" xfId="0" applyNumberFormat="1" applyFont="1" applyBorder="1" applyAlignment="1">
      <alignment horizontal="center" vertical="center"/>
    </xf>
    <xf numFmtId="3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30" xfId="0" applyFont="1" applyBorder="1" applyAlignment="1">
      <alignment wrapText="1"/>
    </xf>
    <xf numFmtId="0" fontId="3" fillId="0" borderId="31" xfId="0" applyFont="1" applyBorder="1" applyAlignment="1">
      <alignment wrapText="1"/>
    </xf>
    <xf numFmtId="0" fontId="20" fillId="0" borderId="15" xfId="0" applyFont="1" applyBorder="1" applyAlignment="1">
      <alignment horizontal="center" wrapText="1"/>
    </xf>
    <xf numFmtId="0" fontId="20" fillId="0" borderId="16" xfId="0" applyFont="1" applyBorder="1" applyAlignment="1">
      <alignment horizont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3" fillId="0" borderId="28" xfId="0" applyFont="1" applyBorder="1" applyAlignment="1">
      <alignment wrapText="1"/>
    </xf>
    <xf numFmtId="0" fontId="3" fillId="0" borderId="29" xfId="0" applyFont="1" applyBorder="1" applyAlignment="1">
      <alignment wrapText="1"/>
    </xf>
    <xf numFmtId="0" fontId="3" fillId="0" borderId="32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22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2">
    <cellStyle name="Normal" xfId="0" builtinId="0"/>
    <cellStyle name="Normal 2" xfId="1" xr:uid="{1BFFE6FB-B7E0-4670-995D-2347CC9B94B2}"/>
  </cellStyles>
  <dxfs count="2174"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8D55-B6CA-4CDC-AF03-3B1728A7C5CA}">
  <sheetPr filterMode="1"/>
  <dimension ref="A1:AB1284"/>
  <sheetViews>
    <sheetView tabSelected="1" zoomScale="80" zoomScaleNormal="80" workbookViewId="0">
      <selection activeCell="T1295" sqref="T1295"/>
    </sheetView>
  </sheetViews>
  <sheetFormatPr defaultColWidth="8.875" defaultRowHeight="18.75" x14ac:dyDescent="0.3"/>
  <cols>
    <col min="1" max="1" width="6.125" style="18" customWidth="1"/>
    <col min="2" max="2" width="24" style="18" customWidth="1"/>
    <col min="3" max="3" width="8.875" style="18" customWidth="1"/>
    <col min="4" max="4" width="13.875" style="18" customWidth="1"/>
    <col min="5" max="5" width="9.375" style="42" customWidth="1"/>
    <col min="6" max="6" width="8.5" style="77" customWidth="1"/>
    <col min="7" max="10" width="9" style="69" customWidth="1"/>
    <col min="11" max="11" width="9" style="77" customWidth="1"/>
    <col min="12" max="15" width="9" style="177" hidden="1" customWidth="1"/>
    <col min="16" max="16" width="9" style="77" customWidth="1"/>
    <col min="17" max="17" width="9" style="203" customWidth="1"/>
    <col min="18" max="24" width="9" style="20" customWidth="1"/>
    <col min="25" max="25" width="20" style="20" customWidth="1"/>
    <col min="26" max="27" width="8.875" style="18"/>
    <col min="28" max="28" width="11.5" style="18" customWidth="1"/>
    <col min="29" max="16384" width="8.875" style="18"/>
  </cols>
  <sheetData>
    <row r="1" spans="1:28" x14ac:dyDescent="0.3">
      <c r="A1" s="424" t="s">
        <v>421</v>
      </c>
      <c r="B1" s="424"/>
      <c r="C1" s="424"/>
      <c r="D1" s="425"/>
      <c r="E1" s="426"/>
      <c r="F1" s="426"/>
      <c r="G1" s="427"/>
      <c r="H1" s="427"/>
      <c r="I1" s="427"/>
      <c r="J1" s="427"/>
      <c r="K1" s="428"/>
      <c r="L1" s="429"/>
      <c r="M1" s="429"/>
      <c r="N1" s="429"/>
      <c r="O1" s="430"/>
      <c r="P1" s="217"/>
      <c r="AA1" s="45" t="s">
        <v>393</v>
      </c>
      <c r="AB1" s="43" t="s">
        <v>394</v>
      </c>
    </row>
    <row r="2" spans="1:28" x14ac:dyDescent="0.3">
      <c r="AA2" s="45">
        <v>0</v>
      </c>
      <c r="AB2" s="43">
        <v>350</v>
      </c>
    </row>
    <row r="3" spans="1:28" ht="37.5" x14ac:dyDescent="0.3">
      <c r="A3" s="54" t="s">
        <v>374</v>
      </c>
      <c r="B3" s="55" t="s">
        <v>375</v>
      </c>
      <c r="C3" s="55" t="s">
        <v>376</v>
      </c>
      <c r="D3" s="65" t="s">
        <v>377</v>
      </c>
      <c r="E3" s="76" t="s">
        <v>386</v>
      </c>
      <c r="F3" s="65" t="s">
        <v>378</v>
      </c>
      <c r="G3" s="70" t="s">
        <v>623</v>
      </c>
      <c r="H3" s="70" t="s">
        <v>624</v>
      </c>
      <c r="I3" s="70" t="s">
        <v>625</v>
      </c>
      <c r="J3" s="70" t="s">
        <v>662</v>
      </c>
      <c r="K3" s="70" t="s">
        <v>663</v>
      </c>
      <c r="L3" s="78" t="s">
        <v>744</v>
      </c>
      <c r="M3" s="78" t="s">
        <v>745</v>
      </c>
      <c r="N3" s="78" t="s">
        <v>746</v>
      </c>
      <c r="O3" s="78" t="s">
        <v>747</v>
      </c>
      <c r="P3" s="218" t="s">
        <v>1054</v>
      </c>
      <c r="Q3" s="219" t="s">
        <v>1406</v>
      </c>
      <c r="R3" s="65" t="s">
        <v>620</v>
      </c>
      <c r="S3" s="65" t="s">
        <v>621</v>
      </c>
      <c r="T3" s="65" t="s">
        <v>622</v>
      </c>
      <c r="U3" s="65" t="s">
        <v>742</v>
      </c>
      <c r="V3" s="65" t="s">
        <v>743</v>
      </c>
      <c r="W3" s="219" t="s">
        <v>1055</v>
      </c>
      <c r="X3" s="257" t="s">
        <v>1406</v>
      </c>
      <c r="Y3" s="257"/>
      <c r="AA3" s="18" t="s">
        <v>395</v>
      </c>
    </row>
    <row r="4" spans="1:28" x14ac:dyDescent="0.3">
      <c r="A4" s="220"/>
      <c r="B4" s="221"/>
      <c r="C4" s="221"/>
      <c r="D4" s="221"/>
      <c r="E4" s="222"/>
      <c r="F4" s="75"/>
      <c r="G4" s="223"/>
      <c r="H4" s="223"/>
      <c r="I4" s="223"/>
      <c r="J4" s="223"/>
      <c r="K4" s="224"/>
      <c r="L4" s="225"/>
      <c r="M4" s="225"/>
      <c r="N4" s="225"/>
      <c r="O4" s="225"/>
      <c r="P4" s="226"/>
      <c r="Q4" s="234"/>
      <c r="R4" s="75"/>
      <c r="S4" s="75"/>
      <c r="T4" s="75"/>
      <c r="U4" s="75"/>
      <c r="V4" s="75"/>
      <c r="W4" s="219"/>
      <c r="X4" s="257"/>
      <c r="Y4" s="257"/>
    </row>
    <row r="5" spans="1:28" hidden="1" x14ac:dyDescent="0.3">
      <c r="A5" s="49">
        <f>IF(B5="","",SUBTOTAL(3,$B$3:B5)-1)</f>
        <v>0</v>
      </c>
      <c r="B5" s="40" t="s">
        <v>325</v>
      </c>
      <c r="C5" s="40" t="s">
        <v>114</v>
      </c>
      <c r="D5" s="162"/>
      <c r="E5" s="50">
        <f>($AA$2-O5)*$AB$2+Q5</f>
        <v>0</v>
      </c>
      <c r="F5" s="21">
        <v>11</v>
      </c>
      <c r="G5" s="183"/>
      <c r="H5" s="404"/>
      <c r="I5" s="184"/>
      <c r="J5" s="72"/>
      <c r="K5" s="193"/>
      <c r="L5" s="178"/>
      <c r="M5" s="178"/>
      <c r="N5" s="178"/>
      <c r="O5" s="179"/>
      <c r="P5" s="236"/>
      <c r="Q5" s="256"/>
      <c r="R5" s="183"/>
      <c r="S5" s="413"/>
      <c r="T5" s="231"/>
      <c r="U5" s="21"/>
      <c r="V5" s="232"/>
      <c r="W5" s="238"/>
      <c r="X5" s="403"/>
      <c r="Y5" s="258"/>
      <c r="Z5" s="18">
        <v>1</v>
      </c>
      <c r="AA5" s="18" t="s">
        <v>397</v>
      </c>
    </row>
    <row r="6" spans="1:28" hidden="1" x14ac:dyDescent="0.3">
      <c r="A6" s="47">
        <f>IF(B6="","",SUBTOTAL(3,$B$3:B6)-1)</f>
        <v>0</v>
      </c>
      <c r="B6" s="24" t="s">
        <v>572</v>
      </c>
      <c r="C6" s="24" t="s">
        <v>114</v>
      </c>
      <c r="D6" s="24"/>
      <c r="E6" s="46">
        <f>($AA$2-O6)*$AB$2+Q6</f>
        <v>0</v>
      </c>
      <c r="F6" s="21">
        <v>11</v>
      </c>
      <c r="G6" s="175"/>
      <c r="H6" s="405" t="s">
        <v>635</v>
      </c>
      <c r="I6" s="185"/>
      <c r="J6" s="67"/>
      <c r="K6" s="194"/>
      <c r="L6" s="67"/>
      <c r="M6" s="67"/>
      <c r="N6" s="67"/>
      <c r="O6" s="73"/>
      <c r="P6" s="237"/>
      <c r="Q6" s="255"/>
      <c r="R6" s="175"/>
      <c r="S6" s="411" t="s">
        <v>1</v>
      </c>
      <c r="T6" s="190"/>
      <c r="U6" s="22"/>
      <c r="V6" s="233"/>
      <c r="W6" s="239"/>
      <c r="X6" s="403"/>
      <c r="Y6" s="258"/>
      <c r="Z6" s="18">
        <v>2</v>
      </c>
      <c r="AA6" s="18" t="s">
        <v>399</v>
      </c>
    </row>
    <row r="7" spans="1:28" hidden="1" x14ac:dyDescent="0.3">
      <c r="A7" s="47">
        <f>IF(B7="","",SUBTOTAL(3,$B$3:B7)-1)</f>
        <v>0</v>
      </c>
      <c r="B7" s="39" t="s">
        <v>689</v>
      </c>
      <c r="C7" s="24" t="s">
        <v>114</v>
      </c>
      <c r="D7" s="163"/>
      <c r="E7" s="46">
        <f>($AA$2-O7)*$AB$2+Q7</f>
        <v>0</v>
      </c>
      <c r="F7" s="21">
        <v>11</v>
      </c>
      <c r="G7" s="175"/>
      <c r="H7" s="405" t="s">
        <v>635</v>
      </c>
      <c r="I7" s="185"/>
      <c r="J7" s="67"/>
      <c r="K7" s="194"/>
      <c r="L7" s="67"/>
      <c r="M7" s="67"/>
      <c r="N7" s="67"/>
      <c r="O7" s="73"/>
      <c r="P7" s="237"/>
      <c r="Q7" s="255"/>
      <c r="R7" s="175"/>
      <c r="S7" s="411" t="s">
        <v>2</v>
      </c>
      <c r="T7" s="190"/>
      <c r="U7" s="22"/>
      <c r="V7" s="233"/>
      <c r="W7" s="239"/>
      <c r="X7" s="403"/>
      <c r="Y7" s="258"/>
      <c r="Z7" s="18">
        <v>3</v>
      </c>
      <c r="AA7" s="18" t="s">
        <v>400</v>
      </c>
    </row>
    <row r="8" spans="1:28" hidden="1" x14ac:dyDescent="0.3">
      <c r="A8" s="47">
        <f>IF(B8="","",SUBTOTAL(3,$B$3:B8)-1)</f>
        <v>0</v>
      </c>
      <c r="B8" s="265" t="s">
        <v>1275</v>
      </c>
      <c r="C8" s="265" t="s">
        <v>114</v>
      </c>
      <c r="D8" s="265">
        <v>383362163</v>
      </c>
      <c r="E8" s="46" t="s">
        <v>1214</v>
      </c>
      <c r="F8" s="300">
        <v>3</v>
      </c>
      <c r="G8" s="175" t="s">
        <v>660</v>
      </c>
      <c r="H8" s="405"/>
      <c r="I8" s="185"/>
      <c r="J8" s="71"/>
      <c r="K8" s="194"/>
      <c r="L8" s="67"/>
      <c r="M8" s="67"/>
      <c r="N8" s="67"/>
      <c r="O8" s="73"/>
      <c r="P8" s="237"/>
      <c r="Q8" s="255"/>
      <c r="R8" s="175" t="s">
        <v>0</v>
      </c>
      <c r="S8" s="411"/>
      <c r="T8" s="190"/>
      <c r="U8" s="22"/>
      <c r="V8" s="233"/>
      <c r="W8" s="239"/>
      <c r="X8" s="403"/>
      <c r="Y8" s="320" t="s">
        <v>1023</v>
      </c>
    </row>
    <row r="9" spans="1:28" hidden="1" x14ac:dyDescent="0.3">
      <c r="A9" s="47">
        <f>IF(B9="","",SUBTOTAL(3,$B$3:B9)-1)</f>
        <v>0</v>
      </c>
      <c r="B9" s="269" t="s">
        <v>1399</v>
      </c>
      <c r="C9" s="269" t="s">
        <v>114</v>
      </c>
      <c r="D9" s="269"/>
      <c r="E9" s="46" t="s">
        <v>1214</v>
      </c>
      <c r="F9" s="301">
        <v>2</v>
      </c>
      <c r="G9" s="175"/>
      <c r="H9" s="405"/>
      <c r="I9" s="185"/>
      <c r="J9" s="71"/>
      <c r="K9" s="194"/>
      <c r="L9" s="67"/>
      <c r="M9" s="67"/>
      <c r="N9" s="67"/>
      <c r="O9" s="73"/>
      <c r="P9" s="237"/>
      <c r="Q9" s="255"/>
      <c r="R9" s="175" t="s">
        <v>0</v>
      </c>
      <c r="S9" s="411"/>
      <c r="T9" s="190"/>
      <c r="U9" s="22"/>
      <c r="V9" s="233"/>
      <c r="W9" s="239"/>
      <c r="X9" s="403"/>
      <c r="Y9" s="323"/>
    </row>
    <row r="10" spans="1:28" hidden="1" x14ac:dyDescent="0.3">
      <c r="A10" s="47">
        <f>IF(B10="","",SUBTOTAL(3,$B$3:B10)-1)</f>
        <v>0</v>
      </c>
      <c r="B10" s="265" t="s">
        <v>1215</v>
      </c>
      <c r="C10" s="265" t="s">
        <v>10</v>
      </c>
      <c r="D10" s="265">
        <v>792936591</v>
      </c>
      <c r="E10" s="46" t="s">
        <v>1214</v>
      </c>
      <c r="F10" s="300">
        <v>1</v>
      </c>
      <c r="G10" s="175" t="s">
        <v>826</v>
      </c>
      <c r="H10" s="405" t="s">
        <v>634</v>
      </c>
      <c r="I10" s="185"/>
      <c r="J10" s="71"/>
      <c r="K10" s="194"/>
      <c r="L10" s="67"/>
      <c r="M10" s="67"/>
      <c r="N10" s="67"/>
      <c r="O10" s="73"/>
      <c r="P10" s="237"/>
      <c r="Q10" s="255"/>
      <c r="R10" s="175" t="s">
        <v>0</v>
      </c>
      <c r="S10" s="411"/>
      <c r="T10" s="190" t="s">
        <v>0</v>
      </c>
      <c r="U10" s="22"/>
      <c r="V10" s="233"/>
      <c r="W10" s="239"/>
      <c r="X10" s="403"/>
      <c r="Y10" s="320">
        <v>1</v>
      </c>
    </row>
    <row r="11" spans="1:28" hidden="1" x14ac:dyDescent="0.3">
      <c r="A11" s="47">
        <f>IF(B11="","",SUBTOTAL(3,$B$3:B11)-1)</f>
        <v>0</v>
      </c>
      <c r="B11" s="143" t="s">
        <v>1077</v>
      </c>
      <c r="C11" s="143" t="s">
        <v>10</v>
      </c>
      <c r="D11" s="143"/>
      <c r="E11" s="46"/>
      <c r="F11" s="22" t="s">
        <v>1213</v>
      </c>
      <c r="G11" s="175" t="s">
        <v>660</v>
      </c>
      <c r="H11" s="406"/>
      <c r="I11" s="188"/>
      <c r="J11" s="142"/>
      <c r="K11" s="196"/>
      <c r="L11" s="67"/>
      <c r="M11" s="67"/>
      <c r="N11" s="67"/>
      <c r="O11" s="73"/>
      <c r="P11" s="237"/>
      <c r="Q11" s="255"/>
      <c r="R11" s="175" t="s">
        <v>1</v>
      </c>
      <c r="S11" s="411"/>
      <c r="T11" s="190"/>
      <c r="U11" s="22"/>
      <c r="V11" s="233"/>
      <c r="W11" s="239"/>
      <c r="X11" s="403"/>
      <c r="Y11" s="258"/>
    </row>
    <row r="12" spans="1:28" hidden="1" x14ac:dyDescent="0.3">
      <c r="A12" s="47">
        <f>IF(B12="","",SUBTOTAL(3,$B$3:B12)-1)</f>
        <v>0</v>
      </c>
      <c r="B12" s="265" t="s">
        <v>1310</v>
      </c>
      <c r="C12" s="265" t="s">
        <v>10</v>
      </c>
      <c r="D12" s="265">
        <v>395960233</v>
      </c>
      <c r="E12" s="46" t="s">
        <v>1214</v>
      </c>
      <c r="F12" s="301">
        <v>1</v>
      </c>
      <c r="G12" s="175" t="s">
        <v>826</v>
      </c>
      <c r="H12" s="405"/>
      <c r="I12" s="185"/>
      <c r="J12" s="71"/>
      <c r="K12" s="194"/>
      <c r="L12" s="67"/>
      <c r="M12" s="67"/>
      <c r="N12" s="67"/>
      <c r="O12" s="73"/>
      <c r="P12" s="237"/>
      <c r="Q12" s="255"/>
      <c r="R12" s="175" t="s">
        <v>0</v>
      </c>
      <c r="S12" s="411"/>
      <c r="T12" s="190"/>
      <c r="U12" s="22"/>
      <c r="V12" s="233"/>
      <c r="W12" s="239"/>
      <c r="X12" s="403"/>
      <c r="Y12" s="320" t="s">
        <v>1329</v>
      </c>
    </row>
    <row r="13" spans="1:28" hidden="1" x14ac:dyDescent="0.3">
      <c r="A13" s="47">
        <f>IF(B13="","",SUBTOTAL(3,$B$3:B13)-1)</f>
        <v>0</v>
      </c>
      <c r="B13" s="143" t="s">
        <v>906</v>
      </c>
      <c r="C13" s="146" t="s">
        <v>10</v>
      </c>
      <c r="D13" s="143"/>
      <c r="E13" s="46"/>
      <c r="F13" s="142">
        <v>3</v>
      </c>
      <c r="G13" s="176"/>
      <c r="H13" s="407" t="s">
        <v>634</v>
      </c>
      <c r="I13" s="189" t="s">
        <v>634</v>
      </c>
      <c r="J13" s="67"/>
      <c r="K13" s="194"/>
      <c r="L13" s="180"/>
      <c r="M13" s="180"/>
      <c r="N13" s="180"/>
      <c r="O13" s="181"/>
      <c r="P13" s="237"/>
      <c r="Q13" s="255"/>
      <c r="R13" s="175"/>
      <c r="S13" s="411"/>
      <c r="T13" s="190" t="s">
        <v>0</v>
      </c>
      <c r="U13" s="22"/>
      <c r="V13" s="233"/>
      <c r="W13" s="239"/>
      <c r="X13" s="403"/>
      <c r="Y13" s="258"/>
    </row>
    <row r="14" spans="1:28" hidden="1" x14ac:dyDescent="0.3">
      <c r="A14" s="47">
        <f>IF(B14="","",SUBTOTAL(3,$B$3:B14)-1)</f>
        <v>0</v>
      </c>
      <c r="B14" s="380" t="s">
        <v>1359</v>
      </c>
      <c r="C14" s="380" t="s">
        <v>10</v>
      </c>
      <c r="D14" s="382">
        <v>355611462</v>
      </c>
      <c r="E14" s="46" t="s">
        <v>1356</v>
      </c>
      <c r="F14" s="382">
        <v>3</v>
      </c>
      <c r="G14" s="175" t="s">
        <v>660</v>
      </c>
      <c r="H14" s="405"/>
      <c r="I14" s="185"/>
      <c r="J14" s="71"/>
      <c r="K14" s="194"/>
      <c r="L14" s="67"/>
      <c r="M14" s="67"/>
      <c r="N14" s="67"/>
      <c r="O14" s="73"/>
      <c r="P14" s="237"/>
      <c r="Q14" s="255"/>
      <c r="R14" s="175" t="s">
        <v>0</v>
      </c>
      <c r="S14" s="411"/>
      <c r="T14" s="190"/>
      <c r="U14" s="22"/>
      <c r="V14" s="233"/>
      <c r="W14" s="239"/>
      <c r="X14" s="403"/>
      <c r="Y14" s="383" t="s">
        <v>1376</v>
      </c>
    </row>
    <row r="15" spans="1:28" hidden="1" x14ac:dyDescent="0.3">
      <c r="A15" s="47">
        <f>IF(B15="","",SUBTOTAL(3,$B$3:B15)-1)</f>
        <v>0</v>
      </c>
      <c r="B15" s="26" t="s">
        <v>882</v>
      </c>
      <c r="C15" s="26" t="s">
        <v>10</v>
      </c>
      <c r="D15" s="26" t="s">
        <v>883</v>
      </c>
      <c r="E15" s="46"/>
      <c r="F15" s="142">
        <v>4</v>
      </c>
      <c r="G15" s="175" t="s">
        <v>826</v>
      </c>
      <c r="H15" s="406"/>
      <c r="I15" s="188"/>
      <c r="J15" s="142"/>
      <c r="K15" s="196" t="s">
        <v>721</v>
      </c>
      <c r="L15" s="180"/>
      <c r="M15" s="180"/>
      <c r="N15" s="180"/>
      <c r="O15" s="181"/>
      <c r="P15" s="237" t="s">
        <v>1</v>
      </c>
      <c r="Q15" s="255"/>
      <c r="R15" s="175" t="s">
        <v>1</v>
      </c>
      <c r="S15" s="411"/>
      <c r="T15" s="190"/>
      <c r="U15" s="22"/>
      <c r="V15" s="233"/>
      <c r="W15" s="239" t="s">
        <v>848</v>
      </c>
      <c r="X15" s="403"/>
      <c r="Y15" s="258"/>
    </row>
    <row r="16" spans="1:28" hidden="1" x14ac:dyDescent="0.3">
      <c r="A16" s="47">
        <f>IF(B16="","",SUBTOTAL(3,$B$3:B16)-1)</f>
        <v>0</v>
      </c>
      <c r="B16" s="26" t="s">
        <v>1142</v>
      </c>
      <c r="C16" s="26" t="s">
        <v>10</v>
      </c>
      <c r="D16" s="26"/>
      <c r="E16" s="46"/>
      <c r="F16" s="142">
        <v>4</v>
      </c>
      <c r="G16" s="175" t="s">
        <v>826</v>
      </c>
      <c r="H16" s="405"/>
      <c r="I16" s="185"/>
      <c r="J16" s="67"/>
      <c r="K16" s="194"/>
      <c r="L16" s="180"/>
      <c r="M16" s="180"/>
      <c r="N16" s="180"/>
      <c r="O16" s="181"/>
      <c r="P16" s="237"/>
      <c r="Q16" s="255"/>
      <c r="R16" s="175" t="s">
        <v>1</v>
      </c>
      <c r="S16" s="411"/>
      <c r="T16" s="190"/>
      <c r="U16" s="22"/>
      <c r="V16" s="233"/>
      <c r="W16" s="239"/>
      <c r="X16" s="403"/>
      <c r="Y16" s="258"/>
    </row>
    <row r="17" spans="1:28" hidden="1" x14ac:dyDescent="0.3">
      <c r="A17" s="47">
        <f>IF(B17="","",SUBTOTAL(3,$B$3:B17)-1)</f>
        <v>0</v>
      </c>
      <c r="B17" s="24" t="s">
        <v>140</v>
      </c>
      <c r="C17" s="24" t="s">
        <v>10</v>
      </c>
      <c r="D17" s="163"/>
      <c r="E17" s="46">
        <f>($AA$2-O17)*$AB$2+Q17</f>
        <v>0</v>
      </c>
      <c r="F17" s="22">
        <v>5</v>
      </c>
      <c r="G17" s="175"/>
      <c r="H17" s="408"/>
      <c r="I17" s="186"/>
      <c r="J17" s="68"/>
      <c r="K17" s="195"/>
      <c r="L17" s="68"/>
      <c r="M17" s="68"/>
      <c r="N17" s="68"/>
      <c r="O17" s="73"/>
      <c r="P17" s="237"/>
      <c r="Q17" s="255"/>
      <c r="R17" s="175"/>
      <c r="S17" s="411"/>
      <c r="T17" s="190"/>
      <c r="U17" s="22"/>
      <c r="V17" s="233"/>
      <c r="W17" s="239"/>
      <c r="X17" s="403"/>
      <c r="Y17" s="258"/>
      <c r="Z17" s="18">
        <v>4</v>
      </c>
      <c r="AA17" s="18" t="s">
        <v>396</v>
      </c>
    </row>
    <row r="18" spans="1:28" x14ac:dyDescent="0.3">
      <c r="A18" s="47">
        <f>IF(B18="","",SUBTOTAL(3,$B$3:B18)-1)</f>
        <v>1</v>
      </c>
      <c r="B18" s="143" t="s">
        <v>835</v>
      </c>
      <c r="C18" s="143" t="s">
        <v>10</v>
      </c>
      <c r="D18" s="143">
        <v>356568249</v>
      </c>
      <c r="E18" s="46"/>
      <c r="F18" s="142">
        <v>6</v>
      </c>
      <c r="G18" s="176" t="s">
        <v>660</v>
      </c>
      <c r="H18" s="405" t="s">
        <v>634</v>
      </c>
      <c r="I18" s="185" t="s">
        <v>634</v>
      </c>
      <c r="J18" s="142"/>
      <c r="K18" s="196" t="s">
        <v>721</v>
      </c>
      <c r="L18" s="67"/>
      <c r="M18" s="67"/>
      <c r="N18" s="67"/>
      <c r="O18" s="73"/>
      <c r="P18" s="237"/>
      <c r="Q18" s="255"/>
      <c r="R18" s="175" t="s">
        <v>0</v>
      </c>
      <c r="S18" s="411"/>
      <c r="T18" s="190" t="s">
        <v>0</v>
      </c>
      <c r="U18" s="22"/>
      <c r="V18" s="233"/>
      <c r="W18" s="239"/>
      <c r="X18" s="403"/>
      <c r="Y18" s="258"/>
      <c r="Z18" s="18">
        <v>5</v>
      </c>
      <c r="AA18" s="18" t="s">
        <v>402</v>
      </c>
    </row>
    <row r="19" spans="1:28" hidden="1" x14ac:dyDescent="0.3">
      <c r="A19" s="47">
        <f>IF(B19="","",SUBTOTAL(3,$B$3:B19)-1)</f>
        <v>1</v>
      </c>
      <c r="B19" s="269" t="s">
        <v>1241</v>
      </c>
      <c r="C19" s="269" t="s">
        <v>10</v>
      </c>
      <c r="D19" s="301">
        <v>342456958</v>
      </c>
      <c r="E19" s="46" t="s">
        <v>1214</v>
      </c>
      <c r="F19" s="22">
        <v>6</v>
      </c>
      <c r="G19" s="175" t="s">
        <v>415</v>
      </c>
      <c r="H19" s="405"/>
      <c r="I19" s="185"/>
      <c r="J19" s="71"/>
      <c r="K19" s="194"/>
      <c r="L19" s="67"/>
      <c r="M19" s="67"/>
      <c r="N19" s="67"/>
      <c r="O19" s="73"/>
      <c r="P19" s="237"/>
      <c r="Q19" s="255"/>
      <c r="R19" s="318" t="s">
        <v>0</v>
      </c>
      <c r="S19" s="408" t="s">
        <v>1</v>
      </c>
      <c r="T19" s="190"/>
      <c r="U19" s="22"/>
      <c r="V19" s="233"/>
      <c r="W19" s="239"/>
      <c r="X19" s="403"/>
      <c r="Y19" s="258"/>
      <c r="Z19" s="18">
        <v>6</v>
      </c>
      <c r="AA19" s="18" t="s">
        <v>401</v>
      </c>
    </row>
    <row r="20" spans="1:28" hidden="1" x14ac:dyDescent="0.3">
      <c r="A20" s="47">
        <f>IF(B20="","",SUBTOTAL(3,$B$3:B20)-1)</f>
        <v>1</v>
      </c>
      <c r="B20" s="275" t="s">
        <v>835</v>
      </c>
      <c r="C20" s="275" t="s">
        <v>10</v>
      </c>
      <c r="D20" s="299">
        <v>356568249</v>
      </c>
      <c r="E20" s="46" t="s">
        <v>1214</v>
      </c>
      <c r="F20" s="22">
        <v>6</v>
      </c>
      <c r="G20" s="175" t="s">
        <v>415</v>
      </c>
      <c r="H20" s="405"/>
      <c r="I20" s="185"/>
      <c r="J20" s="71"/>
      <c r="K20" s="194"/>
      <c r="L20" s="67"/>
      <c r="M20" s="67"/>
      <c r="N20" s="67"/>
      <c r="O20" s="73"/>
      <c r="P20" s="237"/>
      <c r="Q20" s="255"/>
      <c r="R20" s="175" t="s">
        <v>0</v>
      </c>
      <c r="S20" s="408">
        <v>6</v>
      </c>
      <c r="T20" s="190"/>
      <c r="U20" s="22"/>
      <c r="V20" s="233"/>
      <c r="W20" s="239"/>
      <c r="X20" s="403"/>
      <c r="Y20" s="258"/>
    </row>
    <row r="21" spans="1:28" hidden="1" x14ac:dyDescent="0.3">
      <c r="A21" s="47">
        <f>IF(B21="","",SUBTOTAL(3,$B$3:B21)-1)</f>
        <v>1</v>
      </c>
      <c r="B21" s="143" t="s">
        <v>424</v>
      </c>
      <c r="C21" s="143" t="s">
        <v>10</v>
      </c>
      <c r="D21" s="143"/>
      <c r="E21" s="46"/>
      <c r="F21" s="142">
        <v>7</v>
      </c>
      <c r="G21" s="176"/>
      <c r="H21" s="405" t="s">
        <v>635</v>
      </c>
      <c r="I21" s="189" t="s">
        <v>661</v>
      </c>
      <c r="J21" s="142"/>
      <c r="K21" s="196"/>
      <c r="L21" s="67"/>
      <c r="M21" s="67"/>
      <c r="N21" s="67"/>
      <c r="O21" s="73"/>
      <c r="P21" s="237"/>
      <c r="Q21" s="255"/>
      <c r="R21" s="175"/>
      <c r="S21" s="411" t="s">
        <v>1</v>
      </c>
      <c r="T21" s="190" t="s">
        <v>1</v>
      </c>
      <c r="U21" s="22"/>
      <c r="V21" s="233"/>
      <c r="W21" s="239"/>
      <c r="X21" s="403"/>
      <c r="Y21" s="258"/>
    </row>
    <row r="22" spans="1:28" hidden="1" x14ac:dyDescent="0.3">
      <c r="A22" s="47">
        <f>IF(B22="","",SUBTOTAL(3,$B$3:B22)-1)</f>
        <v>1</v>
      </c>
      <c r="B22" s="24" t="s">
        <v>424</v>
      </c>
      <c r="C22" s="24" t="s">
        <v>10</v>
      </c>
      <c r="D22" s="24"/>
      <c r="E22" s="46"/>
      <c r="F22" s="142">
        <v>7</v>
      </c>
      <c r="G22" s="175"/>
      <c r="H22" s="408"/>
      <c r="I22" s="186"/>
      <c r="J22" s="68"/>
      <c r="K22" s="195"/>
      <c r="L22" s="67"/>
      <c r="M22" s="67"/>
      <c r="N22" s="67"/>
      <c r="O22" s="73"/>
      <c r="P22" s="237"/>
      <c r="Q22" s="255"/>
      <c r="R22" s="175"/>
      <c r="S22" s="411"/>
      <c r="T22" s="190"/>
      <c r="U22" s="22"/>
      <c r="V22" s="233"/>
      <c r="W22" s="239"/>
      <c r="X22" s="403"/>
      <c r="Y22" s="258"/>
    </row>
    <row r="23" spans="1:28" hidden="1" x14ac:dyDescent="0.3">
      <c r="A23" s="47">
        <f>IF(B23="","",SUBTOTAL(3,$B$3:B23)-1)</f>
        <v>1</v>
      </c>
      <c r="B23" s="24" t="s">
        <v>186</v>
      </c>
      <c r="C23" s="24" t="s">
        <v>10</v>
      </c>
      <c r="D23" s="163"/>
      <c r="E23" s="46">
        <f>($AA$2-O23)*$AB$2+Q23</f>
        <v>0</v>
      </c>
      <c r="F23" s="22">
        <v>9</v>
      </c>
      <c r="G23" s="175" t="s">
        <v>415</v>
      </c>
      <c r="H23" s="409"/>
      <c r="I23" s="187"/>
      <c r="J23" s="67" t="s">
        <v>661</v>
      </c>
      <c r="K23" s="194"/>
      <c r="L23" s="180"/>
      <c r="M23" s="180"/>
      <c r="N23" s="180"/>
      <c r="O23" s="181"/>
      <c r="P23" s="237"/>
      <c r="Q23" s="255"/>
      <c r="R23" s="175" t="s">
        <v>848</v>
      </c>
      <c r="S23" s="411"/>
      <c r="T23" s="190"/>
      <c r="U23" s="22" t="s">
        <v>0</v>
      </c>
      <c r="V23" s="233"/>
      <c r="W23" s="239"/>
      <c r="X23" s="403"/>
      <c r="Y23" s="258"/>
    </row>
    <row r="24" spans="1:28" hidden="1" x14ac:dyDescent="0.3">
      <c r="A24" s="47">
        <f>IF(B24="","",SUBTOTAL(3,$B$3:B24)-1)</f>
        <v>1</v>
      </c>
      <c r="B24" s="24" t="s">
        <v>1178</v>
      </c>
      <c r="C24" s="24" t="s">
        <v>10</v>
      </c>
      <c r="D24" s="163"/>
      <c r="E24" s="46"/>
      <c r="F24" s="22">
        <v>9</v>
      </c>
      <c r="G24" s="175"/>
      <c r="H24" s="409"/>
      <c r="I24" s="187" t="s">
        <v>661</v>
      </c>
      <c r="J24" s="67"/>
      <c r="K24" s="194"/>
      <c r="L24" s="180"/>
      <c r="M24" s="180"/>
      <c r="N24" s="180"/>
      <c r="O24" s="181"/>
      <c r="P24" s="237"/>
      <c r="Q24" s="255"/>
      <c r="R24" s="175"/>
      <c r="S24" s="411"/>
      <c r="T24" s="190" t="s">
        <v>1</v>
      </c>
      <c r="U24" s="22"/>
      <c r="V24" s="233"/>
      <c r="W24" s="239"/>
      <c r="X24" s="403"/>
      <c r="Y24" s="258"/>
      <c r="AA24" s="431" t="s">
        <v>403</v>
      </c>
      <c r="AB24" s="431"/>
    </row>
    <row r="25" spans="1:28" hidden="1" x14ac:dyDescent="0.3">
      <c r="A25" s="47">
        <f>IF(B25="","",SUBTOTAL(3,$B$3:B25)-1)</f>
        <v>1</v>
      </c>
      <c r="B25" s="25" t="s">
        <v>597</v>
      </c>
      <c r="C25" s="25" t="s">
        <v>10</v>
      </c>
      <c r="D25" s="163"/>
      <c r="E25" s="46">
        <f>($AA$2-O25)*$AB$2+Q25</f>
        <v>0</v>
      </c>
      <c r="F25" s="22">
        <v>9</v>
      </c>
      <c r="G25" s="175" t="s">
        <v>415</v>
      </c>
      <c r="H25" s="409"/>
      <c r="I25" s="187"/>
      <c r="J25" s="67"/>
      <c r="K25" s="194"/>
      <c r="L25" s="180"/>
      <c r="M25" s="180"/>
      <c r="N25" s="180"/>
      <c r="O25" s="181"/>
      <c r="P25" s="237"/>
      <c r="Q25" s="255"/>
      <c r="R25" s="175" t="s">
        <v>2</v>
      </c>
      <c r="S25" s="411"/>
      <c r="T25" s="190"/>
      <c r="U25" s="22"/>
      <c r="V25" s="233"/>
      <c r="W25" s="239"/>
      <c r="X25" s="403"/>
      <c r="Y25" s="258"/>
      <c r="Z25" s="18">
        <v>1</v>
      </c>
      <c r="AA25" s="18" t="s">
        <v>404</v>
      </c>
    </row>
    <row r="26" spans="1:28" hidden="1" x14ac:dyDescent="0.3">
      <c r="A26" s="47">
        <f>IF(B26="","",SUBTOTAL(3,$B$3:B26)-1)</f>
        <v>1</v>
      </c>
      <c r="B26" s="269" t="s">
        <v>1301</v>
      </c>
      <c r="C26" s="269" t="s">
        <v>10</v>
      </c>
      <c r="D26" s="269">
        <v>794959321</v>
      </c>
      <c r="E26" s="46" t="s">
        <v>1214</v>
      </c>
      <c r="F26" s="301">
        <v>9</v>
      </c>
      <c r="G26" s="175" t="s">
        <v>415</v>
      </c>
      <c r="H26" s="405"/>
      <c r="I26" s="185"/>
      <c r="J26" s="71"/>
      <c r="K26" s="194"/>
      <c r="L26" s="67"/>
      <c r="M26" s="67"/>
      <c r="N26" s="67"/>
      <c r="O26" s="73"/>
      <c r="P26" s="237"/>
      <c r="Q26" s="255"/>
      <c r="R26" s="175" t="s">
        <v>661</v>
      </c>
      <c r="S26" s="411"/>
      <c r="T26" s="190"/>
      <c r="U26" s="22"/>
      <c r="V26" s="233"/>
      <c r="W26" s="239"/>
      <c r="X26" s="403"/>
      <c r="Y26" s="323" t="s">
        <v>1046</v>
      </c>
      <c r="Z26" s="18">
        <v>2</v>
      </c>
      <c r="AA26" s="18" t="s">
        <v>405</v>
      </c>
    </row>
    <row r="27" spans="1:28" hidden="1" x14ac:dyDescent="0.3">
      <c r="A27" s="47">
        <f>IF(B27="","",SUBTOTAL(3,$B$3:B27)-1)</f>
        <v>1</v>
      </c>
      <c r="B27" s="26" t="s">
        <v>879</v>
      </c>
      <c r="C27" s="26" t="s">
        <v>22</v>
      </c>
      <c r="D27" s="163">
        <v>585305030</v>
      </c>
      <c r="E27" s="46">
        <f>($AA$2-O27)*$AB$2+Q27</f>
        <v>0</v>
      </c>
      <c r="F27" s="142">
        <v>4</v>
      </c>
      <c r="G27" s="175" t="s">
        <v>826</v>
      </c>
      <c r="H27" s="408"/>
      <c r="I27" s="186"/>
      <c r="J27" s="68"/>
      <c r="K27" s="195"/>
      <c r="L27" s="68"/>
      <c r="M27" s="68"/>
      <c r="N27" s="68"/>
      <c r="O27" s="73"/>
      <c r="P27" s="237" t="s">
        <v>1</v>
      </c>
      <c r="Q27" s="255"/>
      <c r="R27" s="175" t="s">
        <v>1</v>
      </c>
      <c r="S27" s="411"/>
      <c r="T27" s="190"/>
      <c r="U27" s="22"/>
      <c r="V27" s="233"/>
      <c r="W27" s="239"/>
      <c r="X27" s="403"/>
      <c r="Y27" s="258"/>
      <c r="Z27" s="18">
        <v>3</v>
      </c>
      <c r="AA27" s="18" t="s">
        <v>406</v>
      </c>
    </row>
    <row r="28" spans="1:28" x14ac:dyDescent="0.3">
      <c r="A28" s="47">
        <f>IF(B28="","",SUBTOTAL(3,$B$3:B28)-1)</f>
        <v>2</v>
      </c>
      <c r="B28" s="26" t="s">
        <v>157</v>
      </c>
      <c r="C28" s="26" t="s">
        <v>22</v>
      </c>
      <c r="D28" s="26">
        <v>939026923</v>
      </c>
      <c r="E28" s="46">
        <f>($AA$2-O28)*$AB$2+Q28</f>
        <v>0</v>
      </c>
      <c r="F28" s="142">
        <v>6</v>
      </c>
      <c r="G28" s="175"/>
      <c r="H28" s="405" t="s">
        <v>634</v>
      </c>
      <c r="I28" s="185" t="s">
        <v>634</v>
      </c>
      <c r="J28" s="67"/>
      <c r="K28" s="194"/>
      <c r="L28" s="67"/>
      <c r="M28" s="67"/>
      <c r="N28" s="67"/>
      <c r="O28" s="73"/>
      <c r="P28" s="237"/>
      <c r="Q28" s="255"/>
      <c r="R28" s="175"/>
      <c r="S28" s="411"/>
      <c r="T28" s="190" t="s">
        <v>0</v>
      </c>
      <c r="U28" s="22"/>
      <c r="V28" s="233"/>
      <c r="W28" s="239"/>
      <c r="X28" s="403"/>
      <c r="Y28" s="258"/>
      <c r="Z28" s="18">
        <v>4</v>
      </c>
      <c r="AA28" s="18" t="s">
        <v>407</v>
      </c>
    </row>
    <row r="29" spans="1:28" hidden="1" x14ac:dyDescent="0.3">
      <c r="A29" s="47">
        <f>IF(B29="","",SUBTOTAL(3,$B$3:B29)-1)</f>
        <v>2</v>
      </c>
      <c r="B29" s="26" t="s">
        <v>582</v>
      </c>
      <c r="C29" s="26" t="s">
        <v>22</v>
      </c>
      <c r="D29" s="26"/>
      <c r="E29" s="46">
        <f>($AA$2-O29)*$AB$2+Q29</f>
        <v>0</v>
      </c>
      <c r="F29" s="22">
        <v>8</v>
      </c>
      <c r="G29" s="175" t="s">
        <v>415</v>
      </c>
      <c r="H29" s="405" t="s">
        <v>660</v>
      </c>
      <c r="I29" s="185"/>
      <c r="J29" s="67"/>
      <c r="K29" s="194"/>
      <c r="L29" s="180"/>
      <c r="M29" s="180"/>
      <c r="N29" s="180"/>
      <c r="O29" s="181"/>
      <c r="P29" s="237" t="s">
        <v>0</v>
      </c>
      <c r="Q29" s="255"/>
      <c r="R29" s="175" t="s">
        <v>848</v>
      </c>
      <c r="S29" s="411" t="s">
        <v>0</v>
      </c>
      <c r="T29" s="190"/>
      <c r="U29" s="22"/>
      <c r="V29" s="233"/>
      <c r="W29" s="239"/>
      <c r="X29" s="403"/>
      <c r="Y29" s="258"/>
      <c r="Z29" s="18">
        <v>5</v>
      </c>
      <c r="AA29" s="18" t="s">
        <v>408</v>
      </c>
    </row>
    <row r="30" spans="1:28" hidden="1" x14ac:dyDescent="0.3">
      <c r="A30" s="47">
        <f>IF(B30="","",SUBTOTAL(3,$B$3:B30)-1)</f>
        <v>2</v>
      </c>
      <c r="B30" s="27" t="s">
        <v>1089</v>
      </c>
      <c r="C30" s="27" t="s">
        <v>1071</v>
      </c>
      <c r="D30" s="24"/>
      <c r="E30" s="46"/>
      <c r="F30" s="22">
        <v>9</v>
      </c>
      <c r="G30" s="175"/>
      <c r="H30" s="405"/>
      <c r="I30" s="185" t="s">
        <v>661</v>
      </c>
      <c r="J30" s="67"/>
      <c r="K30" s="194"/>
      <c r="L30" s="180"/>
      <c r="M30" s="180"/>
      <c r="N30" s="180"/>
      <c r="O30" s="181"/>
      <c r="P30" s="237"/>
      <c r="Q30" s="255"/>
      <c r="R30" s="175"/>
      <c r="S30" s="411"/>
      <c r="T30" s="190" t="s">
        <v>1</v>
      </c>
      <c r="U30" s="22"/>
      <c r="V30" s="233"/>
      <c r="W30" s="239"/>
      <c r="X30" s="403"/>
      <c r="Y30" s="258"/>
    </row>
    <row r="31" spans="1:28" hidden="1" x14ac:dyDescent="0.3">
      <c r="A31" s="47">
        <f>IF(B31="","",SUBTOTAL(3,$B$3:B31)-1)</f>
        <v>2</v>
      </c>
      <c r="B31" s="269" t="s">
        <v>1348</v>
      </c>
      <c r="C31" s="269" t="s">
        <v>14</v>
      </c>
      <c r="D31" s="269">
        <v>976109913</v>
      </c>
      <c r="E31" s="46" t="s">
        <v>1214</v>
      </c>
      <c r="F31" s="301">
        <v>1</v>
      </c>
      <c r="G31" s="175" t="s">
        <v>826</v>
      </c>
      <c r="H31" s="405"/>
      <c r="I31" s="185"/>
      <c r="J31" s="71"/>
      <c r="K31" s="194"/>
      <c r="L31" s="67"/>
      <c r="M31" s="67"/>
      <c r="N31" s="67"/>
      <c r="O31" s="73"/>
      <c r="P31" s="237"/>
      <c r="Q31" s="255"/>
      <c r="R31" s="175" t="s">
        <v>0</v>
      </c>
      <c r="S31" s="411"/>
      <c r="T31" s="190"/>
      <c r="U31" s="22"/>
      <c r="V31" s="233"/>
      <c r="W31" s="239"/>
      <c r="X31" s="403"/>
      <c r="Y31" s="323">
        <v>1</v>
      </c>
    </row>
    <row r="32" spans="1:28" hidden="1" x14ac:dyDescent="0.3">
      <c r="A32" s="47">
        <f>IF(B32="","",SUBTOTAL(3,$B$3:B32)-1)</f>
        <v>2</v>
      </c>
      <c r="B32" s="26" t="s">
        <v>862</v>
      </c>
      <c r="C32" s="26" t="s">
        <v>14</v>
      </c>
      <c r="D32" s="26">
        <v>964419173</v>
      </c>
      <c r="E32" s="46"/>
      <c r="F32" s="22">
        <v>2</v>
      </c>
      <c r="G32" s="175"/>
      <c r="H32" s="405" t="s">
        <v>860</v>
      </c>
      <c r="I32" s="185" t="s">
        <v>860</v>
      </c>
      <c r="J32" s="67"/>
      <c r="K32" s="194" t="s">
        <v>721</v>
      </c>
      <c r="L32" s="180"/>
      <c r="M32" s="180"/>
      <c r="N32" s="180"/>
      <c r="O32" s="181"/>
      <c r="P32" s="237"/>
      <c r="Q32" s="255"/>
      <c r="R32" s="175"/>
      <c r="S32" s="411"/>
      <c r="T32" s="190" t="s">
        <v>1</v>
      </c>
      <c r="U32" s="22"/>
      <c r="V32" s="233"/>
      <c r="W32" s="239"/>
      <c r="X32" s="403"/>
      <c r="Y32" s="258"/>
      <c r="AA32" s="200" t="s">
        <v>967</v>
      </c>
      <c r="AB32" s="200"/>
    </row>
    <row r="33" spans="1:27" hidden="1" x14ac:dyDescent="0.3">
      <c r="A33" s="47">
        <f>IF(B33="","",SUBTOTAL(3,$B$3:B33)-1)</f>
        <v>2</v>
      </c>
      <c r="B33" s="26" t="s">
        <v>864</v>
      </c>
      <c r="C33" s="26" t="s">
        <v>14</v>
      </c>
      <c r="D33" s="26">
        <v>941633644</v>
      </c>
      <c r="E33" s="46"/>
      <c r="F33" s="22">
        <v>2</v>
      </c>
      <c r="G33" s="175"/>
      <c r="H33" s="405" t="s">
        <v>860</v>
      </c>
      <c r="I33" s="185" t="s">
        <v>860</v>
      </c>
      <c r="J33" s="67"/>
      <c r="K33" s="194" t="s">
        <v>721</v>
      </c>
      <c r="L33" s="180"/>
      <c r="M33" s="180"/>
      <c r="N33" s="180"/>
      <c r="O33" s="181"/>
      <c r="P33" s="237"/>
      <c r="Q33" s="255"/>
      <c r="R33" s="175"/>
      <c r="S33" s="411"/>
      <c r="T33" s="190" t="s">
        <v>1</v>
      </c>
      <c r="U33" s="22"/>
      <c r="V33" s="233"/>
      <c r="W33" s="239"/>
      <c r="X33" s="403"/>
      <c r="Y33" s="258"/>
      <c r="Z33" s="18">
        <v>1</v>
      </c>
      <c r="AA33" s="18" t="s">
        <v>968</v>
      </c>
    </row>
    <row r="34" spans="1:27" hidden="1" x14ac:dyDescent="0.3">
      <c r="A34" s="47">
        <f>IF(B34="","",SUBTOTAL(3,$B$3:B34)-1)</f>
        <v>2</v>
      </c>
      <c r="B34" s="3" t="s">
        <v>1181</v>
      </c>
      <c r="C34" s="26" t="s">
        <v>14</v>
      </c>
      <c r="D34" s="25"/>
      <c r="E34" s="46"/>
      <c r="F34" s="22">
        <v>2</v>
      </c>
      <c r="G34" s="176"/>
      <c r="H34" s="405" t="s">
        <v>634</v>
      </c>
      <c r="I34" s="185" t="s">
        <v>634</v>
      </c>
      <c r="J34" s="67"/>
      <c r="K34" s="194"/>
      <c r="L34" s="67"/>
      <c r="M34" s="67"/>
      <c r="N34" s="67"/>
      <c r="O34" s="73"/>
      <c r="P34" s="237"/>
      <c r="Q34" s="255"/>
      <c r="R34" s="175"/>
      <c r="S34" s="411"/>
      <c r="T34" s="190" t="s">
        <v>0</v>
      </c>
      <c r="U34" s="22"/>
      <c r="V34" s="233"/>
      <c r="W34" s="239"/>
      <c r="X34" s="403"/>
      <c r="Y34" s="258"/>
      <c r="Z34" s="18">
        <v>2</v>
      </c>
      <c r="AA34" s="18" t="s">
        <v>969</v>
      </c>
    </row>
    <row r="35" spans="1:27" hidden="1" x14ac:dyDescent="0.3">
      <c r="A35" s="47">
        <f>IF(B35="","",SUBTOTAL(3,$B$3:B35)-1)</f>
        <v>2</v>
      </c>
      <c r="B35" s="24" t="s">
        <v>232</v>
      </c>
      <c r="C35" s="24" t="s">
        <v>14</v>
      </c>
      <c r="D35" s="24"/>
      <c r="E35" s="46">
        <f t="shared" ref="E35:E43" si="0">($AA$2-O35)*$AB$2+Q35</f>
        <v>0</v>
      </c>
      <c r="F35" s="22">
        <v>10</v>
      </c>
      <c r="G35" s="175" t="s">
        <v>415</v>
      </c>
      <c r="H35" s="405" t="s">
        <v>696</v>
      </c>
      <c r="I35" s="185" t="s">
        <v>634</v>
      </c>
      <c r="J35" s="71"/>
      <c r="K35" s="194"/>
      <c r="L35" s="180"/>
      <c r="M35" s="180"/>
      <c r="N35" s="180"/>
      <c r="O35" s="181"/>
      <c r="P35" s="237"/>
      <c r="Q35" s="255"/>
      <c r="R35" s="175" t="s">
        <v>848</v>
      </c>
      <c r="S35" s="411" t="s">
        <v>661</v>
      </c>
      <c r="T35" s="190" t="s">
        <v>0</v>
      </c>
      <c r="U35" s="22"/>
      <c r="V35" s="233"/>
      <c r="W35" s="239"/>
      <c r="X35" s="403"/>
      <c r="Y35" s="258"/>
      <c r="Z35" s="18">
        <v>3</v>
      </c>
      <c r="AA35" s="18" t="s">
        <v>970</v>
      </c>
    </row>
    <row r="36" spans="1:27" hidden="1" x14ac:dyDescent="0.3">
      <c r="A36" s="47">
        <f>IF(B36="","",SUBTOTAL(3,$B$3:B36)-1)</f>
        <v>2</v>
      </c>
      <c r="B36" s="24" t="s">
        <v>304</v>
      </c>
      <c r="C36" s="24" t="s">
        <v>14</v>
      </c>
      <c r="D36" s="24"/>
      <c r="E36" s="46">
        <f t="shared" si="0"/>
        <v>0</v>
      </c>
      <c r="F36" s="22">
        <v>10</v>
      </c>
      <c r="G36" s="175" t="s">
        <v>415</v>
      </c>
      <c r="H36" s="405" t="s">
        <v>635</v>
      </c>
      <c r="I36" s="185"/>
      <c r="J36" s="71"/>
      <c r="K36" s="194"/>
      <c r="L36" s="180"/>
      <c r="M36" s="180"/>
      <c r="N36" s="180"/>
      <c r="O36" s="181"/>
      <c r="P36" s="237"/>
      <c r="Q36" s="255"/>
      <c r="R36" s="175" t="s">
        <v>2</v>
      </c>
      <c r="S36" s="414" t="s">
        <v>1</v>
      </c>
      <c r="T36" s="190"/>
      <c r="U36" s="22"/>
      <c r="V36" s="233"/>
      <c r="W36" s="239"/>
      <c r="X36" s="403"/>
      <c r="Y36" s="258"/>
      <c r="Z36" s="18">
        <v>4</v>
      </c>
      <c r="AA36" s="18" t="s">
        <v>971</v>
      </c>
    </row>
    <row r="37" spans="1:27" hidden="1" x14ac:dyDescent="0.3">
      <c r="A37" s="47">
        <f>IF(B37="","",SUBTOTAL(3,$B$3:B37)-1)</f>
        <v>2</v>
      </c>
      <c r="B37" s="25" t="s">
        <v>650</v>
      </c>
      <c r="C37" s="25" t="s">
        <v>14</v>
      </c>
      <c r="D37" s="163"/>
      <c r="E37" s="46">
        <f t="shared" si="0"/>
        <v>0</v>
      </c>
      <c r="F37" s="22">
        <v>10</v>
      </c>
      <c r="G37" s="175"/>
      <c r="H37" s="405" t="s">
        <v>635</v>
      </c>
      <c r="I37" s="185"/>
      <c r="J37" s="71"/>
      <c r="K37" s="194"/>
      <c r="L37" s="67"/>
      <c r="M37" s="67"/>
      <c r="N37" s="67"/>
      <c r="O37" s="73"/>
      <c r="P37" s="237"/>
      <c r="Q37" s="255"/>
      <c r="R37" s="175"/>
      <c r="S37" s="411" t="s">
        <v>1</v>
      </c>
      <c r="T37" s="190"/>
      <c r="U37" s="22"/>
      <c r="V37" s="233"/>
      <c r="W37" s="239"/>
      <c r="X37" s="403"/>
      <c r="Y37" s="258"/>
    </row>
    <row r="38" spans="1:27" hidden="1" x14ac:dyDescent="0.3">
      <c r="A38" s="47">
        <f>IF(B38="","",SUBTOTAL(3,$B$3:B38)-1)</f>
        <v>2</v>
      </c>
      <c r="B38" s="24" t="s">
        <v>666</v>
      </c>
      <c r="C38" s="24" t="s">
        <v>14</v>
      </c>
      <c r="D38" s="163"/>
      <c r="E38" s="46">
        <f t="shared" si="0"/>
        <v>0</v>
      </c>
      <c r="F38" s="22">
        <v>11</v>
      </c>
      <c r="G38" s="175"/>
      <c r="H38" s="405" t="s">
        <v>635</v>
      </c>
      <c r="I38" s="186"/>
      <c r="J38" s="68"/>
      <c r="K38" s="195"/>
      <c r="L38" s="68"/>
      <c r="M38" s="68"/>
      <c r="N38" s="68"/>
      <c r="O38" s="73"/>
      <c r="P38" s="237"/>
      <c r="Q38" s="255"/>
      <c r="R38" s="175"/>
      <c r="S38" s="411" t="s">
        <v>1</v>
      </c>
      <c r="T38" s="190"/>
      <c r="U38" s="22"/>
      <c r="V38" s="233"/>
      <c r="W38" s="239"/>
      <c r="X38" s="403"/>
      <c r="Y38" s="258"/>
    </row>
    <row r="39" spans="1:27" hidden="1" x14ac:dyDescent="0.3">
      <c r="A39" s="47">
        <f>IF(B39="","",SUBTOTAL(3,$B$3:B39)-1)</f>
        <v>2</v>
      </c>
      <c r="B39" s="24" t="s">
        <v>723</v>
      </c>
      <c r="C39" s="24" t="s">
        <v>14</v>
      </c>
      <c r="D39" s="163"/>
      <c r="E39" s="46">
        <f t="shared" si="0"/>
        <v>0</v>
      </c>
      <c r="F39" s="22">
        <v>11</v>
      </c>
      <c r="G39" s="175"/>
      <c r="H39" s="409"/>
      <c r="I39" s="185" t="s">
        <v>661</v>
      </c>
      <c r="J39" s="67"/>
      <c r="K39" s="194"/>
      <c r="L39" s="67"/>
      <c r="M39" s="67"/>
      <c r="N39" s="67"/>
      <c r="O39" s="73"/>
      <c r="P39" s="237"/>
      <c r="Q39" s="255"/>
      <c r="R39" s="175"/>
      <c r="S39" s="411"/>
      <c r="T39" s="190">
        <v>2</v>
      </c>
      <c r="U39" s="22"/>
      <c r="V39" s="233"/>
      <c r="W39" s="239"/>
      <c r="X39" s="403"/>
      <c r="Y39" s="258"/>
    </row>
    <row r="40" spans="1:27" hidden="1" x14ac:dyDescent="0.3">
      <c r="A40" s="47">
        <f>IF(B40="","",SUBTOTAL(3,$B$3:B40)-1)</f>
        <v>2</v>
      </c>
      <c r="B40" s="25" t="s">
        <v>331</v>
      </c>
      <c r="C40" s="25" t="s">
        <v>14</v>
      </c>
      <c r="D40" s="163"/>
      <c r="E40" s="46">
        <f t="shared" si="0"/>
        <v>0</v>
      </c>
      <c r="F40" s="22">
        <v>12</v>
      </c>
      <c r="G40" s="175"/>
      <c r="H40" s="405"/>
      <c r="I40" s="185"/>
      <c r="J40" s="67"/>
      <c r="K40" s="194"/>
      <c r="L40" s="67"/>
      <c r="M40" s="67"/>
      <c r="N40" s="67"/>
      <c r="O40" s="73"/>
      <c r="P40" s="237"/>
      <c r="Q40" s="255"/>
      <c r="R40" s="175" t="s">
        <v>415</v>
      </c>
      <c r="S40" s="411"/>
      <c r="T40" s="190"/>
      <c r="U40" s="22"/>
      <c r="V40" s="233"/>
      <c r="W40" s="239"/>
      <c r="X40" s="403"/>
      <c r="Y40" s="258"/>
    </row>
    <row r="41" spans="1:27" hidden="1" x14ac:dyDescent="0.3">
      <c r="A41" s="47">
        <f>IF(B41="","",SUBTOTAL(3,$B$3:B41)-1)</f>
        <v>2</v>
      </c>
      <c r="B41" s="25" t="s">
        <v>333</v>
      </c>
      <c r="C41" s="25" t="s">
        <v>14</v>
      </c>
      <c r="D41" s="163"/>
      <c r="E41" s="46">
        <f t="shared" si="0"/>
        <v>0</v>
      </c>
      <c r="F41" s="22">
        <v>12</v>
      </c>
      <c r="G41" s="175"/>
      <c r="H41" s="405"/>
      <c r="I41" s="185"/>
      <c r="J41" s="67"/>
      <c r="K41" s="194"/>
      <c r="L41" s="67"/>
      <c r="M41" s="67"/>
      <c r="N41" s="67"/>
      <c r="O41" s="73"/>
      <c r="P41" s="237"/>
      <c r="Q41" s="255"/>
      <c r="R41" s="175" t="s">
        <v>415</v>
      </c>
      <c r="S41" s="411"/>
      <c r="T41" s="190"/>
      <c r="U41" s="22"/>
      <c r="V41" s="233"/>
      <c r="W41" s="239"/>
      <c r="X41" s="403"/>
      <c r="Y41" s="258"/>
    </row>
    <row r="42" spans="1:27" hidden="1" x14ac:dyDescent="0.3">
      <c r="A42" s="47">
        <f>IF(B42="","",SUBTOTAL(3,$B$3:B42)-1)</f>
        <v>2</v>
      </c>
      <c r="B42" s="25" t="s">
        <v>554</v>
      </c>
      <c r="C42" s="25" t="s">
        <v>14</v>
      </c>
      <c r="D42" s="24"/>
      <c r="E42" s="46">
        <f t="shared" si="0"/>
        <v>0</v>
      </c>
      <c r="F42" s="22">
        <v>12</v>
      </c>
      <c r="G42" s="175" t="s">
        <v>660</v>
      </c>
      <c r="H42" s="405"/>
      <c r="I42" s="185"/>
      <c r="J42" s="67"/>
      <c r="K42" s="194"/>
      <c r="L42" s="67"/>
      <c r="M42" s="67"/>
      <c r="N42" s="67"/>
      <c r="O42" s="73"/>
      <c r="P42" s="237"/>
      <c r="Q42" s="255"/>
      <c r="R42" s="175" t="s">
        <v>0</v>
      </c>
      <c r="S42" s="411"/>
      <c r="T42" s="190"/>
      <c r="U42" s="22"/>
      <c r="V42" s="233"/>
      <c r="W42" s="239"/>
      <c r="X42" s="403"/>
      <c r="Y42" s="258"/>
    </row>
    <row r="43" spans="1:27" hidden="1" x14ac:dyDescent="0.3">
      <c r="A43" s="47">
        <f>IF(B43="","",SUBTOTAL(3,$B$3:B43)-1)</f>
        <v>2</v>
      </c>
      <c r="B43" s="24" t="s">
        <v>606</v>
      </c>
      <c r="C43" s="242" t="s">
        <v>14</v>
      </c>
      <c r="D43" s="163"/>
      <c r="E43" s="46">
        <f t="shared" si="0"/>
        <v>0</v>
      </c>
      <c r="F43" s="21">
        <v>12</v>
      </c>
      <c r="G43" s="175" t="s">
        <v>660</v>
      </c>
      <c r="H43" s="405"/>
      <c r="I43" s="185"/>
      <c r="J43" s="67"/>
      <c r="K43" s="194"/>
      <c r="L43" s="67"/>
      <c r="M43" s="67"/>
      <c r="N43" s="67"/>
      <c r="O43" s="73"/>
      <c r="P43" s="237"/>
      <c r="Q43" s="255"/>
      <c r="R43" s="175" t="s">
        <v>0</v>
      </c>
      <c r="S43" s="411"/>
      <c r="T43" s="190"/>
      <c r="U43" s="22"/>
      <c r="V43" s="233"/>
      <c r="W43" s="239"/>
      <c r="X43" s="403"/>
      <c r="Y43" s="258"/>
    </row>
    <row r="44" spans="1:27" hidden="1" x14ac:dyDescent="0.3">
      <c r="A44" s="47">
        <f>IF(B44="","",SUBTOTAL(3,$B$3:B44)-1)</f>
        <v>2</v>
      </c>
      <c r="B44" s="17" t="s">
        <v>413</v>
      </c>
      <c r="C44" s="244" t="s">
        <v>14</v>
      </c>
      <c r="D44" s="163"/>
      <c r="E44" s="46"/>
      <c r="F44" s="21" t="s">
        <v>1213</v>
      </c>
      <c r="G44" s="175" t="s">
        <v>660</v>
      </c>
      <c r="H44" s="405"/>
      <c r="I44" s="185"/>
      <c r="J44" s="67"/>
      <c r="K44" s="194"/>
      <c r="L44" s="67"/>
      <c r="M44" s="67"/>
      <c r="N44" s="67"/>
      <c r="O44" s="73"/>
      <c r="P44" s="237"/>
      <c r="Q44" s="255"/>
      <c r="R44" s="175" t="s">
        <v>0</v>
      </c>
      <c r="S44" s="411"/>
      <c r="T44" s="190"/>
      <c r="U44" s="22"/>
      <c r="V44" s="233"/>
      <c r="W44" s="239"/>
      <c r="X44" s="403"/>
      <c r="Y44" s="258"/>
    </row>
    <row r="45" spans="1:27" hidden="1" x14ac:dyDescent="0.3">
      <c r="A45" s="47">
        <f>IF(B45="","",SUBTOTAL(3,$B$3:B45)-1)</f>
        <v>2</v>
      </c>
      <c r="B45" s="17" t="s">
        <v>91</v>
      </c>
      <c r="C45" s="242" t="s">
        <v>14</v>
      </c>
      <c r="D45" s="26"/>
      <c r="E45" s="46"/>
      <c r="F45" s="22" t="s">
        <v>1213</v>
      </c>
      <c r="G45" s="175" t="s">
        <v>660</v>
      </c>
      <c r="H45" s="405"/>
      <c r="I45" s="185"/>
      <c r="J45" s="67"/>
      <c r="K45" s="194"/>
      <c r="L45" s="67"/>
      <c r="M45" s="67"/>
      <c r="N45" s="67"/>
      <c r="O45" s="73"/>
      <c r="P45" s="237"/>
      <c r="Q45" s="255"/>
      <c r="R45" s="175"/>
      <c r="S45" s="411"/>
      <c r="T45" s="190"/>
      <c r="U45" s="22"/>
      <c r="V45" s="233"/>
      <c r="W45" s="239"/>
      <c r="X45" s="403"/>
      <c r="Y45" s="258"/>
    </row>
    <row r="46" spans="1:27" hidden="1" x14ac:dyDescent="0.3">
      <c r="A46" s="47">
        <f>IF(B46="","",SUBTOTAL(3,$B$3:B46)-1)</f>
        <v>2</v>
      </c>
      <c r="B46" s="24" t="s">
        <v>1126</v>
      </c>
      <c r="C46" s="24" t="s">
        <v>14</v>
      </c>
      <c r="D46" s="163"/>
      <c r="E46" s="46"/>
      <c r="F46" s="22">
        <v>10</v>
      </c>
      <c r="G46" s="175" t="s">
        <v>415</v>
      </c>
      <c r="H46" s="405" t="s">
        <v>635</v>
      </c>
      <c r="I46" s="185"/>
      <c r="J46" s="71"/>
      <c r="K46" s="194"/>
      <c r="L46" s="67"/>
      <c r="M46" s="67"/>
      <c r="N46" s="67"/>
      <c r="O46" s="73"/>
      <c r="P46" s="237"/>
      <c r="Q46" s="255"/>
      <c r="R46" s="175" t="s">
        <v>2</v>
      </c>
      <c r="S46" s="411" t="s">
        <v>0</v>
      </c>
      <c r="T46" s="190"/>
      <c r="U46" s="22"/>
      <c r="V46" s="233"/>
      <c r="W46" s="239"/>
      <c r="X46" s="403"/>
      <c r="Y46" s="258"/>
    </row>
    <row r="47" spans="1:27" hidden="1" x14ac:dyDescent="0.3">
      <c r="A47" s="47">
        <f>IF(B47="","",SUBTOTAL(3,$B$3:B47)-1)</f>
        <v>2</v>
      </c>
      <c r="B47" s="24" t="s">
        <v>91</v>
      </c>
      <c r="C47" s="24" t="s">
        <v>14</v>
      </c>
      <c r="D47" s="163"/>
      <c r="E47" s="46"/>
      <c r="F47" s="22">
        <v>10</v>
      </c>
      <c r="G47" s="175"/>
      <c r="H47" s="405"/>
      <c r="I47" s="185"/>
      <c r="J47" s="71"/>
      <c r="K47" s="194"/>
      <c r="L47" s="67"/>
      <c r="M47" s="67"/>
      <c r="N47" s="67"/>
      <c r="O47" s="73"/>
      <c r="P47" s="237"/>
      <c r="Q47" s="255"/>
      <c r="R47" s="175"/>
      <c r="S47" s="411"/>
      <c r="T47" s="190"/>
      <c r="U47" s="22"/>
      <c r="V47" s="233"/>
      <c r="W47" s="239"/>
      <c r="X47" s="403"/>
      <c r="Y47" s="258"/>
    </row>
    <row r="48" spans="1:27" hidden="1" x14ac:dyDescent="0.3">
      <c r="A48" s="47">
        <f>IF(B48="","",SUBTOTAL(3,$B$3:B48)-1)</f>
        <v>2</v>
      </c>
      <c r="B48" s="24" t="s">
        <v>1094</v>
      </c>
      <c r="C48" s="24" t="s">
        <v>14</v>
      </c>
      <c r="D48" s="163"/>
      <c r="E48" s="46"/>
      <c r="F48" s="22">
        <v>10</v>
      </c>
      <c r="G48" s="175" t="s">
        <v>415</v>
      </c>
      <c r="H48" s="405" t="s">
        <v>696</v>
      </c>
      <c r="I48" s="185"/>
      <c r="J48" s="71"/>
      <c r="K48" s="194"/>
      <c r="L48" s="67"/>
      <c r="M48" s="67"/>
      <c r="N48" s="67"/>
      <c r="O48" s="73"/>
      <c r="P48" s="237"/>
      <c r="Q48" s="255"/>
      <c r="R48" s="175" t="s">
        <v>1</v>
      </c>
      <c r="S48" s="411" t="s">
        <v>661</v>
      </c>
      <c r="T48" s="190"/>
      <c r="U48" s="22"/>
      <c r="V48" s="233"/>
      <c r="W48" s="239"/>
      <c r="X48" s="403"/>
      <c r="Y48" s="258"/>
    </row>
    <row r="49" spans="1:25" hidden="1" x14ac:dyDescent="0.3">
      <c r="A49" s="47">
        <f>IF(B49="","",SUBTOTAL(3,$B$3:B49)-1)</f>
        <v>2</v>
      </c>
      <c r="B49" s="380" t="s">
        <v>1367</v>
      </c>
      <c r="C49" s="380" t="s">
        <v>14</v>
      </c>
      <c r="D49" s="381"/>
      <c r="E49" s="46" t="s">
        <v>1356</v>
      </c>
      <c r="F49" s="382">
        <v>2</v>
      </c>
      <c r="G49" s="175" t="s">
        <v>826</v>
      </c>
      <c r="H49" s="405"/>
      <c r="I49" s="185"/>
      <c r="J49" s="71"/>
      <c r="K49" s="194"/>
      <c r="L49" s="67"/>
      <c r="M49" s="67"/>
      <c r="N49" s="67"/>
      <c r="O49" s="73"/>
      <c r="P49" s="237"/>
      <c r="Q49" s="255"/>
      <c r="R49" s="175" t="s">
        <v>1</v>
      </c>
      <c r="S49" s="411"/>
      <c r="T49" s="190"/>
      <c r="U49" s="22"/>
      <c r="V49" s="233"/>
      <c r="W49" s="239"/>
      <c r="X49" s="403"/>
      <c r="Y49" s="383" t="s">
        <v>1384</v>
      </c>
    </row>
    <row r="50" spans="1:25" hidden="1" x14ac:dyDescent="0.3">
      <c r="A50" s="47">
        <f>IF(B50="","",SUBTOTAL(3,$B$3:B50)-1)</f>
        <v>2</v>
      </c>
      <c r="B50" s="39" t="s">
        <v>269</v>
      </c>
      <c r="C50" s="24" t="s">
        <v>14</v>
      </c>
      <c r="D50" s="163"/>
      <c r="E50" s="46"/>
      <c r="F50" s="142">
        <v>3</v>
      </c>
      <c r="G50" s="175" t="s">
        <v>826</v>
      </c>
      <c r="H50" s="405"/>
      <c r="I50" s="185"/>
      <c r="J50" s="67"/>
      <c r="K50" s="194"/>
      <c r="L50" s="67"/>
      <c r="M50" s="67"/>
      <c r="N50" s="67"/>
      <c r="O50" s="73"/>
      <c r="P50" s="237"/>
      <c r="Q50" s="255"/>
      <c r="R50" s="175" t="s">
        <v>1</v>
      </c>
      <c r="S50" s="411"/>
      <c r="T50" s="190"/>
      <c r="U50" s="22"/>
      <c r="V50" s="233"/>
      <c r="W50" s="239"/>
      <c r="X50" s="403"/>
      <c r="Y50" s="258"/>
    </row>
    <row r="51" spans="1:25" hidden="1" x14ac:dyDescent="0.3">
      <c r="A51" s="47">
        <f>IF(B51="","",SUBTOTAL(3,$B$3:B51)-1)</f>
        <v>2</v>
      </c>
      <c r="B51" s="143" t="s">
        <v>823</v>
      </c>
      <c r="C51" s="143" t="s">
        <v>14</v>
      </c>
      <c r="D51" s="143">
        <v>914886617</v>
      </c>
      <c r="E51" s="46"/>
      <c r="F51" s="142">
        <v>3</v>
      </c>
      <c r="G51" s="176" t="s">
        <v>660</v>
      </c>
      <c r="H51" s="406"/>
      <c r="I51" s="188"/>
      <c r="J51" s="142"/>
      <c r="K51" s="196" t="s">
        <v>721</v>
      </c>
      <c r="L51" s="67"/>
      <c r="M51" s="67"/>
      <c r="N51" s="67"/>
      <c r="O51" s="73"/>
      <c r="P51" s="237" t="s">
        <v>1</v>
      </c>
      <c r="Q51" s="255"/>
      <c r="R51" s="175" t="s">
        <v>0</v>
      </c>
      <c r="S51" s="411"/>
      <c r="T51" s="190"/>
      <c r="U51" s="22"/>
      <c r="V51" s="233"/>
      <c r="W51" s="239" t="s">
        <v>848</v>
      </c>
      <c r="X51" s="403"/>
      <c r="Y51" s="258"/>
    </row>
    <row r="52" spans="1:25" hidden="1" x14ac:dyDescent="0.3">
      <c r="A52" s="47">
        <f>IF(B52="","",SUBTOTAL(3,$B$3:B52)-1)</f>
        <v>2</v>
      </c>
      <c r="B52" s="143" t="s">
        <v>825</v>
      </c>
      <c r="C52" s="143" t="s">
        <v>14</v>
      </c>
      <c r="D52" s="143">
        <v>969937517</v>
      </c>
      <c r="E52" s="46"/>
      <c r="F52" s="142">
        <v>3</v>
      </c>
      <c r="G52" s="176" t="s">
        <v>660</v>
      </c>
      <c r="H52" s="406"/>
      <c r="I52" s="188"/>
      <c r="J52" s="142"/>
      <c r="K52" s="196" t="s">
        <v>721</v>
      </c>
      <c r="L52" s="67"/>
      <c r="M52" s="67"/>
      <c r="N52" s="67"/>
      <c r="O52" s="73"/>
      <c r="P52" s="237" t="s">
        <v>1</v>
      </c>
      <c r="Q52" s="255"/>
      <c r="R52" s="175" t="s">
        <v>0</v>
      </c>
      <c r="S52" s="411"/>
      <c r="T52" s="190"/>
      <c r="U52" s="22"/>
      <c r="V52" s="233"/>
      <c r="W52" s="239" t="s">
        <v>848</v>
      </c>
      <c r="X52" s="403"/>
      <c r="Y52" s="258"/>
    </row>
    <row r="53" spans="1:25" hidden="1" x14ac:dyDescent="0.3">
      <c r="A53" s="47">
        <f>IF(B53="","",SUBTOTAL(3,$B$3:B53)-1)</f>
        <v>2</v>
      </c>
      <c r="B53" s="143" t="s">
        <v>908</v>
      </c>
      <c r="C53" s="146" t="s">
        <v>14</v>
      </c>
      <c r="D53" s="143"/>
      <c r="E53" s="46"/>
      <c r="F53" s="142">
        <v>3</v>
      </c>
      <c r="G53" s="176"/>
      <c r="H53" s="407" t="s">
        <v>634</v>
      </c>
      <c r="I53" s="189" t="s">
        <v>634</v>
      </c>
      <c r="J53" s="67"/>
      <c r="K53" s="194"/>
      <c r="L53" s="180"/>
      <c r="M53" s="180"/>
      <c r="N53" s="180"/>
      <c r="O53" s="181"/>
      <c r="P53" s="237"/>
      <c r="Q53" s="255"/>
      <c r="R53" s="175"/>
      <c r="S53" s="411"/>
      <c r="T53" s="190" t="s">
        <v>0</v>
      </c>
      <c r="U53" s="22"/>
      <c r="V53" s="233"/>
      <c r="W53" s="239"/>
      <c r="X53" s="403"/>
      <c r="Y53" s="258"/>
    </row>
    <row r="54" spans="1:25" hidden="1" x14ac:dyDescent="0.3">
      <c r="A54" s="47">
        <f>IF(B54="","",SUBTOTAL(3,$B$3:B54)-1)</f>
        <v>2</v>
      </c>
      <c r="B54" s="161" t="s">
        <v>1173</v>
      </c>
      <c r="C54" s="25" t="s">
        <v>14</v>
      </c>
      <c r="D54" s="24"/>
      <c r="E54" s="46"/>
      <c r="F54" s="142">
        <v>3</v>
      </c>
      <c r="G54" s="176"/>
      <c r="H54" s="405"/>
      <c r="I54" s="185" t="s">
        <v>634</v>
      </c>
      <c r="J54" s="67"/>
      <c r="K54" s="194"/>
      <c r="L54" s="180"/>
      <c r="M54" s="180"/>
      <c r="N54" s="180"/>
      <c r="O54" s="181"/>
      <c r="P54" s="237"/>
      <c r="Q54" s="255"/>
      <c r="R54" s="175"/>
      <c r="S54" s="411"/>
      <c r="T54" s="190" t="s">
        <v>0</v>
      </c>
      <c r="U54" s="22"/>
      <c r="V54" s="233"/>
      <c r="W54" s="239"/>
      <c r="X54" s="403"/>
      <c r="Y54" s="258"/>
    </row>
    <row r="55" spans="1:25" ht="37.5" hidden="1" x14ac:dyDescent="0.3">
      <c r="A55" s="47">
        <f>IF(B55="","",SUBTOTAL(3,$B$3:B55)-1)</f>
        <v>2</v>
      </c>
      <c r="B55" s="380" t="s">
        <v>823</v>
      </c>
      <c r="C55" s="380" t="s">
        <v>14</v>
      </c>
      <c r="D55" s="380" t="s">
        <v>1374</v>
      </c>
      <c r="E55" s="46" t="s">
        <v>1356</v>
      </c>
      <c r="F55" s="382">
        <v>3</v>
      </c>
      <c r="G55" s="175" t="s">
        <v>660</v>
      </c>
      <c r="H55" s="405" t="s">
        <v>634</v>
      </c>
      <c r="I55" s="185"/>
      <c r="J55" s="71"/>
      <c r="K55" s="194"/>
      <c r="L55" s="67"/>
      <c r="M55" s="67"/>
      <c r="N55" s="67"/>
      <c r="O55" s="73"/>
      <c r="P55" s="237"/>
      <c r="Q55" s="255"/>
      <c r="R55" s="175" t="s">
        <v>0</v>
      </c>
      <c r="S55" s="411"/>
      <c r="T55" s="190"/>
      <c r="U55" s="22"/>
      <c r="V55" s="233"/>
      <c r="W55" s="239"/>
      <c r="X55" s="403"/>
      <c r="Y55" s="383" t="s">
        <v>1381</v>
      </c>
    </row>
    <row r="56" spans="1:25" hidden="1" x14ac:dyDescent="0.3">
      <c r="A56" s="47">
        <f>IF(B56="","",SUBTOTAL(3,$B$3:B56)-1)</f>
        <v>2</v>
      </c>
      <c r="B56" s="26" t="s">
        <v>124</v>
      </c>
      <c r="C56" s="26" t="s">
        <v>14</v>
      </c>
      <c r="D56" s="26"/>
      <c r="E56" s="46"/>
      <c r="F56" s="142">
        <v>4</v>
      </c>
      <c r="G56" s="175" t="s">
        <v>660</v>
      </c>
      <c r="H56" s="405"/>
      <c r="I56" s="185"/>
      <c r="J56" s="67"/>
      <c r="K56" s="194"/>
      <c r="L56" s="180"/>
      <c r="M56" s="180"/>
      <c r="N56" s="180"/>
      <c r="O56" s="181"/>
      <c r="P56" s="237"/>
      <c r="Q56" s="255"/>
      <c r="R56" s="175" t="s">
        <v>0</v>
      </c>
      <c r="S56" s="411"/>
      <c r="T56" s="190"/>
      <c r="U56" s="22"/>
      <c r="V56" s="233"/>
      <c r="W56" s="239"/>
      <c r="X56" s="403"/>
      <c r="Y56" s="258"/>
    </row>
    <row r="57" spans="1:25" hidden="1" x14ac:dyDescent="0.3">
      <c r="A57" s="47">
        <f>IF(B57="","",SUBTOTAL(3,$B$3:B57)-1)</f>
        <v>2</v>
      </c>
      <c r="B57" s="25" t="s">
        <v>124</v>
      </c>
      <c r="C57" s="25" t="s">
        <v>14</v>
      </c>
      <c r="D57" s="25"/>
      <c r="E57" s="46"/>
      <c r="F57" s="142">
        <v>4</v>
      </c>
      <c r="G57" s="175"/>
      <c r="H57" s="407"/>
      <c r="I57" s="189" t="s">
        <v>634</v>
      </c>
      <c r="J57" s="67"/>
      <c r="K57" s="194"/>
      <c r="L57" s="180"/>
      <c r="M57" s="180"/>
      <c r="N57" s="180"/>
      <c r="O57" s="181"/>
      <c r="P57" s="237"/>
      <c r="Q57" s="255"/>
      <c r="R57" s="175"/>
      <c r="S57" s="411"/>
      <c r="T57" s="190" t="s">
        <v>0</v>
      </c>
      <c r="U57" s="22"/>
      <c r="V57" s="233"/>
      <c r="W57" s="239"/>
      <c r="X57" s="403"/>
      <c r="Y57" s="258"/>
    </row>
    <row r="58" spans="1:25" hidden="1" x14ac:dyDescent="0.3">
      <c r="A58" s="47">
        <f>IF(B58="","",SUBTOTAL(3,$B$3:B58)-1)</f>
        <v>2</v>
      </c>
      <c r="B58" s="24" t="s">
        <v>144</v>
      </c>
      <c r="C58" s="24" t="s">
        <v>14</v>
      </c>
      <c r="D58" s="163"/>
      <c r="E58" s="46">
        <f>($AA$2-O58)*$AB$2+Q58</f>
        <v>0</v>
      </c>
      <c r="F58" s="22">
        <v>5</v>
      </c>
      <c r="G58" s="175"/>
      <c r="H58" s="408"/>
      <c r="I58" s="186"/>
      <c r="J58" s="68"/>
      <c r="K58" s="195"/>
      <c r="L58" s="68"/>
      <c r="M58" s="68"/>
      <c r="N58" s="68"/>
      <c r="O58" s="73"/>
      <c r="P58" s="237"/>
      <c r="Q58" s="255"/>
      <c r="R58" s="175"/>
      <c r="S58" s="411"/>
      <c r="T58" s="190"/>
      <c r="U58" s="22"/>
      <c r="V58" s="233"/>
      <c r="W58" s="239"/>
      <c r="X58" s="403"/>
      <c r="Y58" s="258"/>
    </row>
    <row r="59" spans="1:25" hidden="1" x14ac:dyDescent="0.3">
      <c r="A59" s="47">
        <f>IF(B59="","",SUBTOTAL(3,$B$3:B59)-1)</f>
        <v>2</v>
      </c>
      <c r="B59" s="24" t="s">
        <v>1143</v>
      </c>
      <c r="C59" s="24" t="s">
        <v>14</v>
      </c>
      <c r="D59" s="24"/>
      <c r="E59" s="46"/>
      <c r="F59" s="22">
        <v>5</v>
      </c>
      <c r="G59" s="175" t="s">
        <v>660</v>
      </c>
      <c r="H59" s="405"/>
      <c r="I59" s="185"/>
      <c r="J59" s="67"/>
      <c r="K59" s="194"/>
      <c r="L59" s="67"/>
      <c r="M59" s="67"/>
      <c r="N59" s="67"/>
      <c r="O59" s="73"/>
      <c r="P59" s="237"/>
      <c r="Q59" s="255"/>
      <c r="R59" s="175" t="s">
        <v>1</v>
      </c>
      <c r="S59" s="411"/>
      <c r="T59" s="190"/>
      <c r="U59" s="22"/>
      <c r="V59" s="233"/>
      <c r="W59" s="239"/>
      <c r="X59" s="403"/>
      <c r="Y59" s="258"/>
    </row>
    <row r="60" spans="1:25" hidden="1" x14ac:dyDescent="0.3">
      <c r="A60" s="47">
        <f>IF(B60="","",SUBTOTAL(3,$B$3:B60)-1)</f>
        <v>2</v>
      </c>
      <c r="B60" s="143" t="s">
        <v>1174</v>
      </c>
      <c r="C60" s="143" t="s">
        <v>14</v>
      </c>
      <c r="D60" s="143"/>
      <c r="E60" s="46"/>
      <c r="F60" s="22">
        <v>5</v>
      </c>
      <c r="G60" s="176"/>
      <c r="H60" s="407"/>
      <c r="I60" s="189" t="s">
        <v>634</v>
      </c>
      <c r="J60" s="142"/>
      <c r="K60" s="196"/>
      <c r="L60" s="67"/>
      <c r="M60" s="67"/>
      <c r="N60" s="67"/>
      <c r="O60" s="73"/>
      <c r="P60" s="237"/>
      <c r="Q60" s="255"/>
      <c r="R60" s="175"/>
      <c r="S60" s="411"/>
      <c r="T60" s="190" t="s">
        <v>0</v>
      </c>
      <c r="U60" s="22"/>
      <c r="V60" s="233"/>
      <c r="W60" s="239"/>
      <c r="X60" s="403"/>
      <c r="Y60" s="258"/>
    </row>
    <row r="61" spans="1:25" hidden="1" x14ac:dyDescent="0.3">
      <c r="A61" s="47">
        <f>IF(B61="","",SUBTOTAL(3,$B$3:B61)-1)</f>
        <v>2</v>
      </c>
      <c r="B61" s="24" t="s">
        <v>526</v>
      </c>
      <c r="C61" s="24" t="s">
        <v>14</v>
      </c>
      <c r="D61" s="24"/>
      <c r="E61" s="46"/>
      <c r="F61" s="142">
        <v>6</v>
      </c>
      <c r="G61" s="176" t="s">
        <v>660</v>
      </c>
      <c r="H61" s="405"/>
      <c r="I61" s="185"/>
      <c r="J61" s="67"/>
      <c r="K61" s="194"/>
      <c r="L61" s="67"/>
      <c r="M61" s="67"/>
      <c r="N61" s="67"/>
      <c r="O61" s="73"/>
      <c r="P61" s="237" t="s">
        <v>1</v>
      </c>
      <c r="Q61" s="255"/>
      <c r="R61" s="175" t="s">
        <v>0</v>
      </c>
      <c r="S61" s="411"/>
      <c r="T61" s="190"/>
      <c r="U61" s="22"/>
      <c r="V61" s="233"/>
      <c r="W61" s="239" t="s">
        <v>848</v>
      </c>
      <c r="X61" s="403"/>
      <c r="Y61" s="258"/>
    </row>
    <row r="62" spans="1:25" x14ac:dyDescent="0.3">
      <c r="A62" s="47">
        <f>IF(B62="","",SUBTOTAL(3,$B$3:B62)-1)</f>
        <v>3</v>
      </c>
      <c r="B62" s="143" t="s">
        <v>878</v>
      </c>
      <c r="C62" s="143" t="s">
        <v>14</v>
      </c>
      <c r="D62" s="143"/>
      <c r="E62" s="46"/>
      <c r="F62" s="142">
        <v>6</v>
      </c>
      <c r="G62" s="176" t="s">
        <v>660</v>
      </c>
      <c r="H62" s="405" t="s">
        <v>634</v>
      </c>
      <c r="I62" s="185" t="s">
        <v>634</v>
      </c>
      <c r="J62" s="142"/>
      <c r="K62" s="196" t="s">
        <v>721</v>
      </c>
      <c r="L62" s="67"/>
      <c r="M62" s="67"/>
      <c r="N62" s="67"/>
      <c r="O62" s="73"/>
      <c r="P62" s="237"/>
      <c r="Q62" s="255"/>
      <c r="R62" s="175" t="s">
        <v>0</v>
      </c>
      <c r="S62" s="411"/>
      <c r="T62" s="190" t="s">
        <v>0</v>
      </c>
      <c r="U62" s="22"/>
      <c r="V62" s="233"/>
      <c r="W62" s="239"/>
      <c r="X62" s="403"/>
      <c r="Y62" s="258"/>
    </row>
    <row r="63" spans="1:25" hidden="1" x14ac:dyDescent="0.3">
      <c r="A63" s="47">
        <f>IF(B63="","",SUBTOTAL(3,$B$3:B63)-1)</f>
        <v>3</v>
      </c>
      <c r="B63" s="174" t="s">
        <v>526</v>
      </c>
      <c r="C63" s="174" t="s">
        <v>14</v>
      </c>
      <c r="D63" s="17"/>
      <c r="E63" s="46" t="s">
        <v>1214</v>
      </c>
      <c r="F63" s="22">
        <v>6</v>
      </c>
      <c r="G63" s="175" t="s">
        <v>415</v>
      </c>
      <c r="H63" s="405"/>
      <c r="I63" s="185"/>
      <c r="J63" s="71"/>
      <c r="K63" s="194"/>
      <c r="L63" s="67"/>
      <c r="M63" s="67"/>
      <c r="N63" s="67"/>
      <c r="O63" s="73"/>
      <c r="P63" s="237"/>
      <c r="Q63" s="255"/>
      <c r="R63" s="175" t="s">
        <v>848</v>
      </c>
      <c r="S63" s="408">
        <v>6</v>
      </c>
      <c r="T63" s="190"/>
      <c r="U63" s="22"/>
      <c r="V63" s="233"/>
      <c r="W63" s="239"/>
      <c r="X63" s="403"/>
      <c r="Y63" s="258"/>
    </row>
    <row r="64" spans="1:25" hidden="1" x14ac:dyDescent="0.3">
      <c r="A64" s="47">
        <f>IF(B64="","",SUBTOTAL(3,$B$3:B64)-1)</f>
        <v>3</v>
      </c>
      <c r="B64" s="174" t="s">
        <v>1242</v>
      </c>
      <c r="C64" s="174" t="s">
        <v>14</v>
      </c>
      <c r="D64" s="17">
        <v>338001669</v>
      </c>
      <c r="E64" s="46" t="s">
        <v>1214</v>
      </c>
      <c r="F64" s="22">
        <v>6</v>
      </c>
      <c r="G64" s="175" t="s">
        <v>1332</v>
      </c>
      <c r="H64" s="405"/>
      <c r="I64" s="185"/>
      <c r="J64" s="71"/>
      <c r="K64" s="194"/>
      <c r="L64" s="67"/>
      <c r="M64" s="67"/>
      <c r="N64" s="67"/>
      <c r="O64" s="73"/>
      <c r="P64" s="237"/>
      <c r="Q64" s="255"/>
      <c r="R64" s="175" t="s">
        <v>2</v>
      </c>
      <c r="S64" s="408" t="s">
        <v>0</v>
      </c>
      <c r="T64" s="190"/>
      <c r="U64" s="22"/>
      <c r="V64" s="233"/>
      <c r="W64" s="239"/>
      <c r="X64" s="403"/>
      <c r="Y64" s="258"/>
    </row>
    <row r="65" spans="1:25" hidden="1" x14ac:dyDescent="0.3">
      <c r="A65" s="47">
        <f>IF(B65="","",SUBTOTAL(3,$B$3:B65)-1)</f>
        <v>3</v>
      </c>
      <c r="B65" s="275" t="s">
        <v>878</v>
      </c>
      <c r="C65" s="275" t="s">
        <v>14</v>
      </c>
      <c r="D65" s="299"/>
      <c r="E65" s="46" t="s">
        <v>1214</v>
      </c>
      <c r="F65" s="22">
        <v>6</v>
      </c>
      <c r="G65" s="175" t="s">
        <v>415</v>
      </c>
      <c r="H65" s="405"/>
      <c r="I65" s="185"/>
      <c r="J65" s="71"/>
      <c r="K65" s="194"/>
      <c r="L65" s="67"/>
      <c r="M65" s="67"/>
      <c r="N65" s="67"/>
      <c r="O65" s="73"/>
      <c r="P65" s="237"/>
      <c r="Q65" s="255"/>
      <c r="R65" s="175" t="s">
        <v>848</v>
      </c>
      <c r="S65" s="408">
        <v>6</v>
      </c>
      <c r="T65" s="190"/>
      <c r="U65" s="22"/>
      <c r="V65" s="233"/>
      <c r="W65" s="239"/>
      <c r="X65" s="403"/>
      <c r="Y65" s="258"/>
    </row>
    <row r="66" spans="1:25" hidden="1" x14ac:dyDescent="0.3">
      <c r="A66" s="47">
        <f>IF(B66="","",SUBTOTAL(3,$B$3:B66)-1)</f>
        <v>3</v>
      </c>
      <c r="B66" s="273" t="s">
        <v>1243</v>
      </c>
      <c r="C66" s="273" t="s">
        <v>14</v>
      </c>
      <c r="D66" s="304" t="s">
        <v>1313</v>
      </c>
      <c r="E66" s="46" t="s">
        <v>1214</v>
      </c>
      <c r="F66" s="22">
        <v>6</v>
      </c>
      <c r="G66" s="175" t="s">
        <v>1332</v>
      </c>
      <c r="H66" s="405"/>
      <c r="I66" s="185"/>
      <c r="J66" s="71"/>
      <c r="K66" s="194"/>
      <c r="L66" s="67"/>
      <c r="M66" s="67"/>
      <c r="N66" s="67"/>
      <c r="O66" s="73"/>
      <c r="P66" s="237"/>
      <c r="Q66" s="255"/>
      <c r="R66" s="318" t="s">
        <v>1</v>
      </c>
      <c r="S66" s="408"/>
      <c r="T66" s="190"/>
      <c r="U66" s="22"/>
      <c r="V66" s="233"/>
      <c r="W66" s="239"/>
      <c r="X66" s="403"/>
      <c r="Y66" s="258"/>
    </row>
    <row r="67" spans="1:25" hidden="1" x14ac:dyDescent="0.3">
      <c r="A67" s="47">
        <f>IF(B67="","",SUBTOTAL(3,$B$3:B67)-1)</f>
        <v>3</v>
      </c>
      <c r="B67" s="26" t="s">
        <v>167</v>
      </c>
      <c r="C67" s="26" t="s">
        <v>14</v>
      </c>
      <c r="D67" s="26"/>
      <c r="E67" s="46">
        <f>($AA$2-O67)*$AB$2+Q67</f>
        <v>0</v>
      </c>
      <c r="F67" s="369">
        <v>7</v>
      </c>
      <c r="G67" s="175" t="s">
        <v>415</v>
      </c>
      <c r="H67" s="405" t="s">
        <v>696</v>
      </c>
      <c r="I67" s="185" t="s">
        <v>634</v>
      </c>
      <c r="J67" s="67"/>
      <c r="K67" s="194"/>
      <c r="L67" s="180"/>
      <c r="M67" s="180"/>
      <c r="N67" s="180"/>
      <c r="O67" s="181"/>
      <c r="P67" s="237"/>
      <c r="Q67" s="255"/>
      <c r="R67" s="175" t="s">
        <v>848</v>
      </c>
      <c r="S67" s="411" t="s">
        <v>848</v>
      </c>
      <c r="T67" s="190" t="s">
        <v>0</v>
      </c>
      <c r="U67" s="22"/>
      <c r="V67" s="233"/>
      <c r="W67" s="239"/>
      <c r="X67" s="403"/>
      <c r="Y67" s="258"/>
    </row>
    <row r="68" spans="1:25" hidden="1" x14ac:dyDescent="0.3">
      <c r="A68" s="47">
        <f>IF(B68="","",SUBTOTAL(3,$B$3:B68)-1)</f>
        <v>3</v>
      </c>
      <c r="B68" s="26" t="s">
        <v>729</v>
      </c>
      <c r="C68" s="26" t="s">
        <v>14</v>
      </c>
      <c r="D68" s="26"/>
      <c r="E68" s="46">
        <f>($AA$2-O68)*$AB$2+Q68</f>
        <v>0</v>
      </c>
      <c r="F68" s="142">
        <v>7</v>
      </c>
      <c r="G68" s="175"/>
      <c r="H68" s="405"/>
      <c r="I68" s="185"/>
      <c r="J68" s="67"/>
      <c r="K68" s="194"/>
      <c r="L68" s="67"/>
      <c r="M68" s="67"/>
      <c r="N68" s="67"/>
      <c r="O68" s="73"/>
      <c r="P68" s="237"/>
      <c r="Q68" s="255"/>
      <c r="R68" s="175"/>
      <c r="S68" s="411"/>
      <c r="T68" s="190"/>
      <c r="U68" s="22"/>
      <c r="V68" s="233"/>
      <c r="W68" s="239"/>
      <c r="X68" s="403"/>
      <c r="Y68" s="258"/>
    </row>
    <row r="69" spans="1:25" hidden="1" x14ac:dyDescent="0.3">
      <c r="A69" s="47">
        <f>IF(B69="","",SUBTOTAL(3,$B$3:B69)-1)</f>
        <v>3</v>
      </c>
      <c r="B69" s="3" t="s">
        <v>869</v>
      </c>
      <c r="C69" s="26" t="s">
        <v>14</v>
      </c>
      <c r="D69" s="26">
        <v>778932119</v>
      </c>
      <c r="E69" s="46">
        <f>($AA$2-O69)*$AB$2+Q69</f>
        <v>0</v>
      </c>
      <c r="F69" s="142">
        <v>7</v>
      </c>
      <c r="G69" s="175" t="s">
        <v>415</v>
      </c>
      <c r="H69" s="405" t="s">
        <v>635</v>
      </c>
      <c r="I69" s="185"/>
      <c r="J69" s="67"/>
      <c r="K69" s="194"/>
      <c r="L69" s="67"/>
      <c r="M69" s="67"/>
      <c r="N69" s="67"/>
      <c r="O69" s="73"/>
      <c r="P69" s="237" t="s">
        <v>1</v>
      </c>
      <c r="Q69" s="255"/>
      <c r="R69" s="175" t="s">
        <v>848</v>
      </c>
      <c r="S69" s="411" t="s">
        <v>1</v>
      </c>
      <c r="T69" s="190" t="s">
        <v>0</v>
      </c>
      <c r="U69" s="22"/>
      <c r="V69" s="233"/>
      <c r="W69" s="239" t="s">
        <v>0</v>
      </c>
      <c r="X69" s="403"/>
      <c r="Y69" s="258"/>
    </row>
    <row r="70" spans="1:25" hidden="1" x14ac:dyDescent="0.3">
      <c r="A70" s="47">
        <f>IF(B70="","",SUBTOTAL(3,$B$3:B70)-1)</f>
        <v>3</v>
      </c>
      <c r="B70" s="143" t="s">
        <v>950</v>
      </c>
      <c r="C70" s="143" t="s">
        <v>14</v>
      </c>
      <c r="D70" s="143"/>
      <c r="E70" s="46"/>
      <c r="F70" s="142">
        <v>7</v>
      </c>
      <c r="G70" s="176" t="s">
        <v>1</v>
      </c>
      <c r="H70" s="405" t="s">
        <v>635</v>
      </c>
      <c r="I70" s="189"/>
      <c r="J70" s="142"/>
      <c r="K70" s="196"/>
      <c r="L70" s="67"/>
      <c r="M70" s="67"/>
      <c r="N70" s="67"/>
      <c r="O70" s="73"/>
      <c r="P70" s="237"/>
      <c r="Q70" s="255"/>
      <c r="R70" s="175" t="s">
        <v>574</v>
      </c>
      <c r="S70" s="411" t="s">
        <v>1</v>
      </c>
      <c r="T70" s="190"/>
      <c r="U70" s="22"/>
      <c r="V70" s="233"/>
      <c r="W70" s="239"/>
      <c r="X70" s="403"/>
      <c r="Y70" s="258"/>
    </row>
    <row r="71" spans="1:25" hidden="1" x14ac:dyDescent="0.3">
      <c r="A71" s="47">
        <f>IF(B71="","",SUBTOTAL(3,$B$3:B71)-1)</f>
        <v>3</v>
      </c>
      <c r="B71" s="39" t="s">
        <v>477</v>
      </c>
      <c r="C71" s="24" t="s">
        <v>14</v>
      </c>
      <c r="D71" s="163"/>
      <c r="E71" s="46"/>
      <c r="F71" s="142">
        <v>7</v>
      </c>
      <c r="G71" s="176" t="s">
        <v>415</v>
      </c>
      <c r="H71" s="406" t="s">
        <v>635</v>
      </c>
      <c r="I71" s="185"/>
      <c r="J71" s="67"/>
      <c r="K71" s="194"/>
      <c r="L71" s="180"/>
      <c r="M71" s="180"/>
      <c r="N71" s="180"/>
      <c r="O71" s="181"/>
      <c r="P71" s="237"/>
      <c r="Q71" s="255"/>
      <c r="R71" s="175" t="s">
        <v>1</v>
      </c>
      <c r="S71" s="411" t="s">
        <v>2</v>
      </c>
      <c r="T71" s="190"/>
      <c r="U71" s="22"/>
      <c r="V71" s="233"/>
      <c r="W71" s="239"/>
      <c r="X71" s="403"/>
      <c r="Y71" s="258"/>
    </row>
    <row r="72" spans="1:25" hidden="1" x14ac:dyDescent="0.3">
      <c r="A72" s="47">
        <f>IF(B72="","",SUBTOTAL(3,$B$3:B72)-1)</f>
        <v>3</v>
      </c>
      <c r="B72" s="24" t="s">
        <v>1050</v>
      </c>
      <c r="C72" s="24" t="s">
        <v>14</v>
      </c>
      <c r="D72" s="24"/>
      <c r="E72" s="46"/>
      <c r="F72" s="142">
        <v>7</v>
      </c>
      <c r="G72" s="176"/>
      <c r="H72" s="408"/>
      <c r="I72" s="188" t="s">
        <v>661</v>
      </c>
      <c r="J72" s="68"/>
      <c r="K72" s="195"/>
      <c r="L72" s="67"/>
      <c r="M72" s="67"/>
      <c r="N72" s="67"/>
      <c r="O72" s="73"/>
      <c r="P72" s="237"/>
      <c r="Q72" s="255"/>
      <c r="R72" s="175"/>
      <c r="S72" s="411"/>
      <c r="T72" s="190" t="s">
        <v>1</v>
      </c>
      <c r="U72" s="22"/>
      <c r="V72" s="233"/>
      <c r="W72" s="239"/>
      <c r="X72" s="403"/>
      <c r="Y72" s="258"/>
    </row>
    <row r="73" spans="1:25" hidden="1" x14ac:dyDescent="0.3">
      <c r="A73" s="47">
        <f>IF(B73="","",SUBTOTAL(3,$B$3:B73)-1)</f>
        <v>3</v>
      </c>
      <c r="B73" s="24" t="s">
        <v>1157</v>
      </c>
      <c r="C73" s="24" t="s">
        <v>14</v>
      </c>
      <c r="D73" s="24"/>
      <c r="E73" s="46">
        <f>($AA$2-O73)*$AB$2+Q73</f>
        <v>0</v>
      </c>
      <c r="F73" s="22">
        <v>8</v>
      </c>
      <c r="G73" s="175" t="s">
        <v>415</v>
      </c>
      <c r="H73" s="405" t="s">
        <v>635</v>
      </c>
      <c r="I73" s="185" t="s">
        <v>634</v>
      </c>
      <c r="J73" s="67"/>
      <c r="K73" s="194"/>
      <c r="L73" s="180"/>
      <c r="M73" s="180"/>
      <c r="N73" s="180"/>
      <c r="O73" s="181"/>
      <c r="P73" s="237"/>
      <c r="Q73" s="255"/>
      <c r="R73" s="175" t="s">
        <v>0</v>
      </c>
      <c r="S73" s="411" t="s">
        <v>1</v>
      </c>
      <c r="T73" s="190" t="s">
        <v>0</v>
      </c>
      <c r="U73" s="22"/>
      <c r="V73" s="233"/>
      <c r="W73" s="239"/>
      <c r="X73" s="403"/>
      <c r="Y73" s="258"/>
    </row>
    <row r="74" spans="1:25" hidden="1" x14ac:dyDescent="0.3">
      <c r="A74" s="47">
        <f>IF(B74="","",SUBTOTAL(3,$B$3:B74)-1)</f>
        <v>3</v>
      </c>
      <c r="B74" s="26" t="s">
        <v>584</v>
      </c>
      <c r="C74" s="26" t="s">
        <v>14</v>
      </c>
      <c r="D74" s="26"/>
      <c r="E74" s="46">
        <f>($AA$2-O74)*$AB$2+Q74</f>
        <v>0</v>
      </c>
      <c r="F74" s="21">
        <v>8</v>
      </c>
      <c r="G74" s="175" t="s">
        <v>415</v>
      </c>
      <c r="H74" s="405"/>
      <c r="I74" s="185"/>
      <c r="J74" s="67" t="s">
        <v>661</v>
      </c>
      <c r="K74" s="194"/>
      <c r="L74" s="180"/>
      <c r="M74" s="180"/>
      <c r="N74" s="180"/>
      <c r="O74" s="181"/>
      <c r="P74" s="237"/>
      <c r="Q74" s="255"/>
      <c r="R74" s="175" t="s">
        <v>848</v>
      </c>
      <c r="S74" s="411"/>
      <c r="T74" s="190"/>
      <c r="U74" s="22" t="s">
        <v>0</v>
      </c>
      <c r="V74" s="233"/>
      <c r="W74" s="239"/>
      <c r="X74" s="403"/>
      <c r="Y74" s="258"/>
    </row>
    <row r="75" spans="1:25" hidden="1" x14ac:dyDescent="0.3">
      <c r="A75" s="47">
        <f>IF(B75="","",SUBTOTAL(3,$B$3:B75)-1)</f>
        <v>3</v>
      </c>
      <c r="B75" s="24" t="s">
        <v>192</v>
      </c>
      <c r="C75" s="24" t="s">
        <v>14</v>
      </c>
      <c r="D75" s="24"/>
      <c r="E75" s="46">
        <f>($AA$2-O75)*$AB$2+Q75</f>
        <v>0</v>
      </c>
      <c r="F75" s="21">
        <v>8</v>
      </c>
      <c r="G75" s="175"/>
      <c r="H75" s="405"/>
      <c r="I75" s="185"/>
      <c r="J75" s="67"/>
      <c r="K75" s="194"/>
      <c r="L75" s="67"/>
      <c r="M75" s="67"/>
      <c r="N75" s="67"/>
      <c r="O75" s="73"/>
      <c r="P75" s="237"/>
      <c r="Q75" s="255"/>
      <c r="R75" s="175"/>
      <c r="S75" s="411"/>
      <c r="T75" s="190"/>
      <c r="U75" s="22"/>
      <c r="V75" s="233"/>
      <c r="W75" s="239"/>
      <c r="X75" s="403"/>
      <c r="Y75" s="258"/>
    </row>
    <row r="76" spans="1:25" hidden="1" x14ac:dyDescent="0.3">
      <c r="A76" s="47">
        <f>IF(B76="","",SUBTOTAL(3,$B$3:B76)-1)</f>
        <v>3</v>
      </c>
      <c r="B76" s="26" t="s">
        <v>1117</v>
      </c>
      <c r="C76" s="26" t="s">
        <v>14</v>
      </c>
      <c r="D76" s="164"/>
      <c r="E76" s="46"/>
      <c r="F76" s="21">
        <v>8</v>
      </c>
      <c r="G76" s="175" t="s">
        <v>415</v>
      </c>
      <c r="H76" s="405"/>
      <c r="I76" s="185"/>
      <c r="J76" s="67"/>
      <c r="K76" s="194"/>
      <c r="L76" s="67"/>
      <c r="M76" s="67"/>
      <c r="N76" s="67"/>
      <c r="O76" s="73"/>
      <c r="P76" s="237"/>
      <c r="Q76" s="255"/>
      <c r="R76" s="175" t="s">
        <v>1</v>
      </c>
      <c r="S76" s="411"/>
      <c r="T76" s="190"/>
      <c r="U76" s="22"/>
      <c r="V76" s="233"/>
      <c r="W76" s="239"/>
      <c r="X76" s="403"/>
      <c r="Y76" s="258"/>
    </row>
    <row r="77" spans="1:25" hidden="1" x14ac:dyDescent="0.3">
      <c r="A77" s="47">
        <f>IF(B77="","",SUBTOTAL(3,$B$3:B77)-1)</f>
        <v>3</v>
      </c>
      <c r="B77" s="26" t="s">
        <v>1192</v>
      </c>
      <c r="C77" s="26" t="s">
        <v>14</v>
      </c>
      <c r="D77" s="164"/>
      <c r="E77" s="46"/>
      <c r="F77" s="22">
        <v>8</v>
      </c>
      <c r="G77" s="176"/>
      <c r="H77" s="405"/>
      <c r="I77" s="185"/>
      <c r="J77" s="67"/>
      <c r="K77" s="194"/>
      <c r="L77" s="67"/>
      <c r="M77" s="67"/>
      <c r="N77" s="67"/>
      <c r="O77" s="73"/>
      <c r="P77" s="237"/>
      <c r="Q77" s="255"/>
      <c r="R77" s="175"/>
      <c r="S77" s="411"/>
      <c r="T77" s="190"/>
      <c r="U77" s="22"/>
      <c r="V77" s="233"/>
      <c r="W77" s="239"/>
      <c r="X77" s="403"/>
      <c r="Y77" s="258"/>
    </row>
    <row r="78" spans="1:25" hidden="1" x14ac:dyDescent="0.3">
      <c r="A78" s="47">
        <f>IF(B78="","",SUBTOTAL(3,$B$3:B78)-1)</f>
        <v>3</v>
      </c>
      <c r="B78" s="26" t="s">
        <v>1194</v>
      </c>
      <c r="C78" s="26" t="s">
        <v>14</v>
      </c>
      <c r="D78" s="164"/>
      <c r="E78" s="46"/>
      <c r="F78" s="22">
        <v>8</v>
      </c>
      <c r="G78" s="176"/>
      <c r="H78" s="405" t="s">
        <v>635</v>
      </c>
      <c r="I78" s="185"/>
      <c r="J78" s="67"/>
      <c r="K78" s="194"/>
      <c r="L78" s="67"/>
      <c r="M78" s="67"/>
      <c r="N78" s="67"/>
      <c r="O78" s="73"/>
      <c r="P78" s="237"/>
      <c r="Q78" s="255"/>
      <c r="R78" s="175"/>
      <c r="S78" s="411" t="s">
        <v>2</v>
      </c>
      <c r="T78" s="190"/>
      <c r="U78" s="22"/>
      <c r="V78" s="233"/>
      <c r="W78" s="239"/>
      <c r="X78" s="403"/>
      <c r="Y78" s="258"/>
    </row>
    <row r="79" spans="1:25" hidden="1" x14ac:dyDescent="0.3">
      <c r="A79" s="47">
        <f>IF(B79="","",SUBTOTAL(3,$B$3:B79)-1)</f>
        <v>3</v>
      </c>
      <c r="B79" s="24" t="s">
        <v>218</v>
      </c>
      <c r="C79" s="24" t="s">
        <v>14</v>
      </c>
      <c r="D79" s="163"/>
      <c r="E79" s="46">
        <f>($AA$2-O79)*$AB$2+Q79</f>
        <v>0</v>
      </c>
      <c r="F79" s="22">
        <v>9</v>
      </c>
      <c r="G79" s="175" t="s">
        <v>415</v>
      </c>
      <c r="H79" s="409" t="s">
        <v>660</v>
      </c>
      <c r="I79" s="187"/>
      <c r="J79" s="67"/>
      <c r="K79" s="194"/>
      <c r="L79" s="180"/>
      <c r="M79" s="180"/>
      <c r="N79" s="180"/>
      <c r="O79" s="181"/>
      <c r="P79" s="237"/>
      <c r="Q79" s="255"/>
      <c r="R79" s="175" t="s">
        <v>2</v>
      </c>
      <c r="S79" s="411" t="s">
        <v>1</v>
      </c>
      <c r="T79" s="190"/>
      <c r="U79" s="22"/>
      <c r="V79" s="233"/>
      <c r="W79" s="239"/>
      <c r="X79" s="403"/>
      <c r="Y79" s="258"/>
    </row>
    <row r="80" spans="1:25" hidden="1" x14ac:dyDescent="0.3">
      <c r="A80" s="47">
        <f>IF(B80="","",SUBTOTAL(3,$B$3:B80)-1)</f>
        <v>3</v>
      </c>
      <c r="B80" s="24" t="s">
        <v>159</v>
      </c>
      <c r="C80" s="24" t="s">
        <v>76</v>
      </c>
      <c r="D80" s="25">
        <v>388845162</v>
      </c>
      <c r="E80" s="46">
        <f>($AA$2-O80)*$AB$2+Q80</f>
        <v>0</v>
      </c>
      <c r="F80" s="22">
        <v>10</v>
      </c>
      <c r="G80" s="175" t="s">
        <v>415</v>
      </c>
      <c r="H80" s="405" t="s">
        <v>660</v>
      </c>
      <c r="I80" s="185"/>
      <c r="J80" s="71"/>
      <c r="K80" s="194"/>
      <c r="L80" s="180"/>
      <c r="M80" s="180"/>
      <c r="N80" s="180"/>
      <c r="O80" s="181"/>
      <c r="P80" s="237"/>
      <c r="Q80" s="255"/>
      <c r="R80" s="175" t="s">
        <v>0</v>
      </c>
      <c r="S80" s="411" t="s">
        <v>2</v>
      </c>
      <c r="T80" s="190"/>
      <c r="U80" s="22"/>
      <c r="V80" s="233"/>
      <c r="W80" s="239"/>
      <c r="X80" s="403"/>
      <c r="Y80" s="258"/>
    </row>
    <row r="81" spans="1:25" hidden="1" x14ac:dyDescent="0.3">
      <c r="A81" s="47">
        <f>IF(B81="","",SUBTOTAL(3,$B$3:B81)-1)</f>
        <v>3</v>
      </c>
      <c r="B81" s="24" t="s">
        <v>633</v>
      </c>
      <c r="C81" s="24" t="s">
        <v>76</v>
      </c>
      <c r="D81" s="24"/>
      <c r="E81" s="46">
        <f>($AA$2-O81)*$AB$2+Q81</f>
        <v>0</v>
      </c>
      <c r="F81" s="22">
        <v>11</v>
      </c>
      <c r="G81" s="175"/>
      <c r="H81" s="405"/>
      <c r="I81" s="185"/>
      <c r="J81" s="67"/>
      <c r="K81" s="194"/>
      <c r="L81" s="67"/>
      <c r="M81" s="67"/>
      <c r="N81" s="67"/>
      <c r="O81" s="73"/>
      <c r="P81" s="237"/>
      <c r="Q81" s="255"/>
      <c r="R81" s="175"/>
      <c r="S81" s="411" t="s">
        <v>710</v>
      </c>
      <c r="T81" s="190"/>
      <c r="U81" s="22"/>
      <c r="V81" s="233"/>
      <c r="W81" s="239"/>
      <c r="X81" s="403"/>
      <c r="Y81" s="258"/>
    </row>
    <row r="82" spans="1:25" hidden="1" x14ac:dyDescent="0.3">
      <c r="A82" s="47">
        <f>IF(B82="","",SUBTOTAL(3,$B$3:B82)-1)</f>
        <v>3</v>
      </c>
      <c r="B82" s="25" t="s">
        <v>159</v>
      </c>
      <c r="C82" s="25" t="s">
        <v>76</v>
      </c>
      <c r="D82" s="25"/>
      <c r="E82" s="46">
        <f>($AA$2-O82)*$AB$2+Q82</f>
        <v>0</v>
      </c>
      <c r="F82" s="22">
        <v>12</v>
      </c>
      <c r="G82" s="175"/>
      <c r="H82" s="405"/>
      <c r="I82" s="185"/>
      <c r="J82" s="67"/>
      <c r="K82" s="194"/>
      <c r="L82" s="67"/>
      <c r="M82" s="67"/>
      <c r="N82" s="67"/>
      <c r="O82" s="73"/>
      <c r="P82" s="237"/>
      <c r="Q82" s="255"/>
      <c r="R82" s="175"/>
      <c r="S82" s="411"/>
      <c r="T82" s="190"/>
      <c r="U82" s="22"/>
      <c r="V82" s="233"/>
      <c r="W82" s="239"/>
      <c r="X82" s="403"/>
      <c r="Y82" s="258"/>
    </row>
    <row r="83" spans="1:25" hidden="1" x14ac:dyDescent="0.3">
      <c r="A83" s="47">
        <f>IF(B83="","",SUBTOTAL(3,$B$3:B83)-1)</f>
        <v>3</v>
      </c>
      <c r="B83" s="25" t="s">
        <v>268</v>
      </c>
      <c r="C83" s="243" t="s">
        <v>76</v>
      </c>
      <c r="D83" s="163"/>
      <c r="E83" s="46">
        <f>($AA$2-O83)*$AB$2+Q83</f>
        <v>0</v>
      </c>
      <c r="F83" s="22" t="s">
        <v>1213</v>
      </c>
      <c r="G83" s="175" t="s">
        <v>660</v>
      </c>
      <c r="H83" s="405"/>
      <c r="I83" s="185"/>
      <c r="J83" s="67"/>
      <c r="K83" s="194"/>
      <c r="L83" s="67"/>
      <c r="M83" s="67"/>
      <c r="N83" s="67"/>
      <c r="O83" s="73"/>
      <c r="P83" s="237"/>
      <c r="Q83" s="255"/>
      <c r="R83" s="175" t="s">
        <v>1</v>
      </c>
      <c r="S83" s="411"/>
      <c r="T83" s="190"/>
      <c r="U83" s="22"/>
      <c r="V83" s="233"/>
      <c r="W83" s="239"/>
      <c r="X83" s="403"/>
      <c r="Y83" s="258"/>
    </row>
    <row r="84" spans="1:25" hidden="1" x14ac:dyDescent="0.3">
      <c r="A84" s="47">
        <f>IF(B84="","",SUBTOTAL(3,$B$3:B84)-1)</f>
        <v>3</v>
      </c>
      <c r="B84" s="380" t="s">
        <v>1372</v>
      </c>
      <c r="C84" s="380" t="s">
        <v>76</v>
      </c>
      <c r="D84" s="381"/>
      <c r="E84" s="46" t="s">
        <v>1356</v>
      </c>
      <c r="F84" s="382">
        <v>2</v>
      </c>
      <c r="G84" s="175" t="s">
        <v>826</v>
      </c>
      <c r="H84" s="405"/>
      <c r="I84" s="185"/>
      <c r="J84" s="71"/>
      <c r="K84" s="194"/>
      <c r="L84" s="67"/>
      <c r="M84" s="67"/>
      <c r="N84" s="67"/>
      <c r="O84" s="73"/>
      <c r="P84" s="237"/>
      <c r="Q84" s="255"/>
      <c r="R84" s="175" t="s">
        <v>1</v>
      </c>
      <c r="S84" s="411"/>
      <c r="T84" s="190"/>
      <c r="U84" s="22"/>
      <c r="V84" s="233"/>
      <c r="W84" s="239"/>
      <c r="X84" s="403"/>
      <c r="Y84" s="383" t="s">
        <v>1386</v>
      </c>
    </row>
    <row r="85" spans="1:25" hidden="1" x14ac:dyDescent="0.3">
      <c r="A85" s="47">
        <f>IF(B85="","",SUBTOTAL(3,$B$3:B85)-1)</f>
        <v>3</v>
      </c>
      <c r="B85" s="24" t="s">
        <v>159</v>
      </c>
      <c r="C85" s="24" t="s">
        <v>76</v>
      </c>
      <c r="D85" s="163"/>
      <c r="E85" s="46">
        <f>($AA$2-O85)*$AB$2+Q85</f>
        <v>0</v>
      </c>
      <c r="F85" s="22">
        <v>9</v>
      </c>
      <c r="G85" s="175" t="s">
        <v>415</v>
      </c>
      <c r="H85" s="409" t="s">
        <v>660</v>
      </c>
      <c r="I85" s="187" t="s">
        <v>634</v>
      </c>
      <c r="J85" s="67"/>
      <c r="K85" s="194"/>
      <c r="L85" s="180"/>
      <c r="M85" s="180"/>
      <c r="N85" s="180"/>
      <c r="O85" s="181"/>
      <c r="P85" s="237"/>
      <c r="Q85" s="255"/>
      <c r="R85" s="175" t="s">
        <v>1</v>
      </c>
      <c r="S85" s="411" t="s">
        <v>1</v>
      </c>
      <c r="T85" s="190" t="s">
        <v>0</v>
      </c>
      <c r="U85" s="22"/>
      <c r="V85" s="233"/>
      <c r="W85" s="239"/>
      <c r="X85" s="403"/>
      <c r="Y85" s="258"/>
    </row>
    <row r="86" spans="1:25" hidden="1" x14ac:dyDescent="0.3">
      <c r="A86" s="47">
        <f>IF(B86="","",SUBTOTAL(3,$B$3:B86)-1)</f>
        <v>3</v>
      </c>
      <c r="B86" s="24" t="s">
        <v>458</v>
      </c>
      <c r="C86" s="244" t="s">
        <v>1080</v>
      </c>
      <c r="D86" s="163"/>
      <c r="E86" s="46"/>
      <c r="F86" s="22" t="s">
        <v>1213</v>
      </c>
      <c r="G86" s="175"/>
      <c r="H86" s="405"/>
      <c r="I86" s="185"/>
      <c r="J86" s="67"/>
      <c r="K86" s="194"/>
      <c r="L86" s="67"/>
      <c r="M86" s="67"/>
      <c r="N86" s="67"/>
      <c r="O86" s="73"/>
      <c r="P86" s="237"/>
      <c r="Q86" s="255"/>
      <c r="R86" s="175"/>
      <c r="S86" s="411"/>
      <c r="T86" s="190"/>
      <c r="U86" s="22"/>
      <c r="V86" s="233"/>
      <c r="W86" s="239"/>
      <c r="X86" s="403"/>
      <c r="Y86" s="258"/>
    </row>
    <row r="87" spans="1:25" hidden="1" x14ac:dyDescent="0.3">
      <c r="A87" s="47">
        <f>IF(B87="","",SUBTOTAL(3,$B$3:B87)-1)</f>
        <v>3</v>
      </c>
      <c r="B87" s="24" t="s">
        <v>238</v>
      </c>
      <c r="C87" s="24" t="s">
        <v>70</v>
      </c>
      <c r="D87" s="24">
        <v>816333550</v>
      </c>
      <c r="E87" s="46">
        <f>($AA$2-O87)*$AB$2+Q87</f>
        <v>0</v>
      </c>
      <c r="F87" s="22">
        <v>10</v>
      </c>
      <c r="G87" s="175" t="s">
        <v>415</v>
      </c>
      <c r="H87" s="405" t="s">
        <v>635</v>
      </c>
      <c r="I87" s="185"/>
      <c r="J87" s="71" t="s">
        <v>661</v>
      </c>
      <c r="K87" s="194"/>
      <c r="L87" s="180"/>
      <c r="M87" s="180"/>
      <c r="N87" s="180"/>
      <c r="O87" s="181"/>
      <c r="P87" s="237"/>
      <c r="Q87" s="255"/>
      <c r="R87" s="175" t="s">
        <v>848</v>
      </c>
      <c r="S87" s="411" t="s">
        <v>848</v>
      </c>
      <c r="T87" s="190"/>
      <c r="U87" s="22" t="s">
        <v>0</v>
      </c>
      <c r="V87" s="233"/>
      <c r="W87" s="239"/>
      <c r="X87" s="403"/>
      <c r="Y87" s="258"/>
    </row>
    <row r="88" spans="1:25" hidden="1" x14ac:dyDescent="0.3">
      <c r="A88" s="47">
        <f>IF(B88="","",SUBTOTAL(3,$B$3:B88)-1)</f>
        <v>3</v>
      </c>
      <c r="B88" s="25" t="s">
        <v>222</v>
      </c>
      <c r="C88" s="25" t="s">
        <v>70</v>
      </c>
      <c r="D88" s="163"/>
      <c r="E88" s="46">
        <f>($AA$2-O88)*$AB$2+Q88</f>
        <v>0</v>
      </c>
      <c r="F88" s="22">
        <v>9</v>
      </c>
      <c r="G88" s="175" t="s">
        <v>415</v>
      </c>
      <c r="H88" s="409"/>
      <c r="I88" s="187"/>
      <c r="J88" s="67"/>
      <c r="K88" s="194"/>
      <c r="L88" s="180"/>
      <c r="M88" s="180"/>
      <c r="N88" s="180"/>
      <c r="O88" s="181"/>
      <c r="P88" s="237"/>
      <c r="Q88" s="255"/>
      <c r="R88" s="175" t="s">
        <v>2</v>
      </c>
      <c r="S88" s="411"/>
      <c r="T88" s="190"/>
      <c r="U88" s="22"/>
      <c r="V88" s="233"/>
      <c r="W88" s="239"/>
      <c r="X88" s="403"/>
      <c r="Y88" s="258"/>
    </row>
    <row r="89" spans="1:25" hidden="1" x14ac:dyDescent="0.3">
      <c r="A89" s="47">
        <f>IF(B89="","",SUBTOTAL(3,$B$3:B89)-1)</f>
        <v>3</v>
      </c>
      <c r="B89" s="24" t="s">
        <v>190</v>
      </c>
      <c r="C89" s="24" t="s">
        <v>105</v>
      </c>
      <c r="D89" s="163"/>
      <c r="E89" s="46"/>
      <c r="F89" s="22">
        <v>2</v>
      </c>
      <c r="G89" s="175"/>
      <c r="H89" s="406" t="s">
        <v>634</v>
      </c>
      <c r="I89" s="185" t="s">
        <v>634</v>
      </c>
      <c r="J89" s="67"/>
      <c r="K89" s="194"/>
      <c r="L89" s="67"/>
      <c r="M89" s="67"/>
      <c r="N89" s="67"/>
      <c r="O89" s="73"/>
      <c r="P89" s="237"/>
      <c r="Q89" s="255"/>
      <c r="R89" s="175"/>
      <c r="S89" s="411"/>
      <c r="T89" s="190" t="s">
        <v>0</v>
      </c>
      <c r="U89" s="22"/>
      <c r="V89" s="233"/>
      <c r="W89" s="239"/>
      <c r="X89" s="403"/>
      <c r="Y89" s="258"/>
    </row>
    <row r="90" spans="1:25" hidden="1" x14ac:dyDescent="0.3">
      <c r="A90" s="47">
        <f>IF(B90="","",SUBTOTAL(3,$B$3:B90)-1)</f>
        <v>3</v>
      </c>
      <c r="B90" s="25" t="s">
        <v>326</v>
      </c>
      <c r="C90" s="25" t="s">
        <v>105</v>
      </c>
      <c r="D90" s="163">
        <v>907699074</v>
      </c>
      <c r="E90" s="46">
        <f>($AA$2-O90)*$AB$2+Q90</f>
        <v>0</v>
      </c>
      <c r="F90" s="22">
        <v>11</v>
      </c>
      <c r="G90" s="175"/>
      <c r="H90" s="405"/>
      <c r="I90" s="185"/>
      <c r="J90" s="67"/>
      <c r="K90" s="194"/>
      <c r="L90" s="180"/>
      <c r="M90" s="180"/>
      <c r="N90" s="180"/>
      <c r="O90" s="181"/>
      <c r="P90" s="237"/>
      <c r="Q90" s="255"/>
      <c r="R90" s="175"/>
      <c r="S90" s="411" t="s">
        <v>0</v>
      </c>
      <c r="T90" s="190"/>
      <c r="U90" s="22"/>
      <c r="V90" s="233" t="s">
        <v>848</v>
      </c>
      <c r="W90" s="239"/>
      <c r="X90" s="403"/>
      <c r="Y90" s="258"/>
    </row>
    <row r="91" spans="1:25" hidden="1" x14ac:dyDescent="0.3">
      <c r="A91" s="47">
        <f>IF(B91="","",SUBTOTAL(3,$B$3:B91)-1)</f>
        <v>3</v>
      </c>
      <c r="B91" s="24" t="s">
        <v>311</v>
      </c>
      <c r="C91" s="24" t="s">
        <v>105</v>
      </c>
      <c r="D91" s="163"/>
      <c r="E91" s="46">
        <f>($AA$2-O91)*$AB$2+Q91</f>
        <v>0</v>
      </c>
      <c r="F91" s="22">
        <v>11</v>
      </c>
      <c r="G91" s="175" t="s">
        <v>660</v>
      </c>
      <c r="H91" s="405" t="s">
        <v>696</v>
      </c>
      <c r="I91" s="185" t="s">
        <v>661</v>
      </c>
      <c r="J91" s="67"/>
      <c r="K91" s="194" t="s">
        <v>660</v>
      </c>
      <c r="L91" s="180"/>
      <c r="M91" s="180"/>
      <c r="N91" s="180"/>
      <c r="O91" s="181"/>
      <c r="P91" s="237"/>
      <c r="Q91" s="255"/>
      <c r="R91" s="175" t="s">
        <v>0</v>
      </c>
      <c r="S91" s="411" t="s">
        <v>661</v>
      </c>
      <c r="T91" s="190"/>
      <c r="U91" s="22"/>
      <c r="V91" s="233" t="s">
        <v>848</v>
      </c>
      <c r="W91" s="239"/>
      <c r="X91" s="403"/>
      <c r="Y91" s="258"/>
    </row>
    <row r="92" spans="1:25" hidden="1" x14ac:dyDescent="0.3">
      <c r="A92" s="47">
        <f>IF(B92="","",SUBTOTAL(3,$B$3:B92)-1)</f>
        <v>3</v>
      </c>
      <c r="B92" s="39" t="s">
        <v>693</v>
      </c>
      <c r="C92" s="24" t="s">
        <v>105</v>
      </c>
      <c r="D92" s="163"/>
      <c r="E92" s="46">
        <f>($AA$2-O92)*$AB$2+Q92</f>
        <v>0</v>
      </c>
      <c r="F92" s="21">
        <v>11</v>
      </c>
      <c r="G92" s="175"/>
      <c r="H92" s="405" t="s">
        <v>635</v>
      </c>
      <c r="I92" s="185"/>
      <c r="J92" s="67"/>
      <c r="K92" s="194"/>
      <c r="L92" s="67"/>
      <c r="M92" s="67"/>
      <c r="N92" s="67"/>
      <c r="O92" s="73"/>
      <c r="P92" s="237"/>
      <c r="Q92" s="255"/>
      <c r="R92" s="175"/>
      <c r="S92" s="411" t="s">
        <v>2</v>
      </c>
      <c r="T92" s="190"/>
      <c r="U92" s="22"/>
      <c r="V92" s="233"/>
      <c r="W92" s="239"/>
      <c r="X92" s="403"/>
      <c r="Y92" s="258"/>
    </row>
    <row r="93" spans="1:25" hidden="1" x14ac:dyDescent="0.3">
      <c r="A93" s="47">
        <f>IF(B93="","",SUBTOTAL(3,$B$3:B93)-1)</f>
        <v>3</v>
      </c>
      <c r="B93" s="269" t="s">
        <v>1280</v>
      </c>
      <c r="C93" s="269" t="s">
        <v>105</v>
      </c>
      <c r="D93" s="269">
        <v>388415468</v>
      </c>
      <c r="E93" s="46" t="s">
        <v>1214</v>
      </c>
      <c r="F93" s="372">
        <v>3</v>
      </c>
      <c r="G93" s="175" t="s">
        <v>826</v>
      </c>
      <c r="H93" s="405"/>
      <c r="I93" s="185"/>
      <c r="J93" s="71"/>
      <c r="K93" s="194"/>
      <c r="L93" s="67"/>
      <c r="M93" s="67"/>
      <c r="N93" s="67"/>
      <c r="O93" s="73"/>
      <c r="P93" s="237"/>
      <c r="Q93" s="255"/>
      <c r="R93" s="175" t="s">
        <v>1</v>
      </c>
      <c r="S93" s="411"/>
      <c r="T93" s="190"/>
      <c r="U93" s="22"/>
      <c r="V93" s="233"/>
      <c r="W93" s="239"/>
      <c r="X93" s="403"/>
      <c r="Y93" s="323" t="s">
        <v>1024</v>
      </c>
    </row>
    <row r="94" spans="1:25" hidden="1" x14ac:dyDescent="0.3">
      <c r="A94" s="47">
        <f>IF(B94="","",SUBTOTAL(3,$B$3:B94)-1)</f>
        <v>3</v>
      </c>
      <c r="B94" s="143" t="s">
        <v>1175</v>
      </c>
      <c r="C94" s="143" t="s">
        <v>105</v>
      </c>
      <c r="D94" s="143"/>
      <c r="E94" s="46"/>
      <c r="F94" s="22">
        <v>5</v>
      </c>
      <c r="G94" s="176"/>
      <c r="H94" s="407"/>
      <c r="I94" s="189" t="s">
        <v>634</v>
      </c>
      <c r="J94" s="142"/>
      <c r="K94" s="196"/>
      <c r="L94" s="67"/>
      <c r="M94" s="67"/>
      <c r="N94" s="67"/>
      <c r="O94" s="73"/>
      <c r="P94" s="237"/>
      <c r="Q94" s="255"/>
      <c r="R94" s="175"/>
      <c r="S94" s="411"/>
      <c r="T94" s="190" t="s">
        <v>0</v>
      </c>
      <c r="U94" s="22"/>
      <c r="V94" s="233"/>
      <c r="W94" s="239"/>
      <c r="X94" s="403"/>
      <c r="Y94" s="258"/>
    </row>
    <row r="95" spans="1:25" hidden="1" x14ac:dyDescent="0.3">
      <c r="A95" s="47">
        <f>IF(B95="","",SUBTOTAL(3,$B$3:B95)-1)</f>
        <v>3</v>
      </c>
      <c r="B95" s="26" t="s">
        <v>548</v>
      </c>
      <c r="C95" s="26" t="s">
        <v>12</v>
      </c>
      <c r="D95" s="26">
        <v>937151547</v>
      </c>
      <c r="E95" s="46"/>
      <c r="F95" s="22">
        <v>2</v>
      </c>
      <c r="G95" s="175"/>
      <c r="H95" s="405" t="s">
        <v>860</v>
      </c>
      <c r="I95" s="185" t="s">
        <v>860</v>
      </c>
      <c r="J95" s="67"/>
      <c r="K95" s="194" t="s">
        <v>721</v>
      </c>
      <c r="L95" s="180"/>
      <c r="M95" s="180"/>
      <c r="N95" s="180"/>
      <c r="O95" s="181"/>
      <c r="P95" s="237"/>
      <c r="Q95" s="255"/>
      <c r="R95" s="175"/>
      <c r="S95" s="411"/>
      <c r="T95" s="190" t="s">
        <v>1</v>
      </c>
      <c r="U95" s="22"/>
      <c r="V95" s="233"/>
      <c r="W95" s="239"/>
      <c r="X95" s="403"/>
      <c r="Y95" s="258"/>
    </row>
    <row r="96" spans="1:25" hidden="1" x14ac:dyDescent="0.3">
      <c r="A96" s="47">
        <f>IF(B96="","",SUBTOTAL(3,$B$3:B96)-1)</f>
        <v>3</v>
      </c>
      <c r="B96" s="24" t="s">
        <v>294</v>
      </c>
      <c r="C96" s="24" t="s">
        <v>12</v>
      </c>
      <c r="D96" s="24">
        <v>975282636</v>
      </c>
      <c r="E96" s="46">
        <f>($AA$2-O96)*$AB$2+Q96</f>
        <v>0</v>
      </c>
      <c r="F96" s="22">
        <v>10</v>
      </c>
      <c r="G96" s="175" t="s">
        <v>415</v>
      </c>
      <c r="H96" s="405" t="s">
        <v>635</v>
      </c>
      <c r="I96" s="185"/>
      <c r="J96" s="71"/>
      <c r="K96" s="194"/>
      <c r="L96" s="180"/>
      <c r="M96" s="180"/>
      <c r="N96" s="180"/>
      <c r="O96" s="181"/>
      <c r="P96" s="237"/>
      <c r="Q96" s="255"/>
      <c r="R96" s="175" t="s">
        <v>0</v>
      </c>
      <c r="S96" s="414" t="s">
        <v>1</v>
      </c>
      <c r="T96" s="190"/>
      <c r="U96" s="22"/>
      <c r="V96" s="233"/>
      <c r="W96" s="239"/>
      <c r="X96" s="403"/>
      <c r="Y96" s="258"/>
    </row>
    <row r="97" spans="1:25" hidden="1" x14ac:dyDescent="0.3">
      <c r="A97" s="47">
        <f>IF(B97="","",SUBTOTAL(3,$B$3:B97)-1)</f>
        <v>3</v>
      </c>
      <c r="B97" s="24" t="s">
        <v>1179</v>
      </c>
      <c r="C97" s="25" t="s">
        <v>12</v>
      </c>
      <c r="D97" s="24"/>
      <c r="E97" s="46"/>
      <c r="F97" s="22">
        <v>10</v>
      </c>
      <c r="G97" s="175"/>
      <c r="H97" s="405"/>
      <c r="I97" s="185" t="s">
        <v>634</v>
      </c>
      <c r="J97" s="71"/>
      <c r="K97" s="194"/>
      <c r="L97" s="180"/>
      <c r="M97" s="180"/>
      <c r="N97" s="180"/>
      <c r="O97" s="181"/>
      <c r="P97" s="237"/>
      <c r="Q97" s="255"/>
      <c r="R97" s="175"/>
      <c r="S97" s="414"/>
      <c r="T97" s="190"/>
      <c r="U97" s="22"/>
      <c r="V97" s="233"/>
      <c r="W97" s="239"/>
      <c r="X97" s="403"/>
      <c r="Y97" s="258"/>
    </row>
    <row r="98" spans="1:25" hidden="1" x14ac:dyDescent="0.3">
      <c r="A98" s="47">
        <f>IF(B98="","",SUBTOTAL(3,$B$3:B98)-1)</f>
        <v>3</v>
      </c>
      <c r="B98" s="25" t="s">
        <v>305</v>
      </c>
      <c r="C98" s="25" t="s">
        <v>12</v>
      </c>
      <c r="D98" s="163"/>
      <c r="E98" s="46">
        <f>($AA$2-O98)*$AB$2+Q98</f>
        <v>0</v>
      </c>
      <c r="F98" s="22">
        <v>10</v>
      </c>
      <c r="G98" s="175"/>
      <c r="H98" s="405" t="s">
        <v>635</v>
      </c>
      <c r="I98" s="185"/>
      <c r="J98" s="71"/>
      <c r="K98" s="194"/>
      <c r="L98" s="67"/>
      <c r="M98" s="67"/>
      <c r="N98" s="67"/>
      <c r="O98" s="73"/>
      <c r="P98" s="237"/>
      <c r="Q98" s="255"/>
      <c r="R98" s="175"/>
      <c r="S98" s="411" t="s">
        <v>1</v>
      </c>
      <c r="T98" s="190"/>
      <c r="U98" s="22"/>
      <c r="V98" s="233"/>
      <c r="W98" s="239"/>
      <c r="X98" s="403"/>
      <c r="Y98" s="258"/>
    </row>
    <row r="99" spans="1:25" hidden="1" x14ac:dyDescent="0.3">
      <c r="A99" s="47">
        <f>IF(B99="","",SUBTOTAL(3,$B$3:B99)-1)</f>
        <v>3</v>
      </c>
      <c r="B99" s="24" t="s">
        <v>657</v>
      </c>
      <c r="C99" s="24" t="s">
        <v>12</v>
      </c>
      <c r="D99" s="163"/>
      <c r="E99" s="46">
        <f>($AA$2-O99)*$AB$2+Q99</f>
        <v>0</v>
      </c>
      <c r="F99" s="22">
        <v>11</v>
      </c>
      <c r="G99" s="175"/>
      <c r="H99" s="405" t="s">
        <v>635</v>
      </c>
      <c r="I99" s="185"/>
      <c r="J99" s="67"/>
      <c r="K99" s="194"/>
      <c r="L99" s="67"/>
      <c r="M99" s="67"/>
      <c r="N99" s="67"/>
      <c r="O99" s="73"/>
      <c r="P99" s="237"/>
      <c r="Q99" s="255"/>
      <c r="R99" s="175"/>
      <c r="S99" s="411" t="s">
        <v>0</v>
      </c>
      <c r="T99" s="190"/>
      <c r="U99" s="22"/>
      <c r="V99" s="233"/>
      <c r="W99" s="239"/>
      <c r="X99" s="403"/>
      <c r="Y99" s="258"/>
    </row>
    <row r="100" spans="1:25" hidden="1" x14ac:dyDescent="0.3">
      <c r="A100" s="47">
        <f>IF(B100="","",SUBTOTAL(3,$B$3:B100)-1)</f>
        <v>3</v>
      </c>
      <c r="B100" s="24" t="s">
        <v>664</v>
      </c>
      <c r="C100" s="24" t="s">
        <v>12</v>
      </c>
      <c r="D100" s="163"/>
      <c r="E100" s="46">
        <f>($AA$2-O100)*$AB$2+Q100</f>
        <v>0</v>
      </c>
      <c r="F100" s="22">
        <v>11</v>
      </c>
      <c r="G100" s="175"/>
      <c r="H100" s="405" t="s">
        <v>635</v>
      </c>
      <c r="I100" s="186"/>
      <c r="J100" s="68"/>
      <c r="K100" s="195"/>
      <c r="L100" s="68"/>
      <c r="M100" s="68"/>
      <c r="N100" s="68"/>
      <c r="O100" s="73"/>
      <c r="P100" s="237"/>
      <c r="Q100" s="255"/>
      <c r="R100" s="175"/>
      <c r="S100" s="411" t="s">
        <v>1</v>
      </c>
      <c r="T100" s="190"/>
      <c r="U100" s="22"/>
      <c r="V100" s="233"/>
      <c r="W100" s="239"/>
      <c r="X100" s="403"/>
      <c r="Y100" s="258"/>
    </row>
    <row r="101" spans="1:25" hidden="1" x14ac:dyDescent="0.3">
      <c r="A101" s="47">
        <f>IF(B101="","",SUBTOTAL(3,$B$3:B101)-1)</f>
        <v>3</v>
      </c>
      <c r="B101" s="24" t="s">
        <v>370</v>
      </c>
      <c r="C101" s="24" t="s">
        <v>12</v>
      </c>
      <c r="D101" s="24"/>
      <c r="E101" s="46">
        <f>($AA$2-O101)*$AB$2+Q101</f>
        <v>0</v>
      </c>
      <c r="F101" s="22">
        <v>12</v>
      </c>
      <c r="G101" s="175" t="s">
        <v>660</v>
      </c>
      <c r="H101" s="405"/>
      <c r="I101" s="185"/>
      <c r="J101" s="67"/>
      <c r="K101" s="194"/>
      <c r="L101" s="67"/>
      <c r="M101" s="67"/>
      <c r="N101" s="67"/>
      <c r="O101" s="73"/>
      <c r="P101" s="237"/>
      <c r="Q101" s="255"/>
      <c r="R101" s="175" t="s">
        <v>1</v>
      </c>
      <c r="S101" s="411"/>
      <c r="T101" s="190"/>
      <c r="U101" s="22"/>
      <c r="V101" s="233"/>
      <c r="W101" s="239"/>
      <c r="X101" s="403"/>
      <c r="Y101" s="258"/>
    </row>
    <row r="102" spans="1:25" hidden="1" x14ac:dyDescent="0.3">
      <c r="A102" s="47">
        <f>IF(B102="","",SUBTOTAL(3,$B$3:B102)-1)</f>
        <v>3</v>
      </c>
      <c r="B102" s="143" t="s">
        <v>256</v>
      </c>
      <c r="C102" s="143" t="s">
        <v>12</v>
      </c>
      <c r="D102" s="143"/>
      <c r="E102" s="46"/>
      <c r="F102" s="21">
        <v>10</v>
      </c>
      <c r="G102" s="176" t="s">
        <v>415</v>
      </c>
      <c r="H102" s="406" t="s">
        <v>635</v>
      </c>
      <c r="I102" s="188" t="s">
        <v>634</v>
      </c>
      <c r="J102" s="142"/>
      <c r="K102" s="196"/>
      <c r="L102" s="67"/>
      <c r="M102" s="67"/>
      <c r="N102" s="67"/>
      <c r="O102" s="73"/>
      <c r="P102" s="237"/>
      <c r="Q102" s="255"/>
      <c r="R102" s="175" t="s">
        <v>0</v>
      </c>
      <c r="S102" s="411" t="s">
        <v>0</v>
      </c>
      <c r="T102" s="190"/>
      <c r="U102" s="22"/>
      <c r="V102" s="233"/>
      <c r="W102" s="239"/>
      <c r="X102" s="403"/>
      <c r="Y102" s="258"/>
    </row>
    <row r="103" spans="1:25" hidden="1" x14ac:dyDescent="0.3">
      <c r="A103" s="47">
        <f>IF(B103="","",SUBTOTAL(3,$B$3:B103)-1)</f>
        <v>3</v>
      </c>
      <c r="B103" s="143" t="s">
        <v>642</v>
      </c>
      <c r="C103" s="146" t="s">
        <v>12</v>
      </c>
      <c r="D103" s="143"/>
      <c r="E103" s="46"/>
      <c r="F103" s="142">
        <v>3</v>
      </c>
      <c r="G103" s="176"/>
      <c r="H103" s="407" t="s">
        <v>634</v>
      </c>
      <c r="I103" s="189"/>
      <c r="J103" s="67"/>
      <c r="K103" s="194"/>
      <c r="L103" s="180"/>
      <c r="M103" s="180"/>
      <c r="N103" s="180"/>
      <c r="O103" s="181"/>
      <c r="P103" s="237"/>
      <c r="Q103" s="255"/>
      <c r="R103" s="175"/>
      <c r="S103" s="411"/>
      <c r="T103" s="190"/>
      <c r="U103" s="22"/>
      <c r="V103" s="233"/>
      <c r="W103" s="239"/>
      <c r="X103" s="403"/>
      <c r="Y103" s="258"/>
    </row>
    <row r="104" spans="1:25" hidden="1" x14ac:dyDescent="0.3">
      <c r="A104" s="47">
        <f>IF(B104="","",SUBTOTAL(3,$B$3:B104)-1)</f>
        <v>3</v>
      </c>
      <c r="B104" s="24" t="s">
        <v>142</v>
      </c>
      <c r="C104" s="24" t="s">
        <v>12</v>
      </c>
      <c r="D104" s="163"/>
      <c r="E104" s="46"/>
      <c r="F104" s="22">
        <v>5</v>
      </c>
      <c r="G104" s="176" t="s">
        <v>660</v>
      </c>
      <c r="H104" s="408"/>
      <c r="I104" s="186"/>
      <c r="J104" s="68"/>
      <c r="K104" s="195"/>
      <c r="L104" s="68"/>
      <c r="M104" s="68"/>
      <c r="N104" s="68"/>
      <c r="O104" s="73"/>
      <c r="P104" s="237" t="s">
        <v>1</v>
      </c>
      <c r="Q104" s="255"/>
      <c r="R104" s="175" t="s">
        <v>0</v>
      </c>
      <c r="S104" s="411"/>
      <c r="T104" s="190"/>
      <c r="U104" s="22"/>
      <c r="V104" s="233"/>
      <c r="W104" s="239" t="s">
        <v>0</v>
      </c>
      <c r="X104" s="403"/>
      <c r="Y104" s="258"/>
    </row>
    <row r="105" spans="1:25" hidden="1" x14ac:dyDescent="0.3">
      <c r="A105" s="47">
        <f>IF(B105="","",SUBTOTAL(3,$B$3:B105)-1)</f>
        <v>3</v>
      </c>
      <c r="B105" s="27" t="s">
        <v>150</v>
      </c>
      <c r="C105" s="27" t="s">
        <v>12</v>
      </c>
      <c r="D105" s="27">
        <v>776882619</v>
      </c>
      <c r="E105" s="46">
        <f>($AA$2-O105)*$AB$2+Q105</f>
        <v>0</v>
      </c>
      <c r="F105" s="142">
        <v>6</v>
      </c>
      <c r="G105" s="175" t="s">
        <v>660</v>
      </c>
      <c r="H105" s="405" t="s">
        <v>634</v>
      </c>
      <c r="I105" s="185"/>
      <c r="J105" s="67"/>
      <c r="K105" s="194"/>
      <c r="L105" s="67"/>
      <c r="M105" s="67"/>
      <c r="N105" s="67"/>
      <c r="O105" s="73"/>
      <c r="P105" s="237"/>
      <c r="Q105" s="255"/>
      <c r="R105" s="175" t="s">
        <v>1</v>
      </c>
      <c r="S105" s="411"/>
      <c r="T105" s="190"/>
      <c r="U105" s="22"/>
      <c r="V105" s="233"/>
      <c r="W105" s="239"/>
      <c r="X105" s="403"/>
      <c r="Y105" s="258"/>
    </row>
    <row r="106" spans="1:25" hidden="1" x14ac:dyDescent="0.3">
      <c r="A106" s="47">
        <f>IF(B106="","",SUBTOTAL(3,$B$3:B106)-1)</f>
        <v>3</v>
      </c>
      <c r="B106" s="26" t="s">
        <v>155</v>
      </c>
      <c r="C106" s="26" t="s">
        <v>12</v>
      </c>
      <c r="D106" s="26">
        <v>77660330</v>
      </c>
      <c r="E106" s="46">
        <f>($AA$2-O106)*$AB$2+Q106</f>
        <v>0</v>
      </c>
      <c r="F106" s="369">
        <v>6</v>
      </c>
      <c r="G106" s="175"/>
      <c r="H106" s="405"/>
      <c r="I106" s="185"/>
      <c r="J106" s="67"/>
      <c r="K106" s="194"/>
      <c r="L106" s="67"/>
      <c r="M106" s="67"/>
      <c r="N106" s="67"/>
      <c r="O106" s="73"/>
      <c r="P106" s="237"/>
      <c r="Q106" s="255"/>
      <c r="R106" s="175"/>
      <c r="S106" s="411"/>
      <c r="T106" s="190"/>
      <c r="U106" s="22"/>
      <c r="V106" s="233"/>
      <c r="W106" s="239"/>
      <c r="X106" s="403"/>
      <c r="Y106" s="258"/>
    </row>
    <row r="107" spans="1:25" hidden="1" x14ac:dyDescent="0.3">
      <c r="A107" s="47">
        <f>IF(B107="","",SUBTOTAL(3,$B$3:B107)-1)</f>
        <v>3</v>
      </c>
      <c r="B107" s="24" t="s">
        <v>1151</v>
      </c>
      <c r="C107" s="24" t="s">
        <v>12</v>
      </c>
      <c r="D107" s="24" t="s">
        <v>1152</v>
      </c>
      <c r="E107" s="46"/>
      <c r="F107" s="142">
        <v>6</v>
      </c>
      <c r="G107" s="175" t="s">
        <v>660</v>
      </c>
      <c r="H107" s="405"/>
      <c r="I107" s="185"/>
      <c r="J107" s="67"/>
      <c r="K107" s="194"/>
      <c r="L107" s="67"/>
      <c r="M107" s="67"/>
      <c r="N107" s="67"/>
      <c r="O107" s="73"/>
      <c r="P107" s="237"/>
      <c r="Q107" s="255"/>
      <c r="R107" s="175" t="s">
        <v>1</v>
      </c>
      <c r="S107" s="411"/>
      <c r="T107" s="190"/>
      <c r="U107" s="22"/>
      <c r="V107" s="233"/>
      <c r="W107" s="239"/>
      <c r="X107" s="403"/>
      <c r="Y107" s="258"/>
    </row>
    <row r="108" spans="1:25" hidden="1" x14ac:dyDescent="0.3">
      <c r="A108" s="47">
        <f>IF(B108="","",SUBTOTAL(3,$B$3:B108)-1)</f>
        <v>3</v>
      </c>
      <c r="B108" s="269" t="s">
        <v>1244</v>
      </c>
      <c r="C108" s="269" t="s">
        <v>12</v>
      </c>
      <c r="D108" s="301">
        <v>939291545</v>
      </c>
      <c r="E108" s="46" t="s">
        <v>1214</v>
      </c>
      <c r="F108" s="22">
        <v>6</v>
      </c>
      <c r="G108" s="175" t="s">
        <v>1332</v>
      </c>
      <c r="H108" s="405"/>
      <c r="I108" s="185"/>
      <c r="J108" s="71"/>
      <c r="K108" s="194"/>
      <c r="L108" s="67"/>
      <c r="M108" s="67"/>
      <c r="N108" s="67"/>
      <c r="O108" s="73"/>
      <c r="P108" s="237"/>
      <c r="Q108" s="255"/>
      <c r="R108" s="318" t="s">
        <v>2</v>
      </c>
      <c r="S108" s="408" t="s">
        <v>0</v>
      </c>
      <c r="T108" s="190"/>
      <c r="U108" s="22"/>
      <c r="V108" s="233"/>
      <c r="W108" s="239"/>
      <c r="X108" s="403"/>
      <c r="Y108" s="258"/>
    </row>
    <row r="109" spans="1:25" hidden="1" x14ac:dyDescent="0.3">
      <c r="A109" s="47">
        <f>IF(B109="","",SUBTOTAL(3,$B$3:B109)-1)</f>
        <v>3</v>
      </c>
      <c r="B109" s="8" t="s">
        <v>150</v>
      </c>
      <c r="C109" s="8" t="s">
        <v>12</v>
      </c>
      <c r="D109" s="7">
        <v>776882619</v>
      </c>
      <c r="E109" s="46" t="s">
        <v>1214</v>
      </c>
      <c r="F109" s="22">
        <v>6</v>
      </c>
      <c r="G109" s="175" t="s">
        <v>415</v>
      </c>
      <c r="H109" s="405"/>
      <c r="I109" s="185"/>
      <c r="J109" s="71"/>
      <c r="K109" s="194"/>
      <c r="L109" s="67"/>
      <c r="M109" s="67"/>
      <c r="N109" s="67"/>
      <c r="O109" s="73"/>
      <c r="P109" s="237"/>
      <c r="Q109" s="255"/>
      <c r="R109" s="175" t="s">
        <v>848</v>
      </c>
      <c r="S109" s="408">
        <v>6</v>
      </c>
      <c r="T109" s="190"/>
      <c r="U109" s="22"/>
      <c r="V109" s="233"/>
      <c r="W109" s="239"/>
      <c r="X109" s="403"/>
      <c r="Y109" s="258"/>
    </row>
    <row r="110" spans="1:25" hidden="1" x14ac:dyDescent="0.3">
      <c r="A110" s="47">
        <f>IF(B110="","",SUBTOTAL(3,$B$3:B110)-1)</f>
        <v>3</v>
      </c>
      <c r="B110" s="143" t="s">
        <v>816</v>
      </c>
      <c r="C110" s="143" t="s">
        <v>12</v>
      </c>
      <c r="D110" s="143">
        <v>912128972</v>
      </c>
      <c r="E110" s="46"/>
      <c r="F110" s="369">
        <v>7</v>
      </c>
      <c r="G110" s="175" t="s">
        <v>415</v>
      </c>
      <c r="H110" s="405" t="s">
        <v>635</v>
      </c>
      <c r="I110" s="188" t="s">
        <v>661</v>
      </c>
      <c r="J110" s="142"/>
      <c r="K110" s="196" t="s">
        <v>721</v>
      </c>
      <c r="L110" s="67"/>
      <c r="M110" s="67"/>
      <c r="N110" s="67"/>
      <c r="O110" s="73"/>
      <c r="P110" s="237"/>
      <c r="Q110" s="255"/>
      <c r="R110" s="175" t="s">
        <v>1</v>
      </c>
      <c r="S110" s="411" t="s">
        <v>2</v>
      </c>
      <c r="T110" s="190" t="s">
        <v>1</v>
      </c>
      <c r="U110" s="22"/>
      <c r="V110" s="233"/>
      <c r="W110" s="239"/>
      <c r="X110" s="403"/>
      <c r="Y110" s="258"/>
    </row>
    <row r="111" spans="1:25" hidden="1" x14ac:dyDescent="0.3">
      <c r="A111" s="47">
        <f>IF(B111="","",SUBTOTAL(3,$B$3:B111)-1)</f>
        <v>3</v>
      </c>
      <c r="B111" s="25" t="s">
        <v>536</v>
      </c>
      <c r="C111" s="25" t="s">
        <v>12</v>
      </c>
      <c r="D111" s="25">
        <v>776582707</v>
      </c>
      <c r="E111" s="46">
        <f>($AA$2-O111)*$AB$2+Q111</f>
        <v>0</v>
      </c>
      <c r="F111" s="22">
        <v>8</v>
      </c>
      <c r="G111" s="175" t="s">
        <v>415</v>
      </c>
      <c r="H111" s="405"/>
      <c r="I111" s="185" t="s">
        <v>634</v>
      </c>
      <c r="J111" s="67"/>
      <c r="K111" s="194"/>
      <c r="L111" s="180"/>
      <c r="M111" s="180"/>
      <c r="N111" s="180"/>
      <c r="O111" s="181"/>
      <c r="P111" s="237"/>
      <c r="Q111" s="255"/>
      <c r="R111" s="175" t="s">
        <v>0</v>
      </c>
      <c r="S111" s="411"/>
      <c r="T111" s="190" t="s">
        <v>0</v>
      </c>
      <c r="U111" s="22"/>
      <c r="V111" s="233"/>
      <c r="W111" s="239"/>
      <c r="X111" s="403"/>
      <c r="Y111" s="258"/>
    </row>
    <row r="112" spans="1:25" hidden="1" x14ac:dyDescent="0.3">
      <c r="A112" s="47">
        <f>IF(B112="","",SUBTOTAL(3,$B$3:B112)-1)</f>
        <v>3</v>
      </c>
      <c r="B112" s="24" t="s">
        <v>184</v>
      </c>
      <c r="C112" s="24" t="s">
        <v>12</v>
      </c>
      <c r="D112" s="24"/>
      <c r="E112" s="46">
        <f>($AA$2-O112)*$AB$2+Q112</f>
        <v>0</v>
      </c>
      <c r="F112" s="22">
        <v>8</v>
      </c>
      <c r="G112" s="175"/>
      <c r="H112" s="405"/>
      <c r="I112" s="185"/>
      <c r="J112" s="67"/>
      <c r="K112" s="194"/>
      <c r="L112" s="67"/>
      <c r="M112" s="67"/>
      <c r="N112" s="67"/>
      <c r="O112" s="73"/>
      <c r="P112" s="237"/>
      <c r="Q112" s="255"/>
      <c r="R112" s="175"/>
      <c r="S112" s="411"/>
      <c r="T112" s="190"/>
      <c r="U112" s="22"/>
      <c r="V112" s="233"/>
      <c r="W112" s="239"/>
      <c r="X112" s="403"/>
      <c r="Y112" s="258"/>
    </row>
    <row r="113" spans="1:25" hidden="1" x14ac:dyDescent="0.3">
      <c r="A113" s="47">
        <f>IF(B113="","",SUBTOTAL(3,$B$3:B113)-1)</f>
        <v>3</v>
      </c>
      <c r="B113" s="24" t="s">
        <v>642</v>
      </c>
      <c r="C113" s="24" t="s">
        <v>12</v>
      </c>
      <c r="D113" s="24"/>
      <c r="E113" s="46">
        <f>($AA$2-O113)*$AB$2+Q113</f>
        <v>0</v>
      </c>
      <c r="F113" s="22">
        <v>8</v>
      </c>
      <c r="G113" s="175"/>
      <c r="H113" s="405" t="s">
        <v>635</v>
      </c>
      <c r="I113" s="185"/>
      <c r="J113" s="67"/>
      <c r="K113" s="194"/>
      <c r="L113" s="67"/>
      <c r="M113" s="67"/>
      <c r="N113" s="67"/>
      <c r="O113" s="73"/>
      <c r="P113" s="237"/>
      <c r="Q113" s="255"/>
      <c r="R113" s="175"/>
      <c r="S113" s="411" t="s">
        <v>1</v>
      </c>
      <c r="T113" s="190"/>
      <c r="U113" s="22"/>
      <c r="V113" s="233"/>
      <c r="W113" s="239"/>
      <c r="X113" s="403"/>
      <c r="Y113" s="258"/>
    </row>
    <row r="114" spans="1:25" hidden="1" x14ac:dyDescent="0.3">
      <c r="A114" s="47">
        <f>IF(B114="","",SUBTOTAL(3,$B$3:B114)-1)</f>
        <v>3</v>
      </c>
      <c r="B114" s="3" t="s">
        <v>370</v>
      </c>
      <c r="C114" s="26" t="s">
        <v>12</v>
      </c>
      <c r="D114" s="26"/>
      <c r="E114" s="46"/>
      <c r="F114" s="22">
        <v>8</v>
      </c>
      <c r="G114" s="175" t="s">
        <v>415</v>
      </c>
      <c r="H114" s="405" t="s">
        <v>660</v>
      </c>
      <c r="I114" s="185"/>
      <c r="J114" s="67"/>
      <c r="K114" s="194"/>
      <c r="L114" s="67"/>
      <c r="M114" s="67"/>
      <c r="N114" s="67"/>
      <c r="O114" s="73"/>
      <c r="P114" s="237"/>
      <c r="Q114" s="255"/>
      <c r="R114" s="175" t="s">
        <v>1</v>
      </c>
      <c r="S114" s="411" t="s">
        <v>0</v>
      </c>
      <c r="T114" s="190"/>
      <c r="U114" s="22"/>
      <c r="V114" s="233"/>
      <c r="W114" s="239"/>
      <c r="X114" s="403"/>
      <c r="Y114" s="258"/>
    </row>
    <row r="115" spans="1:25" hidden="1" x14ac:dyDescent="0.3">
      <c r="A115" s="47">
        <f>IF(B115="","",SUBTOTAL(3,$B$3:B115)-1)</f>
        <v>3</v>
      </c>
      <c r="B115" s="24" t="s">
        <v>195</v>
      </c>
      <c r="C115" s="24" t="s">
        <v>12</v>
      </c>
      <c r="D115" s="163"/>
      <c r="E115" s="46">
        <f>($AA$2-O115)*$AB$2+Q115</f>
        <v>0</v>
      </c>
      <c r="F115" s="21">
        <v>9</v>
      </c>
      <c r="G115" s="175" t="s">
        <v>415</v>
      </c>
      <c r="H115" s="409" t="s">
        <v>2</v>
      </c>
      <c r="I115" s="187"/>
      <c r="J115" s="67" t="s">
        <v>661</v>
      </c>
      <c r="K115" s="194"/>
      <c r="L115" s="180"/>
      <c r="M115" s="180"/>
      <c r="N115" s="180"/>
      <c r="O115" s="181"/>
      <c r="P115" s="237"/>
      <c r="Q115" s="255"/>
      <c r="R115" s="175" t="s">
        <v>848</v>
      </c>
      <c r="S115" s="411" t="s">
        <v>848</v>
      </c>
      <c r="T115" s="190"/>
      <c r="U115" s="22" t="s">
        <v>0</v>
      </c>
      <c r="V115" s="233"/>
      <c r="W115" s="239"/>
      <c r="X115" s="403"/>
      <c r="Y115" s="258"/>
    </row>
    <row r="116" spans="1:25" hidden="1" x14ac:dyDescent="0.3">
      <c r="A116" s="47">
        <f>IF(B116="","",SUBTOTAL(3,$B$3:B116)-1)</f>
        <v>3</v>
      </c>
      <c r="B116" s="24" t="s">
        <v>219</v>
      </c>
      <c r="C116" s="24" t="s">
        <v>12</v>
      </c>
      <c r="D116" s="163"/>
      <c r="E116" s="46">
        <f>($AA$2-O116)*$AB$2+Q116</f>
        <v>0</v>
      </c>
      <c r="F116" s="22">
        <v>9</v>
      </c>
      <c r="G116" s="175" t="s">
        <v>415</v>
      </c>
      <c r="H116" s="409"/>
      <c r="I116" s="187" t="s">
        <v>634</v>
      </c>
      <c r="J116" s="67"/>
      <c r="K116" s="194"/>
      <c r="L116" s="180"/>
      <c r="M116" s="180"/>
      <c r="N116" s="180"/>
      <c r="O116" s="181"/>
      <c r="P116" s="237"/>
      <c r="Q116" s="255"/>
      <c r="R116" s="175"/>
      <c r="S116" s="411"/>
      <c r="T116" s="190" t="s">
        <v>0</v>
      </c>
      <c r="U116" s="22"/>
      <c r="V116" s="233"/>
      <c r="W116" s="239"/>
      <c r="X116" s="403"/>
      <c r="Y116" s="258"/>
    </row>
    <row r="117" spans="1:25" hidden="1" x14ac:dyDescent="0.3">
      <c r="A117" s="47">
        <f>IF(B117="","",SUBTOTAL(3,$B$3:B117)-1)</f>
        <v>3</v>
      </c>
      <c r="B117" s="24" t="s">
        <v>592</v>
      </c>
      <c r="C117" s="24" t="s">
        <v>12</v>
      </c>
      <c r="D117" s="163"/>
      <c r="E117" s="46">
        <f>($AA$2-O117)*$AB$2+Q117</f>
        <v>0</v>
      </c>
      <c r="F117" s="22">
        <v>9</v>
      </c>
      <c r="G117" s="175" t="s">
        <v>415</v>
      </c>
      <c r="H117" s="409" t="s">
        <v>660</v>
      </c>
      <c r="I117" s="187" t="s">
        <v>661</v>
      </c>
      <c r="J117" s="67" t="s">
        <v>661</v>
      </c>
      <c r="K117" s="194"/>
      <c r="L117" s="180"/>
      <c r="M117" s="180"/>
      <c r="N117" s="180"/>
      <c r="O117" s="181"/>
      <c r="P117" s="237"/>
      <c r="Q117" s="255"/>
      <c r="R117" s="175" t="s">
        <v>848</v>
      </c>
      <c r="S117" s="411" t="s">
        <v>1</v>
      </c>
      <c r="T117" s="190" t="s">
        <v>1</v>
      </c>
      <c r="U117" s="22" t="s">
        <v>0</v>
      </c>
      <c r="V117" s="233"/>
      <c r="W117" s="239"/>
      <c r="X117" s="403"/>
      <c r="Y117" s="258"/>
    </row>
    <row r="118" spans="1:25" hidden="1" x14ac:dyDescent="0.3">
      <c r="A118" s="47">
        <f>IF(B118="","",SUBTOTAL(3,$B$3:B118)-1)</f>
        <v>3</v>
      </c>
      <c r="B118" s="25" t="s">
        <v>1122</v>
      </c>
      <c r="C118" s="25" t="s">
        <v>12</v>
      </c>
      <c r="D118" s="163"/>
      <c r="E118" s="46"/>
      <c r="F118" s="22">
        <v>9</v>
      </c>
      <c r="G118" s="175" t="s">
        <v>415</v>
      </c>
      <c r="H118" s="405"/>
      <c r="I118" s="185" t="s">
        <v>661</v>
      </c>
      <c r="J118" s="67"/>
      <c r="K118" s="194"/>
      <c r="L118" s="180"/>
      <c r="M118" s="180"/>
      <c r="N118" s="180"/>
      <c r="O118" s="181"/>
      <c r="P118" s="237"/>
      <c r="Q118" s="255"/>
      <c r="R118" s="175" t="s">
        <v>0</v>
      </c>
      <c r="S118" s="411"/>
      <c r="T118" s="190" t="s">
        <v>1</v>
      </c>
      <c r="U118" s="22"/>
      <c r="V118" s="233"/>
      <c r="W118" s="239"/>
      <c r="X118" s="403"/>
      <c r="Y118" s="258"/>
    </row>
    <row r="119" spans="1:25" hidden="1" x14ac:dyDescent="0.3">
      <c r="A119" s="47">
        <f>IF(B119="","",SUBTOTAL(3,$B$3:B119)-1)</f>
        <v>3</v>
      </c>
      <c r="B119" s="269" t="s">
        <v>1398</v>
      </c>
      <c r="C119" s="269" t="s">
        <v>12</v>
      </c>
      <c r="D119" s="269"/>
      <c r="E119" s="46" t="s">
        <v>1214</v>
      </c>
      <c r="F119" s="301">
        <v>2</v>
      </c>
      <c r="G119" s="175"/>
      <c r="H119" s="405"/>
      <c r="I119" s="185"/>
      <c r="J119" s="71"/>
      <c r="K119" s="194"/>
      <c r="L119" s="67"/>
      <c r="M119" s="67"/>
      <c r="N119" s="67"/>
      <c r="O119" s="73"/>
      <c r="P119" s="237"/>
      <c r="Q119" s="255"/>
      <c r="R119" s="175" t="s">
        <v>0</v>
      </c>
      <c r="S119" s="411"/>
      <c r="T119" s="190"/>
      <c r="U119" s="22"/>
      <c r="V119" s="233"/>
      <c r="W119" s="239"/>
      <c r="X119" s="403"/>
      <c r="Y119" s="323"/>
    </row>
    <row r="120" spans="1:25" hidden="1" x14ac:dyDescent="0.3">
      <c r="A120" s="47">
        <f>IF(B120="","",SUBTOTAL(3,$B$3:B120)-1)</f>
        <v>3</v>
      </c>
      <c r="B120" s="269" t="s">
        <v>1295</v>
      </c>
      <c r="C120" s="269" t="s">
        <v>1296</v>
      </c>
      <c r="D120" s="269">
        <v>374872564</v>
      </c>
      <c r="E120" s="46" t="s">
        <v>1214</v>
      </c>
      <c r="F120" s="371">
        <v>8</v>
      </c>
      <c r="G120" s="175" t="s">
        <v>415</v>
      </c>
      <c r="H120" s="405"/>
      <c r="I120" s="185"/>
      <c r="J120" s="71"/>
      <c r="K120" s="194"/>
      <c r="L120" s="67"/>
      <c r="M120" s="67"/>
      <c r="N120" s="67"/>
      <c r="O120" s="73"/>
      <c r="P120" s="237"/>
      <c r="Q120" s="255"/>
      <c r="R120" s="175" t="s">
        <v>2</v>
      </c>
      <c r="S120" s="411"/>
      <c r="T120" s="190"/>
      <c r="U120" s="22"/>
      <c r="V120" s="233"/>
      <c r="W120" s="239"/>
      <c r="X120" s="403"/>
      <c r="Y120" s="323" t="s">
        <v>1035</v>
      </c>
    </row>
    <row r="121" spans="1:25" hidden="1" x14ac:dyDescent="0.3">
      <c r="A121" s="47">
        <f>IF(B121="","",SUBTOTAL(3,$B$3:B121)-1)</f>
        <v>3</v>
      </c>
      <c r="B121" s="64" t="s">
        <v>963</v>
      </c>
      <c r="C121" s="25" t="s">
        <v>922</v>
      </c>
      <c r="D121" s="24"/>
      <c r="E121" s="46"/>
      <c r="F121" s="21">
        <v>10</v>
      </c>
      <c r="G121" s="175"/>
      <c r="H121" s="405" t="s">
        <v>660</v>
      </c>
      <c r="I121" s="185"/>
      <c r="J121" s="71"/>
      <c r="K121" s="194"/>
      <c r="L121" s="180"/>
      <c r="M121" s="180"/>
      <c r="N121" s="180"/>
      <c r="O121" s="181"/>
      <c r="P121" s="237"/>
      <c r="Q121" s="255"/>
      <c r="R121" s="175"/>
      <c r="S121" s="414"/>
      <c r="T121" s="190"/>
      <c r="U121" s="22"/>
      <c r="V121" s="233"/>
      <c r="W121" s="239"/>
      <c r="X121" s="403"/>
      <c r="Y121" s="258"/>
    </row>
    <row r="122" spans="1:25" hidden="1" x14ac:dyDescent="0.3">
      <c r="A122" s="47">
        <f>IF(B122="","",SUBTOTAL(3,$B$3:B122)-1)</f>
        <v>3</v>
      </c>
      <c r="B122" s="24" t="s">
        <v>251</v>
      </c>
      <c r="C122" s="24" t="s">
        <v>88</v>
      </c>
      <c r="D122" s="24">
        <v>342303155</v>
      </c>
      <c r="E122" s="46">
        <f>($AA$2-O122)*$AB$2+Q122</f>
        <v>0</v>
      </c>
      <c r="F122" s="21">
        <v>10</v>
      </c>
      <c r="G122" s="175" t="s">
        <v>415</v>
      </c>
      <c r="H122" s="405" t="s">
        <v>635</v>
      </c>
      <c r="I122" s="185"/>
      <c r="J122" s="71"/>
      <c r="K122" s="194"/>
      <c r="L122" s="180"/>
      <c r="M122" s="180"/>
      <c r="N122" s="180"/>
      <c r="O122" s="181"/>
      <c r="P122" s="237"/>
      <c r="Q122" s="255"/>
      <c r="R122" s="175" t="s">
        <v>2</v>
      </c>
      <c r="S122" s="414" t="s">
        <v>1</v>
      </c>
      <c r="T122" s="190"/>
      <c r="U122" s="22"/>
      <c r="V122" s="233"/>
      <c r="W122" s="239"/>
      <c r="X122" s="403"/>
      <c r="Y122" s="258"/>
    </row>
    <row r="123" spans="1:25" hidden="1" x14ac:dyDescent="0.3">
      <c r="A123" s="47">
        <f>IF(B123="","",SUBTOTAL(3,$B$3:B123)-1)</f>
        <v>3</v>
      </c>
      <c r="B123" s="24" t="s">
        <v>566</v>
      </c>
      <c r="C123" s="24" t="s">
        <v>88</v>
      </c>
      <c r="D123" s="24"/>
      <c r="E123" s="46">
        <f>($AA$2-O123)*$AB$2+Q123</f>
        <v>0</v>
      </c>
      <c r="F123" s="22">
        <v>11</v>
      </c>
      <c r="G123" s="175" t="s">
        <v>660</v>
      </c>
      <c r="H123" s="405" t="s">
        <v>635</v>
      </c>
      <c r="I123" s="185"/>
      <c r="J123" s="67"/>
      <c r="K123" s="194"/>
      <c r="L123" s="180"/>
      <c r="M123" s="180"/>
      <c r="N123" s="180"/>
      <c r="O123" s="181"/>
      <c r="P123" s="237"/>
      <c r="Q123" s="255"/>
      <c r="R123" s="175" t="s">
        <v>1</v>
      </c>
      <c r="S123" s="411" t="s">
        <v>1</v>
      </c>
      <c r="T123" s="190"/>
      <c r="U123" s="22"/>
      <c r="V123" s="233"/>
      <c r="W123" s="239"/>
      <c r="X123" s="403"/>
      <c r="Y123" s="258"/>
    </row>
    <row r="124" spans="1:25" hidden="1" x14ac:dyDescent="0.3">
      <c r="A124" s="47">
        <f>IF(B124="","",SUBTOTAL(3,$B$3:B124)-1)</f>
        <v>3</v>
      </c>
      <c r="B124" s="143" t="s">
        <v>148</v>
      </c>
      <c r="C124" s="143" t="s">
        <v>829</v>
      </c>
      <c r="D124" s="143">
        <v>377249647</v>
      </c>
      <c r="E124" s="46"/>
      <c r="F124" s="22">
        <v>10</v>
      </c>
      <c r="G124" s="176" t="s">
        <v>415</v>
      </c>
      <c r="H124" s="406"/>
      <c r="I124" s="188"/>
      <c r="J124" s="142"/>
      <c r="K124" s="196" t="s">
        <v>721</v>
      </c>
      <c r="L124" s="67"/>
      <c r="M124" s="67"/>
      <c r="N124" s="67"/>
      <c r="O124" s="73"/>
      <c r="P124" s="237"/>
      <c r="Q124" s="255"/>
      <c r="R124" s="175"/>
      <c r="S124" s="411"/>
      <c r="T124" s="190"/>
      <c r="U124" s="22"/>
      <c r="V124" s="233"/>
      <c r="W124" s="239"/>
      <c r="X124" s="403"/>
      <c r="Y124" s="258"/>
    </row>
    <row r="125" spans="1:25" hidden="1" x14ac:dyDescent="0.3">
      <c r="A125" s="47">
        <f>IF(B125="","",SUBTOTAL(3,$B$3:B125)-1)</f>
        <v>3</v>
      </c>
      <c r="B125" s="143" t="s">
        <v>1121</v>
      </c>
      <c r="C125" s="143" t="s">
        <v>829</v>
      </c>
      <c r="D125" s="143"/>
      <c r="E125" s="46"/>
      <c r="F125" s="22">
        <v>9</v>
      </c>
      <c r="G125" s="175" t="s">
        <v>415</v>
      </c>
      <c r="H125" s="406"/>
      <c r="I125" s="188"/>
      <c r="J125" s="142"/>
      <c r="K125" s="196"/>
      <c r="L125" s="67"/>
      <c r="M125" s="67"/>
      <c r="N125" s="67"/>
      <c r="O125" s="73"/>
      <c r="P125" s="237"/>
      <c r="Q125" s="255"/>
      <c r="R125" s="175" t="s">
        <v>1</v>
      </c>
      <c r="S125" s="411"/>
      <c r="T125" s="190"/>
      <c r="U125" s="22"/>
      <c r="V125" s="233"/>
      <c r="W125" s="239"/>
      <c r="X125" s="403"/>
      <c r="Y125" s="258"/>
    </row>
    <row r="126" spans="1:25" hidden="1" x14ac:dyDescent="0.3">
      <c r="A126" s="47">
        <f>IF(B126="","",SUBTOTAL(3,$B$3:B126)-1)</f>
        <v>3</v>
      </c>
      <c r="B126" s="17" t="s">
        <v>1064</v>
      </c>
      <c r="C126" s="24" t="s">
        <v>1065</v>
      </c>
      <c r="D126" s="163"/>
      <c r="E126" s="46"/>
      <c r="F126" s="22">
        <v>10</v>
      </c>
      <c r="G126" s="175"/>
      <c r="H126" s="405" t="s">
        <v>635</v>
      </c>
      <c r="I126" s="185"/>
      <c r="J126" s="67"/>
      <c r="K126" s="194"/>
      <c r="L126" s="67"/>
      <c r="M126" s="67"/>
      <c r="N126" s="67"/>
      <c r="O126" s="73"/>
      <c r="P126" s="237"/>
      <c r="Q126" s="255"/>
      <c r="R126" s="175"/>
      <c r="S126" s="411" t="s">
        <v>1</v>
      </c>
      <c r="T126" s="190"/>
      <c r="U126" s="22"/>
      <c r="V126" s="233"/>
      <c r="W126" s="239"/>
      <c r="X126" s="403"/>
      <c r="Y126" s="258"/>
    </row>
    <row r="127" spans="1:25" hidden="1" x14ac:dyDescent="0.3">
      <c r="A127" s="47">
        <f>IF(B127="","",SUBTOTAL(3,$B$3:B127)-1)</f>
        <v>3</v>
      </c>
      <c r="B127" s="25" t="s">
        <v>698</v>
      </c>
      <c r="C127" s="241" t="s">
        <v>699</v>
      </c>
      <c r="D127" s="163">
        <v>397742413</v>
      </c>
      <c r="E127" s="46">
        <f>($AA$2-O127)*$AB$2+Q127</f>
        <v>0</v>
      </c>
      <c r="F127" s="22">
        <v>11</v>
      </c>
      <c r="G127" s="175"/>
      <c r="H127" s="405" t="s">
        <v>1</v>
      </c>
      <c r="I127" s="185" t="s">
        <v>661</v>
      </c>
      <c r="J127" s="67"/>
      <c r="K127" s="194"/>
      <c r="L127" s="67"/>
      <c r="M127" s="67"/>
      <c r="N127" s="67"/>
      <c r="O127" s="73"/>
      <c r="P127" s="237"/>
      <c r="Q127" s="255"/>
      <c r="R127" s="175"/>
      <c r="S127" s="411" t="s">
        <v>0</v>
      </c>
      <c r="T127" s="190">
        <v>2</v>
      </c>
      <c r="U127" s="22"/>
      <c r="V127" s="233"/>
      <c r="W127" s="239"/>
      <c r="X127" s="403"/>
      <c r="Y127" s="258"/>
    </row>
    <row r="128" spans="1:25" hidden="1" x14ac:dyDescent="0.3">
      <c r="A128" s="47">
        <f>IF(B128="","",SUBTOTAL(3,$B$3:B128)-1)</f>
        <v>3</v>
      </c>
      <c r="B128" s="25" t="s">
        <v>598</v>
      </c>
      <c r="C128" s="25" t="s">
        <v>599</v>
      </c>
      <c r="D128" s="163"/>
      <c r="E128" s="46">
        <f>($AA$2-O128)*$AB$2+Q128</f>
        <v>0</v>
      </c>
      <c r="F128" s="22">
        <v>10</v>
      </c>
      <c r="G128" s="175" t="s">
        <v>415</v>
      </c>
      <c r="H128" s="405" t="s">
        <v>635</v>
      </c>
      <c r="I128" s="185" t="s">
        <v>661</v>
      </c>
      <c r="J128" s="71" t="s">
        <v>661</v>
      </c>
      <c r="K128" s="194"/>
      <c r="L128" s="180"/>
      <c r="M128" s="180"/>
      <c r="N128" s="180"/>
      <c r="O128" s="181"/>
      <c r="P128" s="237"/>
      <c r="Q128" s="255"/>
      <c r="R128" s="175" t="s">
        <v>848</v>
      </c>
      <c r="S128" s="411" t="s">
        <v>848</v>
      </c>
      <c r="T128" s="190" t="s">
        <v>0</v>
      </c>
      <c r="U128" s="22" t="s">
        <v>0</v>
      </c>
      <c r="V128" s="233"/>
      <c r="W128" s="239"/>
      <c r="X128" s="403"/>
      <c r="Y128" s="258"/>
    </row>
    <row r="129" spans="1:25" hidden="1" x14ac:dyDescent="0.3">
      <c r="A129" s="47">
        <f>IF(B129="","",SUBTOTAL(3,$B$3:B129)-1)</f>
        <v>3</v>
      </c>
      <c r="B129" s="143" t="s">
        <v>952</v>
      </c>
      <c r="C129" s="143" t="s">
        <v>949</v>
      </c>
      <c r="D129" s="143"/>
      <c r="E129" s="46"/>
      <c r="F129" s="142">
        <v>7</v>
      </c>
      <c r="G129" s="175" t="s">
        <v>415</v>
      </c>
      <c r="H129" s="405" t="s">
        <v>635</v>
      </c>
      <c r="I129" s="189"/>
      <c r="J129" s="142"/>
      <c r="K129" s="196"/>
      <c r="L129" s="67"/>
      <c r="M129" s="67"/>
      <c r="N129" s="67"/>
      <c r="O129" s="73"/>
      <c r="P129" s="237"/>
      <c r="Q129" s="255"/>
      <c r="R129" s="175" t="s">
        <v>848</v>
      </c>
      <c r="S129" s="411" t="s">
        <v>1</v>
      </c>
      <c r="T129" s="190"/>
      <c r="U129" s="22"/>
      <c r="V129" s="233"/>
      <c r="W129" s="239"/>
      <c r="X129" s="403"/>
      <c r="Y129" s="258"/>
    </row>
    <row r="130" spans="1:25" hidden="1" x14ac:dyDescent="0.3">
      <c r="A130" s="47">
        <f>IF(B130="","",SUBTOTAL(3,$B$3:B130)-1)</f>
        <v>3</v>
      </c>
      <c r="B130" s="24" t="s">
        <v>250</v>
      </c>
      <c r="C130" s="24" t="s">
        <v>87</v>
      </c>
      <c r="D130" s="24">
        <v>787864463</v>
      </c>
      <c r="E130" s="46">
        <f>($AA$2-O130)*$AB$2+Q130</f>
        <v>0</v>
      </c>
      <c r="F130" s="21">
        <v>10</v>
      </c>
      <c r="G130" s="175"/>
      <c r="H130" s="405"/>
      <c r="I130" s="185" t="s">
        <v>661</v>
      </c>
      <c r="J130" s="71"/>
      <c r="K130" s="194"/>
      <c r="L130" s="67"/>
      <c r="M130" s="67"/>
      <c r="N130" s="67"/>
      <c r="O130" s="73"/>
      <c r="P130" s="237"/>
      <c r="Q130" s="255"/>
      <c r="R130" s="175"/>
      <c r="S130" s="411"/>
      <c r="T130" s="190" t="s">
        <v>1</v>
      </c>
      <c r="U130" s="22"/>
      <c r="V130" s="233"/>
      <c r="W130" s="239"/>
      <c r="X130" s="403"/>
      <c r="Y130" s="258"/>
    </row>
    <row r="131" spans="1:25" hidden="1" x14ac:dyDescent="0.3">
      <c r="A131" s="47">
        <f>IF(B131="","",SUBTOTAL(3,$B$3:B131)-1)</f>
        <v>3</v>
      </c>
      <c r="B131" s="269" t="s">
        <v>1245</v>
      </c>
      <c r="C131" s="269" t="s">
        <v>1333</v>
      </c>
      <c r="D131" s="301">
        <v>908808948</v>
      </c>
      <c r="E131" s="46" t="s">
        <v>1214</v>
      </c>
      <c r="F131" s="22">
        <v>6</v>
      </c>
      <c r="G131" s="175" t="s">
        <v>415</v>
      </c>
      <c r="H131" s="405"/>
      <c r="I131" s="185"/>
      <c r="J131" s="71"/>
      <c r="K131" s="194"/>
      <c r="L131" s="67"/>
      <c r="M131" s="67"/>
      <c r="N131" s="67"/>
      <c r="O131" s="73"/>
      <c r="P131" s="237"/>
      <c r="Q131" s="255"/>
      <c r="R131" s="175" t="s">
        <v>848</v>
      </c>
      <c r="S131" s="408">
        <v>6</v>
      </c>
      <c r="T131" s="190"/>
      <c r="U131" s="22"/>
      <c r="V131" s="233"/>
      <c r="W131" s="239"/>
      <c r="X131" s="403"/>
      <c r="Y131" s="258"/>
    </row>
    <row r="132" spans="1:25" hidden="1" x14ac:dyDescent="0.3">
      <c r="A132" s="47">
        <f>IF(B132="","",SUBTOTAL(3,$B$3:B132)-1)</f>
        <v>3</v>
      </c>
      <c r="B132" s="25" t="s">
        <v>321</v>
      </c>
      <c r="C132" s="25" t="s">
        <v>111</v>
      </c>
      <c r="D132" s="163"/>
      <c r="E132" s="46">
        <f>($AA$2-O132)*$AB$2+Q132</f>
        <v>0</v>
      </c>
      <c r="F132" s="22">
        <v>11</v>
      </c>
      <c r="G132" s="175"/>
      <c r="H132" s="405" t="s">
        <v>1</v>
      </c>
      <c r="I132" s="185"/>
      <c r="J132" s="67"/>
      <c r="K132" s="194"/>
      <c r="L132" s="180"/>
      <c r="M132" s="180"/>
      <c r="N132" s="180"/>
      <c r="O132" s="181"/>
      <c r="P132" s="237"/>
      <c r="Q132" s="255"/>
      <c r="R132" s="175"/>
      <c r="S132" s="411" t="s">
        <v>0</v>
      </c>
      <c r="T132" s="190"/>
      <c r="U132" s="22"/>
      <c r="V132" s="233"/>
      <c r="W132" s="239"/>
      <c r="X132" s="403"/>
      <c r="Y132" s="258"/>
    </row>
    <row r="133" spans="1:25" hidden="1" x14ac:dyDescent="0.3">
      <c r="A133" s="47">
        <f>IF(B133="","",SUBTOTAL(3,$B$3:B133)-1)</f>
        <v>3</v>
      </c>
      <c r="B133" s="24" t="s">
        <v>358</v>
      </c>
      <c r="C133" s="24" t="s">
        <v>111</v>
      </c>
      <c r="D133" s="163"/>
      <c r="E133" s="46">
        <f>($AA$2-O133)*$AB$2+Q133</f>
        <v>0</v>
      </c>
      <c r="F133" s="22">
        <v>12</v>
      </c>
      <c r="G133" s="175"/>
      <c r="H133" s="405"/>
      <c r="I133" s="185"/>
      <c r="J133" s="67"/>
      <c r="K133" s="194"/>
      <c r="L133" s="67"/>
      <c r="M133" s="67"/>
      <c r="N133" s="67"/>
      <c r="O133" s="73"/>
      <c r="P133" s="237"/>
      <c r="Q133" s="255"/>
      <c r="R133" s="175" t="s">
        <v>0</v>
      </c>
      <c r="S133" s="411"/>
      <c r="T133" s="190"/>
      <c r="U133" s="22"/>
      <c r="V133" s="233"/>
      <c r="W133" s="239"/>
      <c r="X133" s="403"/>
      <c r="Y133" s="258"/>
    </row>
    <row r="134" spans="1:25" hidden="1" x14ac:dyDescent="0.3">
      <c r="A134" s="47">
        <f>IF(B134="","",SUBTOTAL(3,$B$3:B134)-1)</f>
        <v>3</v>
      </c>
      <c r="B134" s="26" t="s">
        <v>1141</v>
      </c>
      <c r="C134" s="26" t="s">
        <v>111</v>
      </c>
      <c r="D134" s="26"/>
      <c r="E134" s="46"/>
      <c r="F134" s="142">
        <v>4</v>
      </c>
      <c r="G134" s="175"/>
      <c r="H134" s="405"/>
      <c r="I134" s="185"/>
      <c r="J134" s="67"/>
      <c r="K134" s="194"/>
      <c r="L134" s="180"/>
      <c r="M134" s="180"/>
      <c r="N134" s="180"/>
      <c r="O134" s="181"/>
      <c r="P134" s="237" t="s">
        <v>1</v>
      </c>
      <c r="Q134" s="255"/>
      <c r="R134" s="175"/>
      <c r="S134" s="411"/>
      <c r="T134" s="190"/>
      <c r="U134" s="22"/>
      <c r="V134" s="233"/>
      <c r="W134" s="239"/>
      <c r="X134" s="403"/>
      <c r="Y134" s="258"/>
    </row>
    <row r="135" spans="1:25" hidden="1" x14ac:dyDescent="0.3">
      <c r="A135" s="47">
        <f>IF(B135="","",SUBTOTAL(3,$B$3:B135)-1)</f>
        <v>3</v>
      </c>
      <c r="B135" s="39" t="s">
        <v>261</v>
      </c>
      <c r="C135" s="24" t="s">
        <v>111</v>
      </c>
      <c r="D135" s="163"/>
      <c r="E135" s="46"/>
      <c r="F135" s="142">
        <v>7</v>
      </c>
      <c r="G135" s="176" t="s">
        <v>415</v>
      </c>
      <c r="H135" s="406"/>
      <c r="I135" s="185"/>
      <c r="J135" s="67"/>
      <c r="K135" s="194"/>
      <c r="L135" s="180"/>
      <c r="M135" s="180"/>
      <c r="N135" s="180"/>
      <c r="O135" s="181"/>
      <c r="P135" s="237"/>
      <c r="Q135" s="255"/>
      <c r="R135" s="175" t="s">
        <v>1</v>
      </c>
      <c r="S135" s="411"/>
      <c r="T135" s="190"/>
      <c r="U135" s="22"/>
      <c r="V135" s="233"/>
      <c r="W135" s="239"/>
      <c r="X135" s="403"/>
      <c r="Y135" s="258"/>
    </row>
    <row r="136" spans="1:25" hidden="1" x14ac:dyDescent="0.3">
      <c r="A136" s="47">
        <f>IF(B136="","",SUBTOTAL(3,$B$3:B136)-1)</f>
        <v>3</v>
      </c>
      <c r="B136" s="143" t="s">
        <v>27</v>
      </c>
      <c r="C136" s="143" t="s">
        <v>100</v>
      </c>
      <c r="D136" s="143">
        <v>837126005</v>
      </c>
      <c r="E136" s="46"/>
      <c r="F136" s="22">
        <v>2</v>
      </c>
      <c r="G136" s="176"/>
      <c r="H136" s="406"/>
      <c r="I136" s="188"/>
      <c r="J136" s="142"/>
      <c r="K136" s="196" t="s">
        <v>721</v>
      </c>
      <c r="L136" s="67"/>
      <c r="M136" s="67"/>
      <c r="N136" s="67"/>
      <c r="O136" s="73"/>
      <c r="P136" s="237"/>
      <c r="Q136" s="255"/>
      <c r="R136" s="175"/>
      <c r="S136" s="411"/>
      <c r="T136" s="190"/>
      <c r="U136" s="22"/>
      <c r="V136" s="233"/>
      <c r="W136" s="239"/>
      <c r="X136" s="403"/>
      <c r="Y136" s="258"/>
    </row>
    <row r="137" spans="1:25" hidden="1" x14ac:dyDescent="0.3">
      <c r="A137" s="47">
        <f>IF(B137="","",SUBTOTAL(3,$B$3:B137)-1)</f>
        <v>3</v>
      </c>
      <c r="B137" s="24" t="s">
        <v>305</v>
      </c>
      <c r="C137" s="24" t="s">
        <v>100</v>
      </c>
      <c r="D137" s="24"/>
      <c r="E137" s="46">
        <f>($AA$2-O137)*$AB$2+Q137</f>
        <v>0</v>
      </c>
      <c r="F137" s="22">
        <v>10</v>
      </c>
      <c r="G137" s="175"/>
      <c r="H137" s="405"/>
      <c r="I137" s="185"/>
      <c r="J137" s="71"/>
      <c r="K137" s="194"/>
      <c r="L137" s="67"/>
      <c r="M137" s="67"/>
      <c r="N137" s="67"/>
      <c r="O137" s="73"/>
      <c r="P137" s="237"/>
      <c r="Q137" s="255"/>
      <c r="R137" s="175"/>
      <c r="S137" s="411"/>
      <c r="T137" s="190"/>
      <c r="U137" s="22"/>
      <c r="V137" s="233"/>
      <c r="W137" s="239"/>
      <c r="X137" s="403"/>
      <c r="Y137" s="258"/>
    </row>
    <row r="138" spans="1:25" hidden="1" x14ac:dyDescent="0.3">
      <c r="A138" s="47">
        <f>IF(B138="","",SUBTOTAL(3,$B$3:B138)-1)</f>
        <v>3</v>
      </c>
      <c r="B138" s="39" t="s">
        <v>682</v>
      </c>
      <c r="C138" s="24" t="s">
        <v>132</v>
      </c>
      <c r="D138" s="163"/>
      <c r="E138" s="46">
        <f>($AA$2-O138)*$AB$2+Q138</f>
        <v>0</v>
      </c>
      <c r="F138" s="22">
        <v>11</v>
      </c>
      <c r="G138" s="175"/>
      <c r="H138" s="405" t="s">
        <v>635</v>
      </c>
      <c r="I138" s="185" t="s">
        <v>634</v>
      </c>
      <c r="J138" s="67"/>
      <c r="K138" s="194"/>
      <c r="L138" s="67"/>
      <c r="M138" s="67"/>
      <c r="N138" s="67"/>
      <c r="O138" s="73"/>
      <c r="P138" s="237"/>
      <c r="Q138" s="255"/>
      <c r="R138" s="175"/>
      <c r="S138" s="411" t="s">
        <v>2</v>
      </c>
      <c r="T138" s="190" t="s">
        <v>661</v>
      </c>
      <c r="U138" s="22"/>
      <c r="V138" s="233"/>
      <c r="W138" s="239"/>
      <c r="X138" s="403"/>
      <c r="Y138" s="258"/>
    </row>
    <row r="139" spans="1:25" hidden="1" x14ac:dyDescent="0.3">
      <c r="A139" s="47">
        <f>IF(B139="","",SUBTOTAL(3,$B$3:B139)-1)</f>
        <v>3</v>
      </c>
      <c r="B139" s="24" t="s">
        <v>256</v>
      </c>
      <c r="C139" s="24" t="s">
        <v>132</v>
      </c>
      <c r="D139" s="163"/>
      <c r="E139" s="46">
        <f>($AA$2-O139)*$AB$2+Q139</f>
        <v>0</v>
      </c>
      <c r="F139" s="22" t="s">
        <v>1213</v>
      </c>
      <c r="G139" s="175"/>
      <c r="H139" s="405"/>
      <c r="I139" s="185"/>
      <c r="J139" s="67"/>
      <c r="K139" s="194"/>
      <c r="L139" s="67"/>
      <c r="M139" s="67"/>
      <c r="N139" s="67"/>
      <c r="O139" s="73"/>
      <c r="P139" s="237"/>
      <c r="Q139" s="255"/>
      <c r="R139" s="175"/>
      <c r="S139" s="411"/>
      <c r="T139" s="190"/>
      <c r="U139" s="22"/>
      <c r="V139" s="233"/>
      <c r="W139" s="239"/>
      <c r="X139" s="403"/>
      <c r="Y139" s="258"/>
    </row>
    <row r="140" spans="1:25" hidden="1" x14ac:dyDescent="0.3">
      <c r="A140" s="47">
        <f>IF(B140="","",SUBTOTAL(3,$B$3:B140)-1)</f>
        <v>3</v>
      </c>
      <c r="B140" s="24" t="s">
        <v>178</v>
      </c>
      <c r="C140" s="24" t="s">
        <v>1199</v>
      </c>
      <c r="D140" s="24"/>
      <c r="E140" s="46"/>
      <c r="F140" s="22">
        <v>10</v>
      </c>
      <c r="G140" s="175"/>
      <c r="H140" s="405" t="s">
        <v>635</v>
      </c>
      <c r="I140" s="185"/>
      <c r="J140" s="67"/>
      <c r="K140" s="194"/>
      <c r="L140" s="180"/>
      <c r="M140" s="180"/>
      <c r="N140" s="180"/>
      <c r="O140" s="181"/>
      <c r="P140" s="237"/>
      <c r="Q140" s="255"/>
      <c r="R140" s="175"/>
      <c r="S140" s="411" t="s">
        <v>1</v>
      </c>
      <c r="T140" s="190"/>
      <c r="U140" s="22"/>
      <c r="V140" s="233"/>
      <c r="W140" s="239"/>
      <c r="X140" s="403"/>
      <c r="Y140" s="258"/>
    </row>
    <row r="141" spans="1:25" hidden="1" x14ac:dyDescent="0.3">
      <c r="A141" s="47">
        <f>IF(B141="","",SUBTOTAL(3,$B$3:B141)-1)</f>
        <v>3</v>
      </c>
      <c r="B141" s="265" t="s">
        <v>1350</v>
      </c>
      <c r="C141" s="265" t="s">
        <v>1188</v>
      </c>
      <c r="D141" s="265">
        <v>907488596</v>
      </c>
      <c r="E141" s="46" t="s">
        <v>1214</v>
      </c>
      <c r="F141" s="300">
        <v>3</v>
      </c>
      <c r="G141" s="175" t="s">
        <v>660</v>
      </c>
      <c r="H141" s="405"/>
      <c r="I141" s="185"/>
      <c r="J141" s="71"/>
      <c r="K141" s="194"/>
      <c r="L141" s="67"/>
      <c r="M141" s="67"/>
      <c r="N141" s="67"/>
      <c r="O141" s="73"/>
      <c r="P141" s="237"/>
      <c r="Q141" s="255"/>
      <c r="R141" s="175" t="s">
        <v>0</v>
      </c>
      <c r="S141" s="411"/>
      <c r="T141" s="190"/>
      <c r="U141" s="22"/>
      <c r="V141" s="233"/>
      <c r="W141" s="239"/>
      <c r="X141" s="403"/>
      <c r="Y141" s="320" t="s">
        <v>1023</v>
      </c>
    </row>
    <row r="142" spans="1:25" hidden="1" x14ac:dyDescent="0.3">
      <c r="A142" s="47">
        <f>IF(B142="","",SUBTOTAL(3,$B$3:B142)-1)</f>
        <v>3</v>
      </c>
      <c r="B142" s="174" t="s">
        <v>358</v>
      </c>
      <c r="C142" s="24" t="s">
        <v>1188</v>
      </c>
      <c r="D142" s="163"/>
      <c r="E142" s="46"/>
      <c r="F142" s="142">
        <v>7</v>
      </c>
      <c r="G142" s="175"/>
      <c r="H142" s="406" t="s">
        <v>696</v>
      </c>
      <c r="I142" s="188"/>
      <c r="J142" s="67"/>
      <c r="K142" s="194"/>
      <c r="L142" s="67"/>
      <c r="M142" s="67"/>
      <c r="N142" s="67"/>
      <c r="O142" s="73"/>
      <c r="P142" s="237"/>
      <c r="Q142" s="255"/>
      <c r="R142" s="175"/>
      <c r="S142" s="411" t="s">
        <v>0</v>
      </c>
      <c r="T142" s="190"/>
      <c r="U142" s="22"/>
      <c r="V142" s="233"/>
      <c r="W142" s="239"/>
      <c r="X142" s="403"/>
      <c r="Y142" s="258"/>
    </row>
    <row r="143" spans="1:25" hidden="1" x14ac:dyDescent="0.3">
      <c r="A143" s="47">
        <f>IF(B143="","",SUBTOTAL(3,$B$3:B143)-1)</f>
        <v>3</v>
      </c>
      <c r="B143" s="26" t="s">
        <v>529</v>
      </c>
      <c r="C143" s="26" t="s">
        <v>112</v>
      </c>
      <c r="D143" s="163"/>
      <c r="E143" s="46"/>
      <c r="F143" s="22">
        <v>5</v>
      </c>
      <c r="G143" s="176" t="s">
        <v>660</v>
      </c>
      <c r="H143" s="407" t="s">
        <v>634</v>
      </c>
      <c r="I143" s="189" t="s">
        <v>634</v>
      </c>
      <c r="J143" s="68"/>
      <c r="K143" s="195"/>
      <c r="L143" s="68"/>
      <c r="M143" s="68"/>
      <c r="N143" s="68"/>
      <c r="O143" s="73"/>
      <c r="P143" s="237" t="s">
        <v>1</v>
      </c>
      <c r="Q143" s="255"/>
      <c r="R143" s="175" t="s">
        <v>1</v>
      </c>
      <c r="S143" s="411"/>
      <c r="T143" s="190" t="s">
        <v>0</v>
      </c>
      <c r="U143" s="22"/>
      <c r="V143" s="233"/>
      <c r="W143" s="239"/>
      <c r="X143" s="403"/>
      <c r="Y143" s="258"/>
    </row>
    <row r="144" spans="1:25" hidden="1" x14ac:dyDescent="0.3">
      <c r="A144" s="47">
        <f>IF(B144="","",SUBTOTAL(3,$B$3:B144)-1)</f>
        <v>3</v>
      </c>
      <c r="B144" s="265" t="s">
        <v>1286</v>
      </c>
      <c r="C144" s="265" t="s">
        <v>112</v>
      </c>
      <c r="D144" s="265">
        <v>939641692</v>
      </c>
      <c r="E144" s="46" t="s">
        <v>1214</v>
      </c>
      <c r="F144" s="300">
        <v>5</v>
      </c>
      <c r="G144" s="175" t="s">
        <v>826</v>
      </c>
      <c r="H144" s="405"/>
      <c r="I144" s="185"/>
      <c r="J144" s="71"/>
      <c r="K144" s="194"/>
      <c r="L144" s="67"/>
      <c r="M144" s="67"/>
      <c r="N144" s="67"/>
      <c r="O144" s="73"/>
      <c r="P144" s="237"/>
      <c r="Q144" s="255"/>
      <c r="R144" s="175" t="s">
        <v>2</v>
      </c>
      <c r="S144" s="411"/>
      <c r="T144" s="190"/>
      <c r="U144" s="22"/>
      <c r="V144" s="233"/>
      <c r="W144" s="239"/>
      <c r="X144" s="403"/>
      <c r="Y144" s="320" t="s">
        <v>1319</v>
      </c>
    </row>
    <row r="145" spans="1:25" hidden="1" x14ac:dyDescent="0.3">
      <c r="A145" s="47">
        <f>IF(B145="","",SUBTOTAL(3,$B$3:B145)-1)</f>
        <v>3</v>
      </c>
      <c r="B145" s="269" t="s">
        <v>1334</v>
      </c>
      <c r="C145" s="269" t="s">
        <v>112</v>
      </c>
      <c r="D145" s="301">
        <v>382375860</v>
      </c>
      <c r="E145" s="46" t="s">
        <v>1214</v>
      </c>
      <c r="F145" s="22">
        <v>6</v>
      </c>
      <c r="G145" s="175" t="s">
        <v>415</v>
      </c>
      <c r="H145" s="405"/>
      <c r="I145" s="185"/>
      <c r="J145" s="71"/>
      <c r="K145" s="194"/>
      <c r="L145" s="67"/>
      <c r="M145" s="67"/>
      <c r="N145" s="67"/>
      <c r="O145" s="73"/>
      <c r="P145" s="237"/>
      <c r="Q145" s="255"/>
      <c r="R145" s="175" t="s">
        <v>848</v>
      </c>
      <c r="S145" s="408">
        <v>6</v>
      </c>
      <c r="T145" s="190"/>
      <c r="U145" s="22"/>
      <c r="V145" s="233"/>
      <c r="W145" s="239"/>
      <c r="X145" s="403"/>
      <c r="Y145" s="258"/>
    </row>
    <row r="146" spans="1:25" hidden="1" x14ac:dyDescent="0.3">
      <c r="A146" s="47">
        <f>IF(B146="","",SUBTOTAL(3,$B$3:B146)-1)</f>
        <v>3</v>
      </c>
      <c r="B146" s="25" t="s">
        <v>653</v>
      </c>
      <c r="C146" s="25" t="s">
        <v>652</v>
      </c>
      <c r="D146" s="163">
        <v>939440108</v>
      </c>
      <c r="E146" s="46">
        <f>($AA$2-O146)*$AB$2+Q146</f>
        <v>0</v>
      </c>
      <c r="F146" s="22">
        <v>11</v>
      </c>
      <c r="G146" s="175"/>
      <c r="H146" s="405"/>
      <c r="I146" s="185"/>
      <c r="J146" s="67"/>
      <c r="K146" s="194"/>
      <c r="L146" s="180"/>
      <c r="M146" s="180"/>
      <c r="N146" s="180"/>
      <c r="O146" s="181"/>
      <c r="P146" s="237"/>
      <c r="Q146" s="255"/>
      <c r="R146" s="175"/>
      <c r="S146" s="411" t="s">
        <v>0</v>
      </c>
      <c r="T146" s="190"/>
      <c r="U146" s="22"/>
      <c r="V146" s="233"/>
      <c r="W146" s="239"/>
      <c r="X146" s="403"/>
      <c r="Y146" s="258"/>
    </row>
    <row r="147" spans="1:25" hidden="1" x14ac:dyDescent="0.3">
      <c r="A147" s="47">
        <f>IF(B147="","",SUBTOTAL(3,$B$3:B147)-1)</f>
        <v>3</v>
      </c>
      <c r="B147" s="25" t="s">
        <v>654</v>
      </c>
      <c r="C147" s="25" t="s">
        <v>652</v>
      </c>
      <c r="D147" s="163"/>
      <c r="E147" s="46">
        <f>($AA$2-O147)*$AB$2+Q147</f>
        <v>0</v>
      </c>
      <c r="F147" s="22">
        <v>11</v>
      </c>
      <c r="G147" s="175"/>
      <c r="H147" s="405" t="s">
        <v>635</v>
      </c>
      <c r="I147" s="185"/>
      <c r="J147" s="67"/>
      <c r="K147" s="194"/>
      <c r="L147" s="67"/>
      <c r="M147" s="67"/>
      <c r="N147" s="67"/>
      <c r="O147" s="73"/>
      <c r="P147" s="237"/>
      <c r="Q147" s="255"/>
      <c r="R147" s="175"/>
      <c r="S147" s="411" t="s">
        <v>0</v>
      </c>
      <c r="T147" s="190"/>
      <c r="U147" s="22"/>
      <c r="V147" s="233"/>
      <c r="W147" s="239"/>
      <c r="X147" s="403"/>
      <c r="Y147" s="258"/>
    </row>
    <row r="148" spans="1:25" hidden="1" x14ac:dyDescent="0.3">
      <c r="A148" s="47">
        <f>IF(B148="","",SUBTOTAL(3,$B$3:B148)-1)</f>
        <v>3</v>
      </c>
      <c r="B148" s="39" t="s">
        <v>685</v>
      </c>
      <c r="C148" s="24" t="s">
        <v>720</v>
      </c>
      <c r="D148" s="163"/>
      <c r="E148" s="46">
        <f>($AA$2-O148)*$AB$2+Q148</f>
        <v>0</v>
      </c>
      <c r="F148" s="22">
        <v>11</v>
      </c>
      <c r="G148" s="175" t="s">
        <v>415</v>
      </c>
      <c r="H148" s="405" t="s">
        <v>635</v>
      </c>
      <c r="I148" s="185" t="s">
        <v>634</v>
      </c>
      <c r="J148" s="67"/>
      <c r="K148" s="194"/>
      <c r="L148" s="180"/>
      <c r="M148" s="180"/>
      <c r="N148" s="180"/>
      <c r="O148" s="181"/>
      <c r="P148" s="237"/>
      <c r="Q148" s="255"/>
      <c r="R148" s="175" t="s">
        <v>661</v>
      </c>
      <c r="S148" s="411" t="s">
        <v>2</v>
      </c>
      <c r="T148" s="190" t="s">
        <v>661</v>
      </c>
      <c r="U148" s="22"/>
      <c r="V148" s="233"/>
      <c r="W148" s="239"/>
      <c r="X148" s="403"/>
      <c r="Y148" s="258"/>
    </row>
    <row r="149" spans="1:25" hidden="1" x14ac:dyDescent="0.3">
      <c r="A149" s="47">
        <f>IF(B149="","",SUBTOTAL(3,$B$3:B149)-1)</f>
        <v>3</v>
      </c>
      <c r="B149" s="269" t="s">
        <v>1223</v>
      </c>
      <c r="C149" s="269" t="s">
        <v>1224</v>
      </c>
      <c r="D149" s="269">
        <v>939852856</v>
      </c>
      <c r="E149" s="46" t="s">
        <v>1214</v>
      </c>
      <c r="F149" s="371">
        <v>2</v>
      </c>
      <c r="G149" s="175" t="s">
        <v>826</v>
      </c>
      <c r="H149" s="405" t="s">
        <v>634</v>
      </c>
      <c r="I149" s="185" t="s">
        <v>634</v>
      </c>
      <c r="J149" s="71"/>
      <c r="K149" s="194"/>
      <c r="L149" s="67"/>
      <c r="M149" s="67"/>
      <c r="N149" s="67"/>
      <c r="O149" s="73"/>
      <c r="P149" s="237"/>
      <c r="Q149" s="255"/>
      <c r="R149" s="175" t="s">
        <v>0</v>
      </c>
      <c r="S149" s="411"/>
      <c r="T149" s="190" t="s">
        <v>0</v>
      </c>
      <c r="U149" s="22"/>
      <c r="V149" s="233"/>
      <c r="W149" s="239"/>
      <c r="X149" s="403"/>
      <c r="Y149" s="323">
        <v>2</v>
      </c>
    </row>
    <row r="150" spans="1:25" hidden="1" x14ac:dyDescent="0.3">
      <c r="A150" s="47">
        <f>IF(B150="","",SUBTOTAL(3,$B$3:B150)-1)</f>
        <v>3</v>
      </c>
      <c r="B150" s="25" t="s">
        <v>179</v>
      </c>
      <c r="C150" s="25" t="s">
        <v>39</v>
      </c>
      <c r="D150" s="163"/>
      <c r="E150" s="46">
        <f>($AA$2-O150)*$AB$2+Q150</f>
        <v>0</v>
      </c>
      <c r="F150" s="22">
        <v>8</v>
      </c>
      <c r="G150" s="175" t="s">
        <v>415</v>
      </c>
      <c r="H150" s="405" t="s">
        <v>2</v>
      </c>
      <c r="I150" s="185"/>
      <c r="J150" s="67"/>
      <c r="K150" s="194"/>
      <c r="L150" s="180"/>
      <c r="M150" s="180"/>
      <c r="N150" s="180"/>
      <c r="O150" s="181"/>
      <c r="P150" s="237"/>
      <c r="Q150" s="255"/>
      <c r="R150" s="175" t="s">
        <v>848</v>
      </c>
      <c r="S150" s="411" t="s">
        <v>848</v>
      </c>
      <c r="T150" s="190"/>
      <c r="U150" s="22"/>
      <c r="V150" s="233"/>
      <c r="W150" s="239"/>
      <c r="X150" s="403"/>
      <c r="Y150" s="258"/>
    </row>
    <row r="151" spans="1:25" hidden="1" x14ac:dyDescent="0.3">
      <c r="A151" s="47">
        <f>IF(B151="","",SUBTOTAL(3,$B$3:B151)-1)</f>
        <v>3</v>
      </c>
      <c r="B151" s="26" t="s">
        <v>171</v>
      </c>
      <c r="C151" s="26" t="s">
        <v>732</v>
      </c>
      <c r="D151" s="163">
        <v>931761547</v>
      </c>
      <c r="E151" s="46"/>
      <c r="F151" s="142">
        <v>7</v>
      </c>
      <c r="G151" s="175" t="s">
        <v>415</v>
      </c>
      <c r="H151" s="406" t="s">
        <v>696</v>
      </c>
      <c r="I151" s="188"/>
      <c r="J151" s="142"/>
      <c r="K151" s="196" t="s">
        <v>721</v>
      </c>
      <c r="L151" s="67"/>
      <c r="M151" s="67"/>
      <c r="N151" s="67"/>
      <c r="O151" s="73"/>
      <c r="P151" s="237" t="s">
        <v>1</v>
      </c>
      <c r="Q151" s="255"/>
      <c r="R151" s="175" t="s">
        <v>0</v>
      </c>
      <c r="S151" s="411" t="s">
        <v>0</v>
      </c>
      <c r="T151" s="190"/>
      <c r="U151" s="22"/>
      <c r="V151" s="233"/>
      <c r="W151" s="239" t="s">
        <v>0</v>
      </c>
      <c r="X151" s="403"/>
      <c r="Y151" s="258"/>
    </row>
    <row r="152" spans="1:25" hidden="1" x14ac:dyDescent="0.3">
      <c r="A152" s="47">
        <f>IF(B152="","",SUBTOTAL(3,$B$3:B152)-1)</f>
        <v>3</v>
      </c>
      <c r="B152" s="253" t="s">
        <v>1180</v>
      </c>
      <c r="C152" s="26" t="s">
        <v>95</v>
      </c>
      <c r="D152" s="25"/>
      <c r="E152" s="46"/>
      <c r="F152" s="22">
        <v>2</v>
      </c>
      <c r="G152" s="176"/>
      <c r="H152" s="405" t="s">
        <v>634</v>
      </c>
      <c r="I152" s="185" t="s">
        <v>634</v>
      </c>
      <c r="J152" s="67"/>
      <c r="K152" s="194"/>
      <c r="L152" s="67"/>
      <c r="M152" s="67"/>
      <c r="N152" s="67"/>
      <c r="O152" s="73"/>
      <c r="P152" s="237"/>
      <c r="Q152" s="255"/>
      <c r="R152" s="175"/>
      <c r="S152" s="411"/>
      <c r="T152" s="190" t="s">
        <v>0</v>
      </c>
      <c r="U152" s="22"/>
      <c r="V152" s="233"/>
      <c r="W152" s="239"/>
      <c r="X152" s="403"/>
      <c r="Y152" s="258"/>
    </row>
    <row r="153" spans="1:25" hidden="1" x14ac:dyDescent="0.3">
      <c r="A153" s="47">
        <f>IF(B153="","",SUBTOTAL(3,$B$3:B153)-1)</f>
        <v>3</v>
      </c>
      <c r="B153" s="25" t="s">
        <v>298</v>
      </c>
      <c r="C153" s="25" t="s">
        <v>95</v>
      </c>
      <c r="D153" s="24">
        <v>763576758</v>
      </c>
      <c r="E153" s="46">
        <f>($AA$2-O153)*$AB$2+Q153</f>
        <v>0</v>
      </c>
      <c r="F153" s="21">
        <v>10</v>
      </c>
      <c r="G153" s="175" t="s">
        <v>415</v>
      </c>
      <c r="H153" s="405" t="s">
        <v>635</v>
      </c>
      <c r="I153" s="185"/>
      <c r="J153" s="71"/>
      <c r="K153" s="194"/>
      <c r="L153" s="180"/>
      <c r="M153" s="180"/>
      <c r="N153" s="180"/>
      <c r="O153" s="181"/>
      <c r="P153" s="237"/>
      <c r="Q153" s="255"/>
      <c r="R153" s="175" t="s">
        <v>1</v>
      </c>
      <c r="S153" s="411" t="s">
        <v>0</v>
      </c>
      <c r="T153" s="190"/>
      <c r="U153" s="22"/>
      <c r="V153" s="233"/>
      <c r="W153" s="239"/>
      <c r="X153" s="403"/>
      <c r="Y153" s="258"/>
    </row>
    <row r="154" spans="1:25" hidden="1" x14ac:dyDescent="0.3">
      <c r="A154" s="47">
        <f>IF(B154="","",SUBTOTAL(3,$B$3:B154)-1)</f>
        <v>3</v>
      </c>
      <c r="B154" s="24" t="s">
        <v>300</v>
      </c>
      <c r="C154" s="24" t="s">
        <v>95</v>
      </c>
      <c r="D154" s="24"/>
      <c r="E154" s="46">
        <f>($AA$2-O154)*$AB$2+Q154</f>
        <v>0</v>
      </c>
      <c r="F154" s="22">
        <v>10</v>
      </c>
      <c r="G154" s="175" t="s">
        <v>415</v>
      </c>
      <c r="H154" s="405" t="s">
        <v>635</v>
      </c>
      <c r="I154" s="185"/>
      <c r="J154" s="71"/>
      <c r="K154" s="194"/>
      <c r="L154" s="180"/>
      <c r="M154" s="180"/>
      <c r="N154" s="180"/>
      <c r="O154" s="181"/>
      <c r="P154" s="237"/>
      <c r="Q154" s="255"/>
      <c r="R154" s="175" t="s">
        <v>2</v>
      </c>
      <c r="S154" s="414" t="s">
        <v>1</v>
      </c>
      <c r="T154" s="190"/>
      <c r="U154" s="22"/>
      <c r="V154" s="233"/>
      <c r="W154" s="239"/>
      <c r="X154" s="403"/>
      <c r="Y154" s="258"/>
    </row>
    <row r="155" spans="1:25" hidden="1" x14ac:dyDescent="0.3">
      <c r="A155" s="47">
        <f>IF(B155="","",SUBTOTAL(3,$B$3:B155)-1)</f>
        <v>3</v>
      </c>
      <c r="B155" s="24" t="s">
        <v>492</v>
      </c>
      <c r="C155" s="24" t="s">
        <v>95</v>
      </c>
      <c r="D155" s="24">
        <v>343211117</v>
      </c>
      <c r="E155" s="46">
        <f>($AA$2-O155)*$AB$2+Q155</f>
        <v>0</v>
      </c>
      <c r="F155" s="22">
        <v>11</v>
      </c>
      <c r="G155" s="175" t="s">
        <v>660</v>
      </c>
      <c r="H155" s="405" t="s">
        <v>1</v>
      </c>
      <c r="I155" s="185"/>
      <c r="J155" s="67"/>
      <c r="K155" s="194"/>
      <c r="L155" s="180"/>
      <c r="M155" s="180"/>
      <c r="N155" s="180"/>
      <c r="O155" s="181"/>
      <c r="P155" s="237"/>
      <c r="Q155" s="255"/>
      <c r="R155" s="175" t="s">
        <v>0</v>
      </c>
      <c r="S155" s="411" t="s">
        <v>0</v>
      </c>
      <c r="T155" s="190"/>
      <c r="U155" s="22"/>
      <c r="V155" s="233"/>
      <c r="W155" s="239"/>
      <c r="X155" s="403"/>
      <c r="Y155" s="258"/>
    </row>
    <row r="156" spans="1:25" hidden="1" x14ac:dyDescent="0.3">
      <c r="A156" s="47">
        <f>IF(B156="","",SUBTOTAL(3,$B$3:B156)-1)</f>
        <v>3</v>
      </c>
      <c r="B156" s="174" t="s">
        <v>1069</v>
      </c>
      <c r="C156" s="174" t="s">
        <v>95</v>
      </c>
      <c r="D156" s="163"/>
      <c r="E156" s="46">
        <f>($AA$2-O156)*$AB$2+Q156</f>
        <v>0</v>
      </c>
      <c r="F156" s="22">
        <v>10</v>
      </c>
      <c r="G156" s="175"/>
      <c r="H156" s="405"/>
      <c r="I156" s="185"/>
      <c r="J156" s="71"/>
      <c r="K156" s="194"/>
      <c r="L156" s="180"/>
      <c r="M156" s="180"/>
      <c r="N156" s="180"/>
      <c r="O156" s="181"/>
      <c r="P156" s="237"/>
      <c r="Q156" s="255"/>
      <c r="R156" s="175"/>
      <c r="S156" s="414"/>
      <c r="T156" s="190"/>
      <c r="U156" s="22"/>
      <c r="V156" s="233"/>
      <c r="W156" s="239"/>
      <c r="X156" s="403"/>
      <c r="Y156" s="258"/>
    </row>
    <row r="157" spans="1:25" hidden="1" x14ac:dyDescent="0.3">
      <c r="A157" s="47">
        <f>IF(B157="","",SUBTOTAL(3,$B$3:B157)-1)</f>
        <v>3</v>
      </c>
      <c r="B157" s="26" t="s">
        <v>473</v>
      </c>
      <c r="C157" s="26" t="s">
        <v>95</v>
      </c>
      <c r="D157" s="163">
        <v>975695597</v>
      </c>
      <c r="E157" s="46">
        <f>($AA$2-O157)*$AB$2+Q157</f>
        <v>0</v>
      </c>
      <c r="F157" s="142">
        <v>4</v>
      </c>
      <c r="G157" s="175" t="s">
        <v>660</v>
      </c>
      <c r="H157" s="408"/>
      <c r="I157" s="186"/>
      <c r="J157" s="68"/>
      <c r="K157" s="195"/>
      <c r="L157" s="68"/>
      <c r="M157" s="68"/>
      <c r="N157" s="68"/>
      <c r="O157" s="73"/>
      <c r="P157" s="237" t="s">
        <v>1</v>
      </c>
      <c r="Q157" s="255"/>
      <c r="R157" s="175" t="s">
        <v>0</v>
      </c>
      <c r="S157" s="411"/>
      <c r="T157" s="190"/>
      <c r="U157" s="22"/>
      <c r="V157" s="233"/>
      <c r="W157" s="239" t="s">
        <v>848</v>
      </c>
      <c r="X157" s="403"/>
      <c r="Y157" s="258"/>
    </row>
    <row r="158" spans="1:25" hidden="1" x14ac:dyDescent="0.3">
      <c r="A158" s="47">
        <f>IF(B158="","",SUBTOTAL(3,$B$3:B158)-1)</f>
        <v>3</v>
      </c>
      <c r="B158" s="265" t="s">
        <v>1235</v>
      </c>
      <c r="C158" s="265" t="s">
        <v>95</v>
      </c>
      <c r="D158" s="265">
        <v>975695597</v>
      </c>
      <c r="E158" s="46" t="s">
        <v>1214</v>
      </c>
      <c r="F158" s="300">
        <v>4</v>
      </c>
      <c r="G158" s="175"/>
      <c r="H158" s="405" t="s">
        <v>634</v>
      </c>
      <c r="I158" s="185"/>
      <c r="J158" s="71"/>
      <c r="K158" s="194"/>
      <c r="L158" s="67"/>
      <c r="M158" s="67"/>
      <c r="N158" s="67"/>
      <c r="O158" s="73"/>
      <c r="P158" s="237"/>
      <c r="Q158" s="255"/>
      <c r="R158" s="175"/>
      <c r="S158" s="411"/>
      <c r="T158" s="190"/>
      <c r="U158" s="22"/>
      <c r="V158" s="233"/>
      <c r="W158" s="239"/>
      <c r="X158" s="403"/>
      <c r="Y158" s="320">
        <v>4</v>
      </c>
    </row>
    <row r="159" spans="1:25" hidden="1" x14ac:dyDescent="0.3">
      <c r="A159" s="47">
        <f>IF(B159="","",SUBTOTAL(3,$B$3:B159)-1)</f>
        <v>3</v>
      </c>
      <c r="B159" s="269" t="s">
        <v>1246</v>
      </c>
      <c r="C159" s="269" t="s">
        <v>95</v>
      </c>
      <c r="D159" s="301">
        <v>899469675</v>
      </c>
      <c r="E159" s="46" t="s">
        <v>1214</v>
      </c>
      <c r="F159" s="22">
        <v>6</v>
      </c>
      <c r="G159" s="175" t="s">
        <v>1332</v>
      </c>
      <c r="H159" s="405"/>
      <c r="I159" s="185"/>
      <c r="J159" s="71"/>
      <c r="K159" s="194"/>
      <c r="L159" s="67"/>
      <c r="M159" s="67"/>
      <c r="N159" s="67"/>
      <c r="O159" s="73"/>
      <c r="P159" s="237"/>
      <c r="Q159" s="255"/>
      <c r="R159" s="318" t="s">
        <v>2</v>
      </c>
      <c r="S159" s="408"/>
      <c r="T159" s="190"/>
      <c r="U159" s="22"/>
      <c r="V159" s="233"/>
      <c r="W159" s="239"/>
      <c r="X159" s="403"/>
      <c r="Y159" s="258"/>
    </row>
    <row r="160" spans="1:25" hidden="1" x14ac:dyDescent="0.3">
      <c r="A160" s="47">
        <f>IF(B160="","",SUBTOTAL(3,$B$3:B160)-1)</f>
        <v>3</v>
      </c>
      <c r="B160" s="143" t="s">
        <v>885</v>
      </c>
      <c r="C160" s="143" t="s">
        <v>95</v>
      </c>
      <c r="D160" s="143"/>
      <c r="E160" s="46"/>
      <c r="F160" s="142">
        <v>7</v>
      </c>
      <c r="G160" s="175"/>
      <c r="H160" s="406" t="s">
        <v>696</v>
      </c>
      <c r="I160" s="188"/>
      <c r="J160" s="142"/>
      <c r="K160" s="196" t="s">
        <v>721</v>
      </c>
      <c r="L160" s="67"/>
      <c r="M160" s="67"/>
      <c r="N160" s="67"/>
      <c r="O160" s="73"/>
      <c r="P160" s="237"/>
      <c r="Q160" s="255"/>
      <c r="R160" s="175"/>
      <c r="S160" s="411" t="s">
        <v>0</v>
      </c>
      <c r="T160" s="190"/>
      <c r="U160" s="22"/>
      <c r="V160" s="233"/>
      <c r="W160" s="239"/>
      <c r="X160" s="403"/>
      <c r="Y160" s="258"/>
    </row>
    <row r="161" spans="1:25" hidden="1" x14ac:dyDescent="0.3">
      <c r="A161" s="47">
        <f>IF(B161="","",SUBTOTAL(3,$B$3:B161)-1)</f>
        <v>3</v>
      </c>
      <c r="B161" s="24" t="s">
        <v>1091</v>
      </c>
      <c r="C161" s="24" t="s">
        <v>95</v>
      </c>
      <c r="D161" s="163">
        <v>325855416</v>
      </c>
      <c r="E161" s="46">
        <f>($AA$2-O161)*$AB$2+Q161</f>
        <v>0</v>
      </c>
      <c r="F161" s="22">
        <v>9</v>
      </c>
      <c r="G161" s="175" t="s">
        <v>415</v>
      </c>
      <c r="H161" s="409" t="s">
        <v>635</v>
      </c>
      <c r="I161" s="187"/>
      <c r="J161" s="67"/>
      <c r="K161" s="194"/>
      <c r="L161" s="180"/>
      <c r="M161" s="180"/>
      <c r="N161" s="180"/>
      <c r="O161" s="181"/>
      <c r="P161" s="237"/>
      <c r="Q161" s="255"/>
      <c r="R161" s="175" t="s">
        <v>2</v>
      </c>
      <c r="S161" s="411" t="s">
        <v>2</v>
      </c>
      <c r="T161" s="190"/>
      <c r="U161" s="22"/>
      <c r="V161" s="233"/>
      <c r="W161" s="239"/>
      <c r="X161" s="403"/>
      <c r="Y161" s="258"/>
    </row>
    <row r="162" spans="1:25" hidden="1" x14ac:dyDescent="0.3">
      <c r="A162" s="47">
        <f>IF(B162="","",SUBTOTAL(3,$B$3:B162)-1)</f>
        <v>3</v>
      </c>
      <c r="B162" s="24" t="s">
        <v>904</v>
      </c>
      <c r="C162" s="24" t="s">
        <v>901</v>
      </c>
      <c r="D162" s="163"/>
      <c r="E162" s="46"/>
      <c r="F162" s="22">
        <v>2</v>
      </c>
      <c r="G162" s="175"/>
      <c r="H162" s="406" t="s">
        <v>634</v>
      </c>
      <c r="I162" s="185" t="s">
        <v>634</v>
      </c>
      <c r="J162" s="67"/>
      <c r="K162" s="194"/>
      <c r="L162" s="67"/>
      <c r="M162" s="67"/>
      <c r="N162" s="67"/>
      <c r="O162" s="73"/>
      <c r="P162" s="237"/>
      <c r="Q162" s="255"/>
      <c r="R162" s="175"/>
      <c r="S162" s="411"/>
      <c r="T162" s="190" t="s">
        <v>0</v>
      </c>
      <c r="U162" s="22"/>
      <c r="V162" s="233"/>
      <c r="W162" s="239"/>
      <c r="X162" s="403"/>
      <c r="Y162" s="258"/>
    </row>
    <row r="163" spans="1:25" hidden="1" x14ac:dyDescent="0.3">
      <c r="A163" s="47">
        <f>IF(B163="","",SUBTOTAL(3,$B$3:B163)-1)</f>
        <v>3</v>
      </c>
      <c r="B163" s="24" t="s">
        <v>484</v>
      </c>
      <c r="C163" s="24" t="s">
        <v>48</v>
      </c>
      <c r="D163" s="163"/>
      <c r="E163" s="46">
        <f>($AA$2-O163)*$AB$2+Q163</f>
        <v>0</v>
      </c>
      <c r="F163" s="22">
        <v>9</v>
      </c>
      <c r="G163" s="175" t="s">
        <v>415</v>
      </c>
      <c r="H163" s="409" t="s">
        <v>2</v>
      </c>
      <c r="I163" s="187" t="s">
        <v>634</v>
      </c>
      <c r="J163" s="67" t="s">
        <v>661</v>
      </c>
      <c r="K163" s="194"/>
      <c r="L163" s="180"/>
      <c r="M163" s="180"/>
      <c r="N163" s="180"/>
      <c r="O163" s="181"/>
      <c r="P163" s="237"/>
      <c r="Q163" s="255"/>
      <c r="R163" s="175" t="s">
        <v>0</v>
      </c>
      <c r="S163" s="411" t="s">
        <v>848</v>
      </c>
      <c r="T163" s="190" t="s">
        <v>0</v>
      </c>
      <c r="U163" s="22" t="s">
        <v>1</v>
      </c>
      <c r="V163" s="233"/>
      <c r="W163" s="239"/>
      <c r="X163" s="403"/>
      <c r="Y163" s="258"/>
    </row>
    <row r="164" spans="1:25" hidden="1" x14ac:dyDescent="0.3">
      <c r="A164" s="47">
        <f>IF(B164="","",SUBTOTAL(3,$B$3:B164)-1)</f>
        <v>3</v>
      </c>
      <c r="B164" s="380" t="s">
        <v>1370</v>
      </c>
      <c r="C164" s="380" t="s">
        <v>66</v>
      </c>
      <c r="D164" s="381"/>
      <c r="E164" s="46" t="s">
        <v>1356</v>
      </c>
      <c r="F164" s="382">
        <v>6</v>
      </c>
      <c r="G164" s="175"/>
      <c r="H164" s="405" t="s">
        <v>635</v>
      </c>
      <c r="I164" s="185"/>
      <c r="J164" s="71"/>
      <c r="K164" s="194"/>
      <c r="L164" s="67"/>
      <c r="M164" s="67"/>
      <c r="N164" s="67"/>
      <c r="O164" s="73"/>
      <c r="P164" s="237"/>
      <c r="Q164" s="255"/>
      <c r="R164" s="175"/>
      <c r="S164" s="411" t="s">
        <v>1</v>
      </c>
      <c r="T164" s="190"/>
      <c r="U164" s="22"/>
      <c r="V164" s="233"/>
      <c r="W164" s="239"/>
      <c r="X164" s="403"/>
      <c r="Y164" s="383" t="s">
        <v>764</v>
      </c>
    </row>
    <row r="165" spans="1:25" hidden="1" x14ac:dyDescent="0.3">
      <c r="A165" s="47">
        <f>IF(B165="","",SUBTOTAL(3,$B$3:B165)-1)</f>
        <v>3</v>
      </c>
      <c r="B165" s="24" t="s">
        <v>216</v>
      </c>
      <c r="C165" s="24" t="s">
        <v>66</v>
      </c>
      <c r="D165" s="163"/>
      <c r="E165" s="46">
        <f>($AA$2-O165)*$AB$2+Q165</f>
        <v>0</v>
      </c>
      <c r="F165" s="22">
        <v>9</v>
      </c>
      <c r="G165" s="175"/>
      <c r="H165" s="409" t="s">
        <v>660</v>
      </c>
      <c r="I165" s="190" t="s">
        <v>661</v>
      </c>
      <c r="J165" s="68"/>
      <c r="K165" s="195"/>
      <c r="L165" s="182"/>
      <c r="M165" s="182"/>
      <c r="N165" s="182"/>
      <c r="O165" s="181"/>
      <c r="P165" s="237"/>
      <c r="Q165" s="255"/>
      <c r="R165" s="175"/>
      <c r="S165" s="411" t="s">
        <v>1</v>
      </c>
      <c r="T165" s="190" t="s">
        <v>1</v>
      </c>
      <c r="U165" s="22"/>
      <c r="V165" s="233"/>
      <c r="W165" s="239"/>
      <c r="X165" s="403"/>
      <c r="Y165" s="258"/>
    </row>
    <row r="166" spans="1:25" hidden="1" x14ac:dyDescent="0.3">
      <c r="A166" s="47">
        <f>IF(B166="","",SUBTOTAL(3,$B$3:B166)-1)</f>
        <v>3</v>
      </c>
      <c r="B166" s="24" t="s">
        <v>1086</v>
      </c>
      <c r="C166" s="24" t="s">
        <v>66</v>
      </c>
      <c r="D166" s="25"/>
      <c r="E166" s="46"/>
      <c r="F166" s="22">
        <v>9</v>
      </c>
      <c r="G166" s="175" t="s">
        <v>415</v>
      </c>
      <c r="H166" s="405"/>
      <c r="I166" s="185"/>
      <c r="J166" s="67"/>
      <c r="K166" s="194"/>
      <c r="L166" s="180"/>
      <c r="M166" s="180"/>
      <c r="N166" s="180"/>
      <c r="O166" s="181"/>
      <c r="P166" s="237"/>
      <c r="Q166" s="255"/>
      <c r="R166" s="175" t="s">
        <v>2</v>
      </c>
      <c r="S166" s="411"/>
      <c r="T166" s="190"/>
      <c r="U166" s="22"/>
      <c r="V166" s="233"/>
      <c r="W166" s="239"/>
      <c r="X166" s="403"/>
      <c r="Y166" s="258"/>
    </row>
    <row r="167" spans="1:25" hidden="1" x14ac:dyDescent="0.3">
      <c r="A167" s="47">
        <f>IF(B167="","",SUBTOTAL(3,$B$3:B167)-1)</f>
        <v>3</v>
      </c>
      <c r="B167" s="24" t="s">
        <v>297</v>
      </c>
      <c r="C167" s="24" t="s">
        <v>4</v>
      </c>
      <c r="D167" s="163"/>
      <c r="E167" s="46">
        <f>($AA$2-O167)*$AB$2+Q167</f>
        <v>0</v>
      </c>
      <c r="F167" s="22">
        <v>10</v>
      </c>
      <c r="G167" s="175" t="s">
        <v>415</v>
      </c>
      <c r="H167" s="405" t="s">
        <v>635</v>
      </c>
      <c r="I167" s="185"/>
      <c r="J167" s="71"/>
      <c r="K167" s="194"/>
      <c r="L167" s="180"/>
      <c r="M167" s="180"/>
      <c r="N167" s="180"/>
      <c r="O167" s="181"/>
      <c r="P167" s="237"/>
      <c r="Q167" s="255"/>
      <c r="R167" s="175" t="s">
        <v>0</v>
      </c>
      <c r="S167" s="414" t="s">
        <v>1</v>
      </c>
      <c r="T167" s="190"/>
      <c r="U167" s="22"/>
      <c r="V167" s="233"/>
      <c r="W167" s="239"/>
      <c r="X167" s="403"/>
      <c r="Y167" s="258"/>
    </row>
    <row r="168" spans="1:25" hidden="1" x14ac:dyDescent="0.3">
      <c r="A168" s="47">
        <f>IF(B168="","",SUBTOTAL(3,$B$3:B168)-1)</f>
        <v>3</v>
      </c>
      <c r="B168" s="24" t="s">
        <v>171</v>
      </c>
      <c r="C168" s="24" t="s">
        <v>4</v>
      </c>
      <c r="D168" s="24"/>
      <c r="E168" s="46">
        <f>($AA$2-O168)*$AB$2+Q168</f>
        <v>0</v>
      </c>
      <c r="F168" s="22">
        <v>12</v>
      </c>
      <c r="G168" s="175" t="s">
        <v>660</v>
      </c>
      <c r="H168" s="405"/>
      <c r="I168" s="185"/>
      <c r="J168" s="67"/>
      <c r="K168" s="194"/>
      <c r="L168" s="67"/>
      <c r="M168" s="67"/>
      <c r="N168" s="67"/>
      <c r="O168" s="73"/>
      <c r="P168" s="237"/>
      <c r="Q168" s="255"/>
      <c r="R168" s="175" t="s">
        <v>0</v>
      </c>
      <c r="S168" s="411"/>
      <c r="T168" s="190"/>
      <c r="U168" s="22"/>
      <c r="V168" s="233"/>
      <c r="W168" s="239"/>
      <c r="X168" s="403"/>
      <c r="Y168" s="258"/>
    </row>
    <row r="169" spans="1:25" hidden="1" x14ac:dyDescent="0.3">
      <c r="A169" s="47">
        <f>IF(B169="","",SUBTOTAL(3,$B$3:B169)-1)</f>
        <v>3</v>
      </c>
      <c r="B169" s="143" t="s">
        <v>477</v>
      </c>
      <c r="C169" s="143" t="s">
        <v>4</v>
      </c>
      <c r="D169" s="143"/>
      <c r="E169" s="46"/>
      <c r="F169" s="142">
        <v>4</v>
      </c>
      <c r="G169" s="175" t="s">
        <v>826</v>
      </c>
      <c r="H169" s="406"/>
      <c r="I169" s="188"/>
      <c r="J169" s="142"/>
      <c r="K169" s="196" t="s">
        <v>721</v>
      </c>
      <c r="L169" s="67"/>
      <c r="M169" s="67"/>
      <c r="N169" s="67"/>
      <c r="O169" s="73"/>
      <c r="P169" s="237"/>
      <c r="Q169" s="255"/>
      <c r="R169" s="175" t="s">
        <v>1</v>
      </c>
      <c r="S169" s="411"/>
      <c r="T169" s="190"/>
      <c r="U169" s="22"/>
      <c r="V169" s="233"/>
      <c r="W169" s="239"/>
      <c r="X169" s="403"/>
      <c r="Y169" s="258"/>
    </row>
    <row r="170" spans="1:25" hidden="1" x14ac:dyDescent="0.3">
      <c r="A170" s="47">
        <f>IF(B170="","",SUBTOTAL(3,$B$3:B170)-1)</f>
        <v>3</v>
      </c>
      <c r="B170" s="269" t="s">
        <v>477</v>
      </c>
      <c r="C170" s="269" t="s">
        <v>4</v>
      </c>
      <c r="D170" s="269">
        <v>362268898</v>
      </c>
      <c r="E170" s="46" t="s">
        <v>1214</v>
      </c>
      <c r="F170" s="372">
        <v>4</v>
      </c>
      <c r="G170" s="175" t="s">
        <v>826</v>
      </c>
      <c r="H170" s="405"/>
      <c r="I170" s="185"/>
      <c r="J170" s="71"/>
      <c r="K170" s="194"/>
      <c r="L170" s="67"/>
      <c r="M170" s="67"/>
      <c r="N170" s="67"/>
      <c r="O170" s="73"/>
      <c r="P170" s="237"/>
      <c r="Q170" s="255"/>
      <c r="R170" s="175" t="s">
        <v>1</v>
      </c>
      <c r="S170" s="411"/>
      <c r="T170" s="190"/>
      <c r="U170" s="22"/>
      <c r="V170" s="233"/>
      <c r="W170" s="239"/>
      <c r="X170" s="403"/>
      <c r="Y170" s="323" t="s">
        <v>1026</v>
      </c>
    </row>
    <row r="171" spans="1:25" hidden="1" x14ac:dyDescent="0.3">
      <c r="A171" s="47">
        <f>IF(B171="","",SUBTOTAL(3,$B$3:B171)-1)</f>
        <v>3</v>
      </c>
      <c r="B171" s="143" t="s">
        <v>913</v>
      </c>
      <c r="C171" s="143" t="s">
        <v>4</v>
      </c>
      <c r="D171" s="143"/>
      <c r="E171" s="46"/>
      <c r="F171" s="21">
        <v>5</v>
      </c>
      <c r="G171" s="176" t="s">
        <v>660</v>
      </c>
      <c r="H171" s="407" t="s">
        <v>634</v>
      </c>
      <c r="I171" s="189" t="s">
        <v>634</v>
      </c>
      <c r="J171" s="142"/>
      <c r="K171" s="196"/>
      <c r="L171" s="67"/>
      <c r="M171" s="67"/>
      <c r="N171" s="67"/>
      <c r="O171" s="73"/>
      <c r="P171" s="237" t="s">
        <v>1</v>
      </c>
      <c r="Q171" s="255"/>
      <c r="R171" s="175" t="s">
        <v>1</v>
      </c>
      <c r="S171" s="411"/>
      <c r="T171" s="190" t="s">
        <v>0</v>
      </c>
      <c r="U171" s="22"/>
      <c r="V171" s="233"/>
      <c r="W171" s="239"/>
      <c r="X171" s="403"/>
      <c r="Y171" s="258"/>
    </row>
    <row r="172" spans="1:25" hidden="1" x14ac:dyDescent="0.3">
      <c r="A172" s="47">
        <f>IF(B172="","",SUBTOTAL(3,$B$3:B172)-1)</f>
        <v>3</v>
      </c>
      <c r="B172" s="269" t="s">
        <v>1335</v>
      </c>
      <c r="C172" s="269" t="s">
        <v>4</v>
      </c>
      <c r="D172" s="301">
        <v>794373567</v>
      </c>
      <c r="E172" s="46" t="s">
        <v>1214</v>
      </c>
      <c r="F172" s="22">
        <v>6</v>
      </c>
      <c r="G172" s="175" t="s">
        <v>415</v>
      </c>
      <c r="H172" s="405"/>
      <c r="I172" s="185"/>
      <c r="J172" s="71"/>
      <c r="K172" s="194"/>
      <c r="L172" s="67"/>
      <c r="M172" s="67"/>
      <c r="N172" s="67"/>
      <c r="O172" s="73"/>
      <c r="P172" s="237"/>
      <c r="Q172" s="255"/>
      <c r="R172" s="175" t="s">
        <v>848</v>
      </c>
      <c r="S172" s="408">
        <v>6</v>
      </c>
      <c r="T172" s="190"/>
      <c r="U172" s="22"/>
      <c r="V172" s="233"/>
      <c r="W172" s="239"/>
      <c r="X172" s="403"/>
      <c r="Y172" s="258"/>
    </row>
    <row r="173" spans="1:25" hidden="1" x14ac:dyDescent="0.3">
      <c r="A173" s="47">
        <f>IF(B173="","",SUBTOTAL(3,$B$3:B173)-1)</f>
        <v>3</v>
      </c>
      <c r="B173" s="27" t="s">
        <v>491</v>
      </c>
      <c r="C173" s="27" t="s">
        <v>4</v>
      </c>
      <c r="D173" s="26">
        <v>379111227</v>
      </c>
      <c r="E173" s="46">
        <f>($AA$2-O173)*$AB$2+Q173</f>
        <v>0</v>
      </c>
      <c r="F173" s="142">
        <v>7</v>
      </c>
      <c r="G173" s="175" t="s">
        <v>415</v>
      </c>
      <c r="H173" s="405" t="s">
        <v>696</v>
      </c>
      <c r="I173" s="185"/>
      <c r="J173" s="67"/>
      <c r="K173" s="194"/>
      <c r="L173" s="180"/>
      <c r="M173" s="180"/>
      <c r="N173" s="180"/>
      <c r="O173" s="181"/>
      <c r="P173" s="237"/>
      <c r="Q173" s="255"/>
      <c r="R173" s="175" t="s">
        <v>848</v>
      </c>
      <c r="S173" s="411" t="s">
        <v>0</v>
      </c>
      <c r="T173" s="190"/>
      <c r="U173" s="22"/>
      <c r="V173" s="233"/>
      <c r="W173" s="239"/>
      <c r="X173" s="403"/>
      <c r="Y173" s="258"/>
    </row>
    <row r="174" spans="1:25" hidden="1" x14ac:dyDescent="0.3">
      <c r="A174" s="47">
        <f>IF(B174="","",SUBTOTAL(3,$B$3:B174)-1)</f>
        <v>3</v>
      </c>
      <c r="B174" s="265" t="s">
        <v>1272</v>
      </c>
      <c r="C174" s="265" t="s">
        <v>4</v>
      </c>
      <c r="D174" s="265">
        <v>3802124917</v>
      </c>
      <c r="E174" s="46" t="s">
        <v>1214</v>
      </c>
      <c r="F174" s="300">
        <v>7</v>
      </c>
      <c r="G174" s="175" t="s">
        <v>1332</v>
      </c>
      <c r="H174" s="405"/>
      <c r="I174" s="185"/>
      <c r="J174" s="71"/>
      <c r="K174" s="194"/>
      <c r="L174" s="67"/>
      <c r="M174" s="67"/>
      <c r="N174" s="67"/>
      <c r="O174" s="73"/>
      <c r="P174" s="237"/>
      <c r="Q174" s="255"/>
      <c r="R174" s="175" t="s">
        <v>661</v>
      </c>
      <c r="S174" s="411"/>
      <c r="T174" s="190"/>
      <c r="U174" s="22"/>
      <c r="V174" s="233"/>
      <c r="W174" s="239"/>
      <c r="X174" s="403"/>
      <c r="Y174" s="320">
        <v>7</v>
      </c>
    </row>
    <row r="175" spans="1:25" hidden="1" x14ac:dyDescent="0.3">
      <c r="A175" s="47">
        <f>IF(B175="","",SUBTOTAL(3,$B$3:B175)-1)</f>
        <v>3</v>
      </c>
      <c r="B175" s="24" t="s">
        <v>181</v>
      </c>
      <c r="C175" s="24" t="s">
        <v>4</v>
      </c>
      <c r="D175" s="24">
        <v>704798473</v>
      </c>
      <c r="E175" s="46">
        <f>($AA$2-O175)*$AB$2+Q175</f>
        <v>0</v>
      </c>
      <c r="F175" s="22">
        <v>8</v>
      </c>
      <c r="G175" s="175" t="s">
        <v>415</v>
      </c>
      <c r="H175" s="405" t="s">
        <v>635</v>
      </c>
      <c r="I175" s="185" t="s">
        <v>634</v>
      </c>
      <c r="J175" s="67"/>
      <c r="K175" s="194"/>
      <c r="L175" s="180"/>
      <c r="M175" s="180"/>
      <c r="N175" s="180"/>
      <c r="O175" s="181"/>
      <c r="P175" s="237"/>
      <c r="Q175" s="255"/>
      <c r="R175" s="175" t="s">
        <v>0</v>
      </c>
      <c r="S175" s="411" t="s">
        <v>2</v>
      </c>
      <c r="T175" s="190" t="s">
        <v>0</v>
      </c>
      <c r="U175" s="22"/>
      <c r="V175" s="233"/>
      <c r="W175" s="239"/>
      <c r="X175" s="403"/>
      <c r="Y175" s="258"/>
    </row>
    <row r="176" spans="1:25" hidden="1" x14ac:dyDescent="0.3">
      <c r="A176" s="47">
        <f>IF(B176="","",SUBTOTAL(3,$B$3:B176)-1)</f>
        <v>3</v>
      </c>
      <c r="B176" s="26" t="s">
        <v>437</v>
      </c>
      <c r="C176" s="26" t="s">
        <v>4</v>
      </c>
      <c r="D176" s="26">
        <v>334071006</v>
      </c>
      <c r="E176" s="46">
        <f>($AA$2-O176)*$AB$2+Q176</f>
        <v>0</v>
      </c>
      <c r="F176" s="21">
        <v>8</v>
      </c>
      <c r="G176" s="175" t="s">
        <v>415</v>
      </c>
      <c r="H176" s="405" t="s">
        <v>635</v>
      </c>
      <c r="I176" s="185"/>
      <c r="J176" s="67"/>
      <c r="K176" s="194"/>
      <c r="L176" s="180"/>
      <c r="M176" s="180"/>
      <c r="N176" s="180"/>
      <c r="O176" s="181"/>
      <c r="P176" s="237"/>
      <c r="Q176" s="255"/>
      <c r="R176" s="175" t="s">
        <v>0</v>
      </c>
      <c r="S176" s="411" t="s">
        <v>1</v>
      </c>
      <c r="T176" s="190"/>
      <c r="U176" s="22"/>
      <c r="V176" s="233"/>
      <c r="W176" s="239"/>
      <c r="X176" s="403"/>
      <c r="Y176" s="258"/>
    </row>
    <row r="177" spans="1:25" hidden="1" x14ac:dyDescent="0.3">
      <c r="A177" s="47">
        <f>IF(B177="","",SUBTOTAL(3,$B$3:B177)-1)</f>
        <v>3</v>
      </c>
      <c r="B177" s="24" t="s">
        <v>172</v>
      </c>
      <c r="C177" s="24" t="s">
        <v>4</v>
      </c>
      <c r="D177" s="24">
        <v>770049049</v>
      </c>
      <c r="E177" s="46">
        <f>($AA$2-O177)*$AB$2+Q177</f>
        <v>0</v>
      </c>
      <c r="F177" s="22">
        <v>8</v>
      </c>
      <c r="G177" s="175" t="s">
        <v>415</v>
      </c>
      <c r="H177" s="405" t="s">
        <v>635</v>
      </c>
      <c r="I177" s="185"/>
      <c r="J177" s="67"/>
      <c r="K177" s="194"/>
      <c r="L177" s="180"/>
      <c r="M177" s="180"/>
      <c r="N177" s="180"/>
      <c r="O177" s="181"/>
      <c r="P177" s="237"/>
      <c r="Q177" s="255"/>
      <c r="R177" s="175" t="s">
        <v>1</v>
      </c>
      <c r="S177" s="411" t="s">
        <v>1</v>
      </c>
      <c r="T177" s="190" t="s">
        <v>0</v>
      </c>
      <c r="U177" s="22"/>
      <c r="V177" s="233"/>
      <c r="W177" s="239"/>
      <c r="X177" s="403"/>
      <c r="Y177" s="258"/>
    </row>
    <row r="178" spans="1:25" hidden="1" x14ac:dyDescent="0.3">
      <c r="A178" s="47">
        <f>IF(B178="","",SUBTOTAL(3,$B$3:B178)-1)</f>
        <v>3</v>
      </c>
      <c r="B178" s="25" t="s">
        <v>512</v>
      </c>
      <c r="C178" s="25" t="s">
        <v>619</v>
      </c>
      <c r="D178" s="163"/>
      <c r="E178" s="46">
        <f>($AA$2-O178)*$AB$2+Q178</f>
        <v>0</v>
      </c>
      <c r="F178" s="22">
        <v>8</v>
      </c>
      <c r="G178" s="175"/>
      <c r="H178" s="405" t="s">
        <v>2</v>
      </c>
      <c r="I178" s="185" t="s">
        <v>634</v>
      </c>
      <c r="J178" s="67"/>
      <c r="K178" s="194"/>
      <c r="L178" s="67"/>
      <c r="M178" s="67"/>
      <c r="N178" s="67"/>
      <c r="O178" s="73"/>
      <c r="P178" s="237" t="s">
        <v>0</v>
      </c>
      <c r="Q178" s="255"/>
      <c r="R178" s="175"/>
      <c r="S178" s="411" t="s">
        <v>848</v>
      </c>
      <c r="T178" s="190" t="s">
        <v>0</v>
      </c>
      <c r="U178" s="22"/>
      <c r="V178" s="233"/>
      <c r="W178" s="239"/>
      <c r="X178" s="403"/>
      <c r="Y178" s="258"/>
    </row>
    <row r="179" spans="1:25" hidden="1" x14ac:dyDescent="0.3">
      <c r="A179" s="47">
        <f>IF(B179="","",SUBTOTAL(3,$B$3:B179)-1)</f>
        <v>3</v>
      </c>
      <c r="B179" s="25" t="s">
        <v>410</v>
      </c>
      <c r="C179" s="25" t="s">
        <v>596</v>
      </c>
      <c r="D179" s="163"/>
      <c r="E179" s="46">
        <f>($AA$2-O179)*$AB$2+Q179</f>
        <v>0</v>
      </c>
      <c r="F179" s="22">
        <v>9</v>
      </c>
      <c r="G179" s="175"/>
      <c r="H179" s="409"/>
      <c r="I179" s="187"/>
      <c r="J179" s="67"/>
      <c r="K179" s="194"/>
      <c r="L179" s="180"/>
      <c r="M179" s="180"/>
      <c r="N179" s="180"/>
      <c r="O179" s="181"/>
      <c r="P179" s="237"/>
      <c r="Q179" s="255"/>
      <c r="R179" s="175"/>
      <c r="S179" s="411"/>
      <c r="T179" s="190"/>
      <c r="U179" s="22"/>
      <c r="V179" s="233"/>
      <c r="W179" s="239"/>
      <c r="X179" s="403"/>
      <c r="Y179" s="258"/>
    </row>
    <row r="180" spans="1:25" hidden="1" x14ac:dyDescent="0.3">
      <c r="A180" s="47">
        <f>IF(B180="","",SUBTOTAL(3,$B$3:B180)-1)</f>
        <v>3</v>
      </c>
      <c r="B180" s="142" t="s">
        <v>13</v>
      </c>
      <c r="C180" s="143" t="s">
        <v>1092</v>
      </c>
      <c r="D180" s="143"/>
      <c r="E180" s="46"/>
      <c r="F180" s="22">
        <v>9</v>
      </c>
      <c r="G180" s="175" t="s">
        <v>415</v>
      </c>
      <c r="H180" s="406"/>
      <c r="I180" s="188"/>
      <c r="J180" s="142"/>
      <c r="K180" s="196"/>
      <c r="L180" s="67"/>
      <c r="M180" s="67"/>
      <c r="N180" s="67"/>
      <c r="O180" s="73"/>
      <c r="P180" s="237"/>
      <c r="Q180" s="255"/>
      <c r="R180" s="175"/>
      <c r="S180" s="411"/>
      <c r="T180" s="190"/>
      <c r="U180" s="22"/>
      <c r="V180" s="233"/>
      <c r="W180" s="239"/>
      <c r="X180" s="403"/>
      <c r="Y180" s="258"/>
    </row>
    <row r="181" spans="1:25" hidden="1" x14ac:dyDescent="0.3">
      <c r="A181" s="47">
        <f>IF(B181="","",SUBTOTAL(3,$B$3:B181)-1)</f>
        <v>3</v>
      </c>
      <c r="B181" s="24" t="s">
        <v>314</v>
      </c>
      <c r="C181" s="24" t="s">
        <v>107</v>
      </c>
      <c r="D181" s="163"/>
      <c r="E181" s="46">
        <f>($AA$2-O181)*$AB$2+Q181</f>
        <v>0</v>
      </c>
      <c r="F181" s="22">
        <v>11</v>
      </c>
      <c r="G181" s="175" t="s">
        <v>660</v>
      </c>
      <c r="H181" s="405" t="s">
        <v>635</v>
      </c>
      <c r="I181" s="185" t="s">
        <v>661</v>
      </c>
      <c r="J181" s="67"/>
      <c r="K181" s="194"/>
      <c r="L181" s="180"/>
      <c r="M181" s="180"/>
      <c r="N181" s="180"/>
      <c r="O181" s="181"/>
      <c r="P181" s="237"/>
      <c r="Q181" s="255"/>
      <c r="R181" s="175" t="s">
        <v>0</v>
      </c>
      <c r="S181" s="411" t="s">
        <v>0</v>
      </c>
      <c r="T181" s="190"/>
      <c r="U181" s="22"/>
      <c r="V181" s="233"/>
      <c r="W181" s="239"/>
      <c r="X181" s="403"/>
      <c r="Y181" s="258"/>
    </row>
    <row r="182" spans="1:25" hidden="1" x14ac:dyDescent="0.3">
      <c r="A182" s="47">
        <f>IF(B182="","",SUBTOTAL(3,$B$3:B182)-1)</f>
        <v>3</v>
      </c>
      <c r="B182" s="143" t="s">
        <v>1075</v>
      </c>
      <c r="C182" s="143" t="s">
        <v>107</v>
      </c>
      <c r="D182" s="143"/>
      <c r="E182" s="46"/>
      <c r="F182" s="22" t="s">
        <v>1213</v>
      </c>
      <c r="G182" s="175" t="s">
        <v>660</v>
      </c>
      <c r="H182" s="406"/>
      <c r="I182" s="188"/>
      <c r="J182" s="142"/>
      <c r="K182" s="196"/>
      <c r="L182" s="67"/>
      <c r="M182" s="67"/>
      <c r="N182" s="67"/>
      <c r="O182" s="73"/>
      <c r="P182" s="237"/>
      <c r="Q182" s="255"/>
      <c r="R182" s="175" t="s">
        <v>1</v>
      </c>
      <c r="S182" s="411"/>
      <c r="T182" s="190"/>
      <c r="U182" s="22"/>
      <c r="V182" s="233"/>
      <c r="W182" s="239"/>
      <c r="X182" s="403"/>
      <c r="Y182" s="258"/>
    </row>
    <row r="183" spans="1:25" hidden="1" x14ac:dyDescent="0.3">
      <c r="A183" s="47">
        <f>IF(B183="","",SUBTOTAL(3,$B$3:B183)-1)</f>
        <v>3</v>
      </c>
      <c r="B183" s="24" t="s">
        <v>991</v>
      </c>
      <c r="C183" s="24" t="s">
        <v>107</v>
      </c>
      <c r="D183" s="163"/>
      <c r="E183" s="46"/>
      <c r="F183" s="22">
        <v>9</v>
      </c>
      <c r="G183" s="175"/>
      <c r="H183" s="406"/>
      <c r="I183" s="190"/>
      <c r="J183" s="68"/>
      <c r="K183" s="195"/>
      <c r="L183" s="182"/>
      <c r="M183" s="182"/>
      <c r="N183" s="182"/>
      <c r="O183" s="181"/>
      <c r="P183" s="237"/>
      <c r="Q183" s="255"/>
      <c r="R183" s="175"/>
      <c r="S183" s="411"/>
      <c r="T183" s="190"/>
      <c r="U183" s="22"/>
      <c r="V183" s="233"/>
      <c r="W183" s="239"/>
      <c r="X183" s="403"/>
      <c r="Y183" s="258"/>
    </row>
    <row r="184" spans="1:25" hidden="1" x14ac:dyDescent="0.3">
      <c r="A184" s="47">
        <f>IF(B184="","",SUBTOTAL(3,$B$3:B184)-1)</f>
        <v>3</v>
      </c>
      <c r="B184" s="24" t="s">
        <v>175</v>
      </c>
      <c r="C184" s="24" t="s">
        <v>36</v>
      </c>
      <c r="D184" s="24">
        <v>366494950</v>
      </c>
      <c r="E184" s="46">
        <f>($AA$2-O184)*$AB$2+Q184</f>
        <v>0</v>
      </c>
      <c r="F184" s="22">
        <v>8</v>
      </c>
      <c r="G184" s="175" t="s">
        <v>415</v>
      </c>
      <c r="H184" s="405" t="s">
        <v>660</v>
      </c>
      <c r="I184" s="185" t="s">
        <v>634</v>
      </c>
      <c r="J184" s="67"/>
      <c r="K184" s="194"/>
      <c r="L184" s="180"/>
      <c r="M184" s="180"/>
      <c r="N184" s="180"/>
      <c r="O184" s="181"/>
      <c r="P184" s="237"/>
      <c r="Q184" s="255"/>
      <c r="R184" s="175" t="s">
        <v>848</v>
      </c>
      <c r="S184" s="411" t="s">
        <v>0</v>
      </c>
      <c r="T184" s="190" t="s">
        <v>0</v>
      </c>
      <c r="U184" s="22"/>
      <c r="V184" s="233"/>
      <c r="W184" s="239"/>
      <c r="X184" s="403"/>
      <c r="Y184" s="258"/>
    </row>
    <row r="185" spans="1:25" hidden="1" x14ac:dyDescent="0.3">
      <c r="A185" s="47">
        <f>IF(B185="","",SUBTOTAL(3,$B$3:B185)-1)</f>
        <v>3</v>
      </c>
      <c r="B185" s="24" t="s">
        <v>206</v>
      </c>
      <c r="C185" s="24" t="s">
        <v>81</v>
      </c>
      <c r="D185" s="24">
        <v>378228768</v>
      </c>
      <c r="E185" s="46">
        <f>($AA$2-O185)*$AB$2+Q185</f>
        <v>0</v>
      </c>
      <c r="F185" s="22">
        <v>11</v>
      </c>
      <c r="G185" s="175"/>
      <c r="H185" s="405" t="s">
        <v>635</v>
      </c>
      <c r="I185" s="185"/>
      <c r="J185" s="67"/>
      <c r="K185" s="194"/>
      <c r="L185" s="180"/>
      <c r="M185" s="180"/>
      <c r="N185" s="180"/>
      <c r="O185" s="181"/>
      <c r="P185" s="237"/>
      <c r="Q185" s="255"/>
      <c r="R185" s="175"/>
      <c r="S185" s="411" t="s">
        <v>1</v>
      </c>
      <c r="T185" s="190"/>
      <c r="U185" s="22"/>
      <c r="V185" s="233"/>
      <c r="W185" s="239"/>
      <c r="X185" s="403"/>
      <c r="Y185" s="258"/>
    </row>
    <row r="186" spans="1:25" hidden="1" x14ac:dyDescent="0.3">
      <c r="A186" s="47">
        <f>IF(B186="","",SUBTOTAL(3,$B$3:B186)-1)</f>
        <v>3</v>
      </c>
      <c r="B186" s="24" t="s">
        <v>237</v>
      </c>
      <c r="C186" s="24" t="s">
        <v>81</v>
      </c>
      <c r="D186" s="163"/>
      <c r="E186" s="46">
        <f>($AA$2-O186)*$AB$2+Q186</f>
        <v>0</v>
      </c>
      <c r="F186" s="22">
        <v>10</v>
      </c>
      <c r="G186" s="175" t="s">
        <v>415</v>
      </c>
      <c r="H186" s="405" t="s">
        <v>635</v>
      </c>
      <c r="I186" s="185" t="s">
        <v>634</v>
      </c>
      <c r="J186" s="71" t="s">
        <v>661</v>
      </c>
      <c r="K186" s="194"/>
      <c r="L186" s="180"/>
      <c r="M186" s="180"/>
      <c r="N186" s="180"/>
      <c r="O186" s="181"/>
      <c r="P186" s="237"/>
      <c r="Q186" s="255"/>
      <c r="R186" s="175" t="s">
        <v>848</v>
      </c>
      <c r="S186" s="411" t="s">
        <v>848</v>
      </c>
      <c r="T186" s="190" t="s">
        <v>0</v>
      </c>
      <c r="U186" s="22" t="s">
        <v>0</v>
      </c>
      <c r="V186" s="233"/>
      <c r="W186" s="239"/>
      <c r="X186" s="403"/>
      <c r="Y186" s="258"/>
    </row>
    <row r="187" spans="1:25" hidden="1" x14ac:dyDescent="0.3">
      <c r="A187" s="47">
        <f>IF(B187="","",SUBTOTAL(3,$B$3:B187)-1)</f>
        <v>3</v>
      </c>
      <c r="B187" s="3" t="s">
        <v>273</v>
      </c>
      <c r="C187" s="26" t="s">
        <v>59</v>
      </c>
      <c r="D187" s="26"/>
      <c r="E187" s="46"/>
      <c r="F187" s="22">
        <v>8</v>
      </c>
      <c r="G187" s="175" t="s">
        <v>415</v>
      </c>
      <c r="H187" s="405" t="s">
        <v>660</v>
      </c>
      <c r="I187" s="185"/>
      <c r="J187" s="67"/>
      <c r="K187" s="194"/>
      <c r="L187" s="67"/>
      <c r="M187" s="67"/>
      <c r="N187" s="67"/>
      <c r="O187" s="73"/>
      <c r="P187" s="237"/>
      <c r="Q187" s="255"/>
      <c r="R187" s="175" t="s">
        <v>1</v>
      </c>
      <c r="S187" s="411" t="s">
        <v>0</v>
      </c>
      <c r="T187" s="190"/>
      <c r="U187" s="22"/>
      <c r="V187" s="233"/>
      <c r="W187" s="239"/>
      <c r="X187" s="403"/>
      <c r="Y187" s="258"/>
    </row>
    <row r="188" spans="1:25" hidden="1" x14ac:dyDescent="0.3">
      <c r="A188" s="47">
        <f>IF(B188="","",SUBTOTAL(3,$B$3:B188)-1)</f>
        <v>3</v>
      </c>
      <c r="B188" s="24" t="s">
        <v>203</v>
      </c>
      <c r="C188" s="24" t="s">
        <v>59</v>
      </c>
      <c r="D188" s="163"/>
      <c r="E188" s="46">
        <f>($AA$2-O188)*$AB$2+Q188</f>
        <v>0</v>
      </c>
      <c r="F188" s="22">
        <v>9</v>
      </c>
      <c r="G188" s="175" t="s">
        <v>415</v>
      </c>
      <c r="H188" s="409" t="s">
        <v>635</v>
      </c>
      <c r="I188" s="187"/>
      <c r="J188" s="67"/>
      <c r="K188" s="194"/>
      <c r="L188" s="67"/>
      <c r="M188" s="67"/>
      <c r="N188" s="67"/>
      <c r="O188" s="73"/>
      <c r="P188" s="237"/>
      <c r="Q188" s="255"/>
      <c r="R188" s="175" t="s">
        <v>1</v>
      </c>
      <c r="S188" s="411" t="s">
        <v>2</v>
      </c>
      <c r="T188" s="190"/>
      <c r="U188" s="22"/>
      <c r="V188" s="233"/>
      <c r="W188" s="239"/>
      <c r="X188" s="403"/>
      <c r="Y188" s="258"/>
    </row>
    <row r="189" spans="1:25" hidden="1" x14ac:dyDescent="0.3">
      <c r="A189" s="47">
        <f>IF(B189="","",SUBTOTAL(3,$B$3:B189)-1)</f>
        <v>3</v>
      </c>
      <c r="B189" s="24" t="s">
        <v>334</v>
      </c>
      <c r="C189" s="24" t="s">
        <v>118</v>
      </c>
      <c r="D189" s="26">
        <v>975695597</v>
      </c>
      <c r="E189" s="46">
        <f>($AA$2-O189)*$AB$2+Q189</f>
        <v>0</v>
      </c>
      <c r="F189" s="22">
        <v>12</v>
      </c>
      <c r="G189" s="175"/>
      <c r="H189" s="405"/>
      <c r="I189" s="185"/>
      <c r="J189" s="67"/>
      <c r="K189" s="194"/>
      <c r="L189" s="67"/>
      <c r="M189" s="67"/>
      <c r="N189" s="67"/>
      <c r="O189" s="73"/>
      <c r="P189" s="237"/>
      <c r="Q189" s="255"/>
      <c r="R189" s="175" t="s">
        <v>415</v>
      </c>
      <c r="S189" s="411"/>
      <c r="T189" s="190"/>
      <c r="U189" s="22"/>
      <c r="V189" s="233"/>
      <c r="W189" s="239"/>
      <c r="X189" s="403"/>
      <c r="Y189" s="258"/>
    </row>
    <row r="190" spans="1:25" hidden="1" x14ac:dyDescent="0.3">
      <c r="A190" s="47">
        <f>IF(B190="","",SUBTOTAL(3,$B$3:B190)-1)</f>
        <v>3</v>
      </c>
      <c r="B190" s="143" t="s">
        <v>784</v>
      </c>
      <c r="C190" s="143" t="s">
        <v>785</v>
      </c>
      <c r="D190" s="143">
        <v>353307061</v>
      </c>
      <c r="E190" s="46"/>
      <c r="F190" s="142">
        <v>3</v>
      </c>
      <c r="G190" s="176"/>
      <c r="H190" s="406"/>
      <c r="I190" s="188"/>
      <c r="J190" s="142"/>
      <c r="K190" s="196" t="s">
        <v>721</v>
      </c>
      <c r="L190" s="67"/>
      <c r="M190" s="67"/>
      <c r="N190" s="67"/>
      <c r="O190" s="73"/>
      <c r="P190" s="237"/>
      <c r="Q190" s="255"/>
      <c r="R190" s="175"/>
      <c r="S190" s="411"/>
      <c r="T190" s="190"/>
      <c r="U190" s="22"/>
      <c r="V190" s="233"/>
      <c r="W190" s="239"/>
      <c r="X190" s="403"/>
      <c r="Y190" s="258"/>
    </row>
    <row r="191" spans="1:25" hidden="1" x14ac:dyDescent="0.3">
      <c r="A191" s="47">
        <f>IF(B191="","",SUBTOTAL(3,$B$3:B191)-1)</f>
        <v>3</v>
      </c>
      <c r="B191" s="143" t="s">
        <v>14</v>
      </c>
      <c r="C191" s="146" t="s">
        <v>785</v>
      </c>
      <c r="D191" s="143"/>
      <c r="E191" s="46"/>
      <c r="F191" s="369">
        <v>3</v>
      </c>
      <c r="G191" s="176"/>
      <c r="H191" s="407" t="s">
        <v>634</v>
      </c>
      <c r="I191" s="189"/>
      <c r="J191" s="67"/>
      <c r="K191" s="194"/>
      <c r="L191" s="180"/>
      <c r="M191" s="180"/>
      <c r="N191" s="180"/>
      <c r="O191" s="181"/>
      <c r="P191" s="237"/>
      <c r="Q191" s="255"/>
      <c r="R191" s="175"/>
      <c r="S191" s="411"/>
      <c r="T191" s="190"/>
      <c r="U191" s="22"/>
      <c r="V191" s="233"/>
      <c r="W191" s="239"/>
      <c r="X191" s="403"/>
      <c r="Y191" s="258"/>
    </row>
    <row r="192" spans="1:25" hidden="1" x14ac:dyDescent="0.3">
      <c r="A192" s="47">
        <f>IF(B192="","",SUBTOTAL(3,$B$3:B192)-1)</f>
        <v>3</v>
      </c>
      <c r="B192" s="143" t="s">
        <v>228</v>
      </c>
      <c r="C192" s="143" t="s">
        <v>785</v>
      </c>
      <c r="D192" s="143">
        <v>899665958</v>
      </c>
      <c r="E192" s="46"/>
      <c r="F192" s="22">
        <v>10</v>
      </c>
      <c r="G192" s="176"/>
      <c r="H192" s="406"/>
      <c r="I192" s="188"/>
      <c r="J192" s="142"/>
      <c r="K192" s="196" t="s">
        <v>721</v>
      </c>
      <c r="L192" s="67"/>
      <c r="M192" s="67"/>
      <c r="N192" s="67"/>
      <c r="O192" s="73"/>
      <c r="P192" s="237"/>
      <c r="Q192" s="255"/>
      <c r="R192" s="175"/>
      <c r="S192" s="411"/>
      <c r="T192" s="190"/>
      <c r="U192" s="22"/>
      <c r="V192" s="233"/>
      <c r="W192" s="239"/>
      <c r="X192" s="403"/>
      <c r="Y192" s="258"/>
    </row>
    <row r="193" spans="1:25" hidden="1" x14ac:dyDescent="0.3">
      <c r="A193" s="47">
        <f>IF(B193="","",SUBTOTAL(3,$B$3:B193)-1)</f>
        <v>3</v>
      </c>
      <c r="B193" s="265" t="s">
        <v>1281</v>
      </c>
      <c r="C193" s="265" t="s">
        <v>785</v>
      </c>
      <c r="D193" s="265">
        <v>377733914</v>
      </c>
      <c r="E193" s="46" t="s">
        <v>1214</v>
      </c>
      <c r="F193" s="300">
        <v>4</v>
      </c>
      <c r="G193" s="175" t="s">
        <v>826</v>
      </c>
      <c r="H193" s="405"/>
      <c r="I193" s="185"/>
      <c r="J193" s="71"/>
      <c r="K193" s="194"/>
      <c r="L193" s="67"/>
      <c r="M193" s="67"/>
      <c r="N193" s="67"/>
      <c r="O193" s="73"/>
      <c r="P193" s="237"/>
      <c r="Q193" s="255"/>
      <c r="R193" s="175" t="s">
        <v>1</v>
      </c>
      <c r="S193" s="411"/>
      <c r="T193" s="190"/>
      <c r="U193" s="22"/>
      <c r="V193" s="233"/>
      <c r="W193" s="239"/>
      <c r="X193" s="403"/>
      <c r="Y193" s="320" t="s">
        <v>1026</v>
      </c>
    </row>
    <row r="194" spans="1:25" hidden="1" x14ac:dyDescent="0.3">
      <c r="A194" s="47">
        <f>IF(B194="","",SUBTOTAL(3,$B$3:B194)-1)</f>
        <v>3</v>
      </c>
      <c r="B194" s="64" t="s">
        <v>1132</v>
      </c>
      <c r="C194" s="25" t="s">
        <v>21</v>
      </c>
      <c r="D194" s="24"/>
      <c r="E194" s="46"/>
      <c r="F194" s="22">
        <v>10</v>
      </c>
      <c r="G194" s="175" t="s">
        <v>415</v>
      </c>
      <c r="H194" s="405" t="s">
        <v>660</v>
      </c>
      <c r="I194" s="185"/>
      <c r="J194" s="71"/>
      <c r="K194" s="194"/>
      <c r="L194" s="180"/>
      <c r="M194" s="180"/>
      <c r="N194" s="180"/>
      <c r="O194" s="181"/>
      <c r="P194" s="237"/>
      <c r="Q194" s="255"/>
      <c r="R194" s="175" t="s">
        <v>2</v>
      </c>
      <c r="S194" s="414" t="s">
        <v>2</v>
      </c>
      <c r="T194" s="190"/>
      <c r="U194" s="22"/>
      <c r="V194" s="233"/>
      <c r="W194" s="239"/>
      <c r="X194" s="403"/>
      <c r="Y194" s="258"/>
    </row>
    <row r="195" spans="1:25" hidden="1" x14ac:dyDescent="0.3">
      <c r="A195" s="47">
        <f>IF(B195="","",SUBTOTAL(3,$B$3:B195)-1)</f>
        <v>3</v>
      </c>
      <c r="B195" s="26" t="s">
        <v>156</v>
      </c>
      <c r="C195" s="26" t="s">
        <v>21</v>
      </c>
      <c r="D195" s="163"/>
      <c r="E195" s="46">
        <f>($AA$2-O195)*$AB$2+Q195</f>
        <v>0</v>
      </c>
      <c r="F195" s="142">
        <v>6</v>
      </c>
      <c r="G195" s="176" t="s">
        <v>660</v>
      </c>
      <c r="H195" s="408"/>
      <c r="I195" s="186"/>
      <c r="J195" s="68"/>
      <c r="K195" s="195"/>
      <c r="L195" s="68"/>
      <c r="M195" s="68"/>
      <c r="N195" s="68"/>
      <c r="O195" s="73"/>
      <c r="P195" s="237" t="s">
        <v>1</v>
      </c>
      <c r="Q195" s="255"/>
      <c r="R195" s="175" t="s">
        <v>0</v>
      </c>
      <c r="S195" s="411"/>
      <c r="T195" s="190"/>
      <c r="U195" s="22"/>
      <c r="V195" s="233"/>
      <c r="W195" s="239" t="s">
        <v>848</v>
      </c>
      <c r="X195" s="403"/>
      <c r="Y195" s="258"/>
    </row>
    <row r="196" spans="1:25" hidden="1" x14ac:dyDescent="0.3">
      <c r="A196" s="47">
        <f>IF(B196="","",SUBTOTAL(3,$B$3:B196)-1)</f>
        <v>3</v>
      </c>
      <c r="B196" s="269" t="s">
        <v>156</v>
      </c>
      <c r="C196" s="269" t="s">
        <v>21</v>
      </c>
      <c r="D196" s="301">
        <v>975695597</v>
      </c>
      <c r="E196" s="46" t="s">
        <v>1214</v>
      </c>
      <c r="F196" s="22">
        <v>6</v>
      </c>
      <c r="G196" s="175" t="s">
        <v>415</v>
      </c>
      <c r="H196" s="405"/>
      <c r="I196" s="185"/>
      <c r="J196" s="71"/>
      <c r="K196" s="194"/>
      <c r="L196" s="67"/>
      <c r="M196" s="67"/>
      <c r="N196" s="67"/>
      <c r="O196" s="73"/>
      <c r="P196" s="237"/>
      <c r="Q196" s="255"/>
      <c r="R196" s="175" t="s">
        <v>848</v>
      </c>
      <c r="S196" s="408">
        <v>6</v>
      </c>
      <c r="T196" s="190"/>
      <c r="U196" s="22"/>
      <c r="V196" s="233"/>
      <c r="W196" s="239"/>
      <c r="X196" s="403"/>
      <c r="Y196" s="258"/>
    </row>
    <row r="197" spans="1:25" hidden="1" x14ac:dyDescent="0.3">
      <c r="A197" s="47">
        <f>IF(B197="","",SUBTOTAL(3,$B$3:B197)-1)</f>
        <v>3</v>
      </c>
      <c r="B197" s="24" t="s">
        <v>456</v>
      </c>
      <c r="C197" s="24" t="s">
        <v>21</v>
      </c>
      <c r="D197" s="163"/>
      <c r="E197" s="46">
        <f>($AA$2-O197)*$AB$2+Q197</f>
        <v>0</v>
      </c>
      <c r="F197" s="142">
        <v>7</v>
      </c>
      <c r="G197" s="175" t="s">
        <v>415</v>
      </c>
      <c r="H197" s="405" t="s">
        <v>696</v>
      </c>
      <c r="I197" s="185"/>
      <c r="J197" s="67"/>
      <c r="K197" s="194"/>
      <c r="L197" s="180"/>
      <c r="M197" s="180"/>
      <c r="N197" s="180"/>
      <c r="O197" s="181"/>
      <c r="P197" s="237"/>
      <c r="Q197" s="255"/>
      <c r="R197" s="175" t="s">
        <v>0</v>
      </c>
      <c r="S197" s="411" t="s">
        <v>0</v>
      </c>
      <c r="T197" s="190"/>
      <c r="U197" s="22"/>
      <c r="V197" s="233"/>
      <c r="W197" s="239"/>
      <c r="X197" s="403"/>
      <c r="Y197" s="258"/>
    </row>
    <row r="198" spans="1:25" hidden="1" x14ac:dyDescent="0.3">
      <c r="A198" s="47">
        <f>IF(B198="","",SUBTOTAL(3,$B$3:B198)-1)</f>
        <v>3</v>
      </c>
      <c r="B198" s="26" t="s">
        <v>522</v>
      </c>
      <c r="C198" s="26" t="s">
        <v>21</v>
      </c>
      <c r="D198" s="163">
        <v>702973185</v>
      </c>
      <c r="E198" s="46">
        <f>($AA$2-O198)*$AB$2+Q198</f>
        <v>0</v>
      </c>
      <c r="F198" s="22">
        <v>9</v>
      </c>
      <c r="G198" s="175"/>
      <c r="H198" s="409"/>
      <c r="I198" s="187"/>
      <c r="J198" s="67"/>
      <c r="K198" s="194"/>
      <c r="L198" s="67"/>
      <c r="M198" s="67"/>
      <c r="N198" s="67"/>
      <c r="O198" s="73"/>
      <c r="P198" s="237"/>
      <c r="Q198" s="255"/>
      <c r="R198" s="175"/>
      <c r="S198" s="411"/>
      <c r="T198" s="190"/>
      <c r="U198" s="22"/>
      <c r="V198" s="233"/>
      <c r="W198" s="239"/>
      <c r="X198" s="403"/>
      <c r="Y198" s="258"/>
    </row>
    <row r="199" spans="1:25" hidden="1" x14ac:dyDescent="0.3">
      <c r="A199" s="47">
        <f>IF(B199="","",SUBTOTAL(3,$B$3:B199)-1)</f>
        <v>3</v>
      </c>
      <c r="B199" s="25" t="s">
        <v>563</v>
      </c>
      <c r="C199" s="25" t="s">
        <v>562</v>
      </c>
      <c r="D199" s="163"/>
      <c r="E199" s="46">
        <f>($AA$2-O199)*$AB$2+Q199</f>
        <v>0</v>
      </c>
      <c r="F199" s="22">
        <v>8</v>
      </c>
      <c r="G199" s="175"/>
      <c r="H199" s="405" t="s">
        <v>2</v>
      </c>
      <c r="I199" s="185" t="s">
        <v>634</v>
      </c>
      <c r="J199" s="67"/>
      <c r="K199" s="194"/>
      <c r="L199" s="67"/>
      <c r="M199" s="67"/>
      <c r="N199" s="67"/>
      <c r="O199" s="73"/>
      <c r="P199" s="237" t="s">
        <v>0</v>
      </c>
      <c r="Q199" s="255"/>
      <c r="R199" s="175"/>
      <c r="S199" s="411" t="s">
        <v>848</v>
      </c>
      <c r="T199" s="190" t="s">
        <v>0</v>
      </c>
      <c r="U199" s="22"/>
      <c r="V199" s="233"/>
      <c r="W199" s="239"/>
      <c r="X199" s="403"/>
      <c r="Y199" s="258"/>
    </row>
    <row r="200" spans="1:25" hidden="1" x14ac:dyDescent="0.3">
      <c r="A200" s="47">
        <f>IF(B200="","",SUBTOTAL(3,$B$3:B200)-1)</f>
        <v>3</v>
      </c>
      <c r="B200" s="26" t="s">
        <v>884</v>
      </c>
      <c r="C200" s="26" t="s">
        <v>15</v>
      </c>
      <c r="D200" s="26">
        <v>907370931</v>
      </c>
      <c r="E200" s="46"/>
      <c r="F200" s="142">
        <v>3</v>
      </c>
      <c r="G200" s="176" t="s">
        <v>660</v>
      </c>
      <c r="H200" s="407" t="s">
        <v>634</v>
      </c>
      <c r="I200" s="189" t="s">
        <v>634</v>
      </c>
      <c r="J200" s="142"/>
      <c r="K200" s="196" t="s">
        <v>721</v>
      </c>
      <c r="L200" s="67"/>
      <c r="M200" s="67"/>
      <c r="N200" s="67"/>
      <c r="O200" s="73"/>
      <c r="P200" s="237" t="s">
        <v>1</v>
      </c>
      <c r="Q200" s="255"/>
      <c r="R200" s="175" t="s">
        <v>0</v>
      </c>
      <c r="S200" s="411"/>
      <c r="T200" s="190" t="s">
        <v>0</v>
      </c>
      <c r="U200" s="22"/>
      <c r="V200" s="233"/>
      <c r="W200" s="239" t="s">
        <v>848</v>
      </c>
      <c r="X200" s="403"/>
      <c r="Y200" s="258"/>
    </row>
    <row r="201" spans="1:25" hidden="1" x14ac:dyDescent="0.3">
      <c r="A201" s="47">
        <f>IF(B201="","",SUBTOTAL(3,$B$3:B201)-1)</f>
        <v>3</v>
      </c>
      <c r="B201" s="24" t="s">
        <v>307</v>
      </c>
      <c r="C201" s="24" t="s">
        <v>15</v>
      </c>
      <c r="D201" s="25">
        <v>937983726</v>
      </c>
      <c r="E201" s="46">
        <f>($AA$2-O201)*$AB$2+Q201</f>
        <v>0</v>
      </c>
      <c r="F201" s="22">
        <v>10</v>
      </c>
      <c r="G201" s="175" t="s">
        <v>415</v>
      </c>
      <c r="H201" s="405"/>
      <c r="I201" s="185" t="s">
        <v>661</v>
      </c>
      <c r="J201" s="71"/>
      <c r="K201" s="194"/>
      <c r="L201" s="180"/>
      <c r="M201" s="180"/>
      <c r="N201" s="180"/>
      <c r="O201" s="181"/>
      <c r="P201" s="237"/>
      <c r="Q201" s="255"/>
      <c r="R201" s="175" t="s">
        <v>848</v>
      </c>
      <c r="S201" s="411"/>
      <c r="T201" s="190" t="s">
        <v>0</v>
      </c>
      <c r="U201" s="22"/>
      <c r="V201" s="233"/>
      <c r="W201" s="239"/>
      <c r="X201" s="403"/>
      <c r="Y201" s="258"/>
    </row>
    <row r="202" spans="1:25" hidden="1" x14ac:dyDescent="0.3">
      <c r="A202" s="47">
        <f>IF(B202="","",SUBTOTAL(3,$B$3:B202)-1)</f>
        <v>3</v>
      </c>
      <c r="B202" s="39" t="s">
        <v>694</v>
      </c>
      <c r="C202" s="24" t="s">
        <v>15</v>
      </c>
      <c r="D202" s="163"/>
      <c r="E202" s="46">
        <f>($AA$2-O202)*$AB$2+Q202</f>
        <v>0</v>
      </c>
      <c r="F202" s="22">
        <v>11</v>
      </c>
      <c r="G202" s="175"/>
      <c r="H202" s="405" t="s">
        <v>635</v>
      </c>
      <c r="I202" s="185"/>
      <c r="J202" s="67"/>
      <c r="K202" s="194"/>
      <c r="L202" s="67"/>
      <c r="M202" s="67"/>
      <c r="N202" s="67"/>
      <c r="O202" s="73"/>
      <c r="P202" s="237"/>
      <c r="Q202" s="255"/>
      <c r="R202" s="175"/>
      <c r="S202" s="411" t="s">
        <v>2</v>
      </c>
      <c r="T202" s="190"/>
      <c r="U202" s="22"/>
      <c r="V202" s="233"/>
      <c r="W202" s="239"/>
      <c r="X202" s="403"/>
      <c r="Y202" s="258"/>
    </row>
    <row r="203" spans="1:25" hidden="1" x14ac:dyDescent="0.3">
      <c r="A203" s="47">
        <f>IF(B203="","",SUBTOTAL(3,$B$3:B203)-1)</f>
        <v>3</v>
      </c>
      <c r="B203" s="24" t="s">
        <v>148</v>
      </c>
      <c r="C203" s="24" t="s">
        <v>15</v>
      </c>
      <c r="D203" s="24"/>
      <c r="E203" s="46"/>
      <c r="F203" s="22">
        <v>11</v>
      </c>
      <c r="G203" s="175"/>
      <c r="H203" s="405"/>
      <c r="I203" s="185"/>
      <c r="J203" s="67"/>
      <c r="K203" s="194"/>
      <c r="L203" s="67"/>
      <c r="M203" s="67"/>
      <c r="N203" s="67"/>
      <c r="O203" s="73"/>
      <c r="P203" s="237"/>
      <c r="Q203" s="255"/>
      <c r="R203" s="175"/>
      <c r="S203" s="411" t="s">
        <v>710</v>
      </c>
      <c r="T203" s="190"/>
      <c r="U203" s="22"/>
      <c r="V203" s="233"/>
      <c r="W203" s="239"/>
      <c r="X203" s="403"/>
      <c r="Y203" s="258"/>
    </row>
    <row r="204" spans="1:25" hidden="1" x14ac:dyDescent="0.3">
      <c r="A204" s="47">
        <f>IF(B204="","",SUBTOTAL(3,$B$3:B204)-1)</f>
        <v>3</v>
      </c>
      <c r="B204" s="24" t="s">
        <v>145</v>
      </c>
      <c r="C204" s="24" t="s">
        <v>15</v>
      </c>
      <c r="D204" s="26"/>
      <c r="E204" s="46"/>
      <c r="F204" s="22">
        <v>5</v>
      </c>
      <c r="G204" s="176" t="s">
        <v>660</v>
      </c>
      <c r="H204" s="405"/>
      <c r="I204" s="185"/>
      <c r="J204" s="67"/>
      <c r="K204" s="194"/>
      <c r="L204" s="67"/>
      <c r="M204" s="67"/>
      <c r="N204" s="67"/>
      <c r="O204" s="73"/>
      <c r="P204" s="237"/>
      <c r="Q204" s="255"/>
      <c r="R204" s="175" t="s">
        <v>0</v>
      </c>
      <c r="S204" s="411"/>
      <c r="T204" s="190"/>
      <c r="U204" s="22"/>
      <c r="V204" s="233"/>
      <c r="W204" s="239" t="s">
        <v>0</v>
      </c>
      <c r="X204" s="403"/>
      <c r="Y204" s="258"/>
    </row>
    <row r="205" spans="1:25" x14ac:dyDescent="0.3">
      <c r="A205" s="47">
        <f>IF(B205="","",SUBTOTAL(3,$B$3:B205)-1)</f>
        <v>4</v>
      </c>
      <c r="B205" s="26" t="s">
        <v>160</v>
      </c>
      <c r="C205" s="26" t="s">
        <v>15</v>
      </c>
      <c r="D205" s="24"/>
      <c r="E205" s="46">
        <f>($AA$2-O205)*$AB$2+Q205</f>
        <v>0</v>
      </c>
      <c r="F205" s="142">
        <v>6</v>
      </c>
      <c r="G205" s="176" t="s">
        <v>660</v>
      </c>
      <c r="H205" s="405" t="s">
        <v>634</v>
      </c>
      <c r="I205" s="185" t="s">
        <v>634</v>
      </c>
      <c r="J205" s="67"/>
      <c r="K205" s="194"/>
      <c r="L205" s="67"/>
      <c r="M205" s="67"/>
      <c r="N205" s="67"/>
      <c r="O205" s="73"/>
      <c r="P205" s="237"/>
      <c r="Q205" s="255"/>
      <c r="R205" s="175" t="s">
        <v>0</v>
      </c>
      <c r="S205" s="411"/>
      <c r="T205" s="190" t="s">
        <v>0</v>
      </c>
      <c r="U205" s="22"/>
      <c r="V205" s="233"/>
      <c r="W205" s="239"/>
      <c r="X205" s="403"/>
      <c r="Y205" s="258"/>
    </row>
    <row r="206" spans="1:25" hidden="1" x14ac:dyDescent="0.3">
      <c r="A206" s="47">
        <f>IF(B206="","",SUBTOTAL(3,$B$3:B206)-1)</f>
        <v>4</v>
      </c>
      <c r="B206" s="3" t="s">
        <v>160</v>
      </c>
      <c r="C206" s="3" t="s">
        <v>15</v>
      </c>
      <c r="D206" s="17"/>
      <c r="E206" s="46" t="s">
        <v>1214</v>
      </c>
      <c r="F206" s="22">
        <v>6</v>
      </c>
      <c r="G206" s="175" t="s">
        <v>415</v>
      </c>
      <c r="H206" s="405"/>
      <c r="I206" s="185"/>
      <c r="J206" s="71"/>
      <c r="K206" s="194"/>
      <c r="L206" s="67"/>
      <c r="M206" s="67"/>
      <c r="N206" s="67"/>
      <c r="O206" s="73"/>
      <c r="P206" s="237"/>
      <c r="Q206" s="255"/>
      <c r="R206" s="175" t="s">
        <v>848</v>
      </c>
      <c r="S206" s="408">
        <v>6</v>
      </c>
      <c r="T206" s="190"/>
      <c r="U206" s="22"/>
      <c r="V206" s="233"/>
      <c r="W206" s="239"/>
      <c r="X206" s="403"/>
      <c r="Y206" s="258"/>
    </row>
    <row r="207" spans="1:25" hidden="1" x14ac:dyDescent="0.3">
      <c r="A207" s="47">
        <f>IF(B207="","",SUBTOTAL(3,$B$3:B207)-1)</f>
        <v>4</v>
      </c>
      <c r="B207" s="143" t="s">
        <v>894</v>
      </c>
      <c r="C207" s="143" t="s">
        <v>15</v>
      </c>
      <c r="D207" s="143">
        <v>353635653</v>
      </c>
      <c r="E207" s="46">
        <f>($AA$2-O207)*$AB$2+Q207</f>
        <v>0</v>
      </c>
      <c r="F207" s="22">
        <v>8</v>
      </c>
      <c r="G207" s="175"/>
      <c r="H207" s="405" t="s">
        <v>635</v>
      </c>
      <c r="I207" s="185"/>
      <c r="J207" s="67"/>
      <c r="K207" s="194"/>
      <c r="L207" s="67"/>
      <c r="M207" s="67"/>
      <c r="N207" s="67"/>
      <c r="O207" s="73"/>
      <c r="P207" s="237"/>
      <c r="Q207" s="255"/>
      <c r="R207" s="175"/>
      <c r="S207" s="411" t="s">
        <v>2</v>
      </c>
      <c r="T207" s="190"/>
      <c r="U207" s="22"/>
      <c r="V207" s="233"/>
      <c r="W207" s="239"/>
      <c r="X207" s="403"/>
      <c r="Y207" s="258"/>
    </row>
    <row r="208" spans="1:25" hidden="1" x14ac:dyDescent="0.3">
      <c r="A208" s="47">
        <f>IF(B208="","",SUBTOTAL(3,$B$3:B208)-1)</f>
        <v>4</v>
      </c>
      <c r="B208" s="3" t="s">
        <v>1183</v>
      </c>
      <c r="C208" s="26" t="s">
        <v>6</v>
      </c>
      <c r="D208" s="25"/>
      <c r="E208" s="46"/>
      <c r="F208" s="21">
        <v>2</v>
      </c>
      <c r="G208" s="176"/>
      <c r="H208" s="405" t="s">
        <v>634</v>
      </c>
      <c r="I208" s="185" t="s">
        <v>634</v>
      </c>
      <c r="J208" s="67"/>
      <c r="K208" s="194"/>
      <c r="L208" s="67"/>
      <c r="M208" s="67"/>
      <c r="N208" s="67"/>
      <c r="O208" s="73"/>
      <c r="P208" s="237"/>
      <c r="Q208" s="255"/>
      <c r="R208" s="175"/>
      <c r="S208" s="411"/>
      <c r="T208" s="190" t="s">
        <v>0</v>
      </c>
      <c r="U208" s="22"/>
      <c r="V208" s="233"/>
      <c r="W208" s="239"/>
      <c r="X208" s="403"/>
      <c r="Y208" s="258"/>
    </row>
    <row r="209" spans="1:25" hidden="1" x14ac:dyDescent="0.3">
      <c r="A209" s="47">
        <f>IF(B209="","",SUBTOTAL(3,$B$3:B209)-1)</f>
        <v>4</v>
      </c>
      <c r="B209" s="24" t="s">
        <v>491</v>
      </c>
      <c r="C209" s="24" t="s">
        <v>6</v>
      </c>
      <c r="D209" s="24"/>
      <c r="E209" s="46">
        <f>($AA$2-O209)*$AB$2+Q209</f>
        <v>0</v>
      </c>
      <c r="F209" s="22">
        <v>11</v>
      </c>
      <c r="G209" s="175"/>
      <c r="H209" s="405"/>
      <c r="I209" s="185"/>
      <c r="J209" s="67"/>
      <c r="K209" s="194"/>
      <c r="L209" s="180"/>
      <c r="M209" s="180"/>
      <c r="N209" s="180"/>
      <c r="O209" s="181"/>
      <c r="P209" s="237"/>
      <c r="Q209" s="255"/>
      <c r="R209" s="175"/>
      <c r="S209" s="411"/>
      <c r="T209" s="190"/>
      <c r="U209" s="22"/>
      <c r="V209" s="233"/>
      <c r="W209" s="239"/>
      <c r="X209" s="403"/>
      <c r="Y209" s="258"/>
    </row>
    <row r="210" spans="1:25" hidden="1" x14ac:dyDescent="0.3">
      <c r="A210" s="47">
        <f>IF(B210="","",SUBTOTAL(3,$B$3:B210)-1)</f>
        <v>4</v>
      </c>
      <c r="B210" s="24" t="s">
        <v>613</v>
      </c>
      <c r="C210" s="24" t="s">
        <v>6</v>
      </c>
      <c r="D210" s="163"/>
      <c r="E210" s="46">
        <f>($AA$2-O210)*$AB$2+Q210</f>
        <v>0</v>
      </c>
      <c r="F210" s="22">
        <v>12</v>
      </c>
      <c r="G210" s="175" t="s">
        <v>660</v>
      </c>
      <c r="H210" s="405"/>
      <c r="I210" s="185"/>
      <c r="J210" s="67"/>
      <c r="K210" s="194"/>
      <c r="L210" s="67"/>
      <c r="M210" s="67"/>
      <c r="N210" s="67"/>
      <c r="O210" s="73"/>
      <c r="P210" s="237"/>
      <c r="Q210" s="255"/>
      <c r="R210" s="175" t="s">
        <v>1</v>
      </c>
      <c r="S210" s="411"/>
      <c r="T210" s="190"/>
      <c r="U210" s="22"/>
      <c r="V210" s="233"/>
      <c r="W210" s="239"/>
      <c r="X210" s="403"/>
      <c r="Y210" s="258"/>
    </row>
    <row r="211" spans="1:25" hidden="1" x14ac:dyDescent="0.3">
      <c r="A211" s="47">
        <f>IF(B211="","",SUBTOTAL(3,$B$3:B211)-1)</f>
        <v>4</v>
      </c>
      <c r="B211" s="24" t="s">
        <v>301</v>
      </c>
      <c r="C211" s="24" t="s">
        <v>6</v>
      </c>
      <c r="D211" s="163"/>
      <c r="E211" s="46">
        <f>($AA$2-O211)*$AB$2+Q211</f>
        <v>0</v>
      </c>
      <c r="F211" s="22">
        <v>12</v>
      </c>
      <c r="G211" s="175"/>
      <c r="H211" s="405"/>
      <c r="I211" s="185"/>
      <c r="J211" s="67"/>
      <c r="K211" s="194"/>
      <c r="L211" s="67"/>
      <c r="M211" s="67"/>
      <c r="N211" s="67"/>
      <c r="O211" s="73"/>
      <c r="P211" s="237"/>
      <c r="Q211" s="255"/>
      <c r="R211" s="175" t="s">
        <v>415</v>
      </c>
      <c r="S211" s="411"/>
      <c r="T211" s="190"/>
      <c r="U211" s="22"/>
      <c r="V211" s="233"/>
      <c r="W211" s="239"/>
      <c r="X211" s="403"/>
      <c r="Y211" s="258"/>
    </row>
    <row r="212" spans="1:25" hidden="1" x14ac:dyDescent="0.3">
      <c r="A212" s="47">
        <f>IF(B212="","",SUBTOTAL(3,$B$3:B212)-1)</f>
        <v>4</v>
      </c>
      <c r="B212" s="25" t="s">
        <v>136</v>
      </c>
      <c r="C212" s="25" t="s">
        <v>6</v>
      </c>
      <c r="D212" s="24">
        <v>345688872</v>
      </c>
      <c r="E212" s="46"/>
      <c r="F212" s="22">
        <v>5</v>
      </c>
      <c r="G212" s="176" t="s">
        <v>660</v>
      </c>
      <c r="H212" s="405"/>
      <c r="I212" s="185"/>
      <c r="J212" s="67"/>
      <c r="K212" s="194"/>
      <c r="L212" s="67"/>
      <c r="M212" s="67"/>
      <c r="N212" s="67"/>
      <c r="O212" s="73"/>
      <c r="P212" s="237" t="s">
        <v>1</v>
      </c>
      <c r="Q212" s="255"/>
      <c r="R212" s="175" t="s">
        <v>0</v>
      </c>
      <c r="S212" s="411"/>
      <c r="T212" s="190"/>
      <c r="U212" s="22"/>
      <c r="V212" s="233"/>
      <c r="W212" s="239" t="s">
        <v>0</v>
      </c>
      <c r="X212" s="403"/>
      <c r="Y212" s="258"/>
    </row>
    <row r="213" spans="1:25" hidden="1" x14ac:dyDescent="0.3">
      <c r="A213" s="47">
        <f>IF(B213="","",SUBTOTAL(3,$B$3:B213)-1)</f>
        <v>4</v>
      </c>
      <c r="B213" s="143" t="s">
        <v>171</v>
      </c>
      <c r="C213" s="143" t="s">
        <v>6</v>
      </c>
      <c r="D213" s="143"/>
      <c r="E213" s="46"/>
      <c r="F213" s="22">
        <v>5</v>
      </c>
      <c r="G213" s="176"/>
      <c r="H213" s="407" t="s">
        <v>634</v>
      </c>
      <c r="I213" s="189" t="s">
        <v>634</v>
      </c>
      <c r="J213" s="142"/>
      <c r="K213" s="196"/>
      <c r="L213" s="67"/>
      <c r="M213" s="67"/>
      <c r="N213" s="67"/>
      <c r="O213" s="73"/>
      <c r="P213" s="237"/>
      <c r="Q213" s="255"/>
      <c r="R213" s="175"/>
      <c r="S213" s="411"/>
      <c r="T213" s="190" t="s">
        <v>0</v>
      </c>
      <c r="U213" s="22"/>
      <c r="V213" s="233"/>
      <c r="W213" s="239"/>
      <c r="X213" s="403"/>
      <c r="Y213" s="258"/>
    </row>
    <row r="214" spans="1:25" hidden="1" x14ac:dyDescent="0.3">
      <c r="A214" s="47">
        <f>IF(B214="","",SUBTOTAL(3,$B$3:B214)-1)</f>
        <v>4</v>
      </c>
      <c r="B214" s="160" t="s">
        <v>868</v>
      </c>
      <c r="C214" s="143" t="s">
        <v>6</v>
      </c>
      <c r="D214" s="143">
        <v>979242060</v>
      </c>
      <c r="E214" s="46"/>
      <c r="F214" s="142">
        <v>7</v>
      </c>
      <c r="G214" s="175" t="s">
        <v>415</v>
      </c>
      <c r="H214" s="406" t="s">
        <v>696</v>
      </c>
      <c r="I214" s="188" t="s">
        <v>634</v>
      </c>
      <c r="J214" s="142"/>
      <c r="K214" s="196" t="s">
        <v>721</v>
      </c>
      <c r="L214" s="67"/>
      <c r="M214" s="67"/>
      <c r="N214" s="67"/>
      <c r="O214" s="73"/>
      <c r="P214" s="237" t="s">
        <v>1</v>
      </c>
      <c r="Q214" s="255"/>
      <c r="R214" s="175" t="s">
        <v>848</v>
      </c>
      <c r="S214" s="411" t="s">
        <v>848</v>
      </c>
      <c r="T214" s="190" t="s">
        <v>0</v>
      </c>
      <c r="U214" s="22"/>
      <c r="V214" s="233"/>
      <c r="W214" s="239" t="s">
        <v>0</v>
      </c>
      <c r="X214" s="403"/>
      <c r="Y214" s="258"/>
    </row>
    <row r="215" spans="1:25" hidden="1" x14ac:dyDescent="0.3">
      <c r="A215" s="47">
        <f>IF(B215="","",SUBTOTAL(3,$B$3:B215)-1)</f>
        <v>4</v>
      </c>
      <c r="B215" s="26" t="s">
        <v>435</v>
      </c>
      <c r="C215" s="26" t="s">
        <v>6</v>
      </c>
      <c r="D215" s="26">
        <v>939253654</v>
      </c>
      <c r="E215" s="46">
        <f>($AA$2-O215)*$AB$2+Q215</f>
        <v>0</v>
      </c>
      <c r="F215" s="22">
        <v>8</v>
      </c>
      <c r="G215" s="175" t="s">
        <v>415</v>
      </c>
      <c r="H215" s="405" t="s">
        <v>660</v>
      </c>
      <c r="I215" s="185"/>
      <c r="J215" s="67"/>
      <c r="K215" s="194"/>
      <c r="L215" s="180"/>
      <c r="M215" s="180"/>
      <c r="N215" s="180"/>
      <c r="O215" s="181"/>
      <c r="P215" s="237"/>
      <c r="Q215" s="255"/>
      <c r="R215" s="175" t="s">
        <v>1</v>
      </c>
      <c r="S215" s="411" t="s">
        <v>0</v>
      </c>
      <c r="T215" s="190"/>
      <c r="U215" s="22"/>
      <c r="V215" s="233"/>
      <c r="W215" s="239"/>
      <c r="X215" s="403"/>
      <c r="Y215" s="258"/>
    </row>
    <row r="216" spans="1:25" hidden="1" x14ac:dyDescent="0.3">
      <c r="A216" s="47">
        <f>IF(B216="","",SUBTOTAL(3,$B$3:B216)-1)</f>
        <v>4</v>
      </c>
      <c r="B216" s="25" t="s">
        <v>1123</v>
      </c>
      <c r="C216" s="25" t="s">
        <v>6</v>
      </c>
      <c r="D216" s="163"/>
      <c r="E216" s="46"/>
      <c r="F216" s="22">
        <v>9</v>
      </c>
      <c r="G216" s="175" t="s">
        <v>415</v>
      </c>
      <c r="H216" s="405" t="s">
        <v>660</v>
      </c>
      <c r="I216" s="185"/>
      <c r="J216" s="67"/>
      <c r="K216" s="194"/>
      <c r="L216" s="180"/>
      <c r="M216" s="180"/>
      <c r="N216" s="180"/>
      <c r="O216" s="181"/>
      <c r="P216" s="237"/>
      <c r="Q216" s="255"/>
      <c r="R216" s="175" t="s">
        <v>2</v>
      </c>
      <c r="S216" s="411" t="s">
        <v>0</v>
      </c>
      <c r="T216" s="190"/>
      <c r="U216" s="22"/>
      <c r="V216" s="233"/>
      <c r="W216" s="239"/>
      <c r="X216" s="403"/>
      <c r="Y216" s="258"/>
    </row>
    <row r="217" spans="1:25" hidden="1" x14ac:dyDescent="0.3">
      <c r="A217" s="47">
        <f>IF(B217="","",SUBTOTAL(3,$B$3:B217)-1)</f>
        <v>4</v>
      </c>
      <c r="B217" s="265" t="s">
        <v>1306</v>
      </c>
      <c r="C217" s="265" t="s">
        <v>6</v>
      </c>
      <c r="D217" s="265">
        <v>971936527</v>
      </c>
      <c r="E217" s="46" t="s">
        <v>1214</v>
      </c>
      <c r="F217" s="301">
        <v>9</v>
      </c>
      <c r="G217" s="175" t="s">
        <v>415</v>
      </c>
      <c r="H217" s="405" t="s">
        <v>635</v>
      </c>
      <c r="I217" s="185"/>
      <c r="J217" s="71"/>
      <c r="K217" s="194"/>
      <c r="L217" s="67"/>
      <c r="M217" s="67"/>
      <c r="N217" s="67"/>
      <c r="O217" s="73"/>
      <c r="P217" s="237"/>
      <c r="Q217" s="255"/>
      <c r="R217" s="175" t="s">
        <v>661</v>
      </c>
      <c r="S217" s="411" t="s">
        <v>2</v>
      </c>
      <c r="T217" s="190"/>
      <c r="U217" s="22"/>
      <c r="V217" s="233"/>
      <c r="W217" s="239"/>
      <c r="X217" s="403"/>
      <c r="Y217" s="320" t="s">
        <v>1326</v>
      </c>
    </row>
    <row r="218" spans="1:25" hidden="1" x14ac:dyDescent="0.3">
      <c r="A218" s="47">
        <f>IF(B218="","",SUBTOTAL(3,$B$3:B218)-1)</f>
        <v>4</v>
      </c>
      <c r="B218" s="24" t="s">
        <v>273</v>
      </c>
      <c r="C218" s="24" t="s">
        <v>71</v>
      </c>
      <c r="D218" s="24"/>
      <c r="E218" s="46">
        <f>($AA$2-O218)*$AB$2+Q218</f>
        <v>0</v>
      </c>
      <c r="F218" s="22" t="s">
        <v>1213</v>
      </c>
      <c r="G218" s="175"/>
      <c r="H218" s="405"/>
      <c r="I218" s="185"/>
      <c r="J218" s="67"/>
      <c r="K218" s="194"/>
      <c r="L218" s="67"/>
      <c r="M218" s="67"/>
      <c r="N218" s="67"/>
      <c r="O218" s="73"/>
      <c r="P218" s="237"/>
      <c r="Q218" s="255"/>
      <c r="R218" s="175"/>
      <c r="S218" s="411"/>
      <c r="T218" s="190"/>
      <c r="U218" s="22"/>
      <c r="V218" s="233"/>
      <c r="W218" s="239"/>
      <c r="X218" s="403"/>
      <c r="Y218" s="258"/>
    </row>
    <row r="219" spans="1:25" hidden="1" x14ac:dyDescent="0.3">
      <c r="A219" s="47">
        <f>IF(B219="","",SUBTOTAL(3,$B$3:B219)-1)</f>
        <v>4</v>
      </c>
      <c r="B219" s="17" t="s">
        <v>34</v>
      </c>
      <c r="C219" s="24" t="s">
        <v>71</v>
      </c>
      <c r="D219" s="163"/>
      <c r="E219" s="46">
        <f>($AA$2-O219)*$AB$2+Q219</f>
        <v>0</v>
      </c>
      <c r="F219" s="22" t="s">
        <v>1213</v>
      </c>
      <c r="G219" s="175"/>
      <c r="H219" s="408"/>
      <c r="I219" s="186"/>
      <c r="J219" s="68"/>
      <c r="K219" s="195"/>
      <c r="L219" s="68"/>
      <c r="M219" s="68"/>
      <c r="N219" s="68"/>
      <c r="O219" s="73"/>
      <c r="P219" s="237"/>
      <c r="Q219" s="255"/>
      <c r="R219" s="175"/>
      <c r="S219" s="411"/>
      <c r="T219" s="190"/>
      <c r="U219" s="22"/>
      <c r="V219" s="233"/>
      <c r="W219" s="239"/>
      <c r="X219" s="403"/>
      <c r="Y219" s="258"/>
    </row>
    <row r="220" spans="1:25" hidden="1" x14ac:dyDescent="0.3">
      <c r="A220" s="47">
        <f>IF(B220="","",SUBTOTAL(3,$B$3:B220)-1)</f>
        <v>4</v>
      </c>
      <c r="B220" s="380" t="s">
        <v>1369</v>
      </c>
      <c r="C220" s="380" t="s">
        <v>71</v>
      </c>
      <c r="D220" s="381"/>
      <c r="E220" s="46" t="s">
        <v>1356</v>
      </c>
      <c r="F220" s="384">
        <v>6</v>
      </c>
      <c r="G220" s="175"/>
      <c r="H220" s="405" t="s">
        <v>635</v>
      </c>
      <c r="I220" s="185"/>
      <c r="J220" s="71"/>
      <c r="K220" s="194"/>
      <c r="L220" s="67"/>
      <c r="M220" s="67"/>
      <c r="N220" s="67"/>
      <c r="O220" s="73"/>
      <c r="P220" s="237"/>
      <c r="Q220" s="255"/>
      <c r="R220" s="175"/>
      <c r="S220" s="411" t="s">
        <v>1</v>
      </c>
      <c r="T220" s="190"/>
      <c r="U220" s="22"/>
      <c r="V220" s="233"/>
      <c r="W220" s="239"/>
      <c r="X220" s="403"/>
      <c r="Y220" s="383" t="s">
        <v>764</v>
      </c>
    </row>
    <row r="221" spans="1:25" hidden="1" x14ac:dyDescent="0.3">
      <c r="A221" s="47">
        <f>IF(B221="","",SUBTOTAL(3,$B$3:B221)-1)</f>
        <v>4</v>
      </c>
      <c r="B221" s="143" t="s">
        <v>805</v>
      </c>
      <c r="C221" s="143" t="s">
        <v>71</v>
      </c>
      <c r="D221" s="143">
        <v>786762058</v>
      </c>
      <c r="E221" s="46"/>
      <c r="F221" s="142">
        <v>7</v>
      </c>
      <c r="G221" s="175"/>
      <c r="H221" s="405"/>
      <c r="I221" s="188"/>
      <c r="J221" s="142"/>
      <c r="K221" s="196" t="s">
        <v>721</v>
      </c>
      <c r="L221" s="67"/>
      <c r="M221" s="67"/>
      <c r="N221" s="67"/>
      <c r="O221" s="73"/>
      <c r="P221" s="237"/>
      <c r="Q221" s="255"/>
      <c r="R221" s="175"/>
      <c r="S221" s="411"/>
      <c r="T221" s="190"/>
      <c r="U221" s="22"/>
      <c r="V221" s="233"/>
      <c r="W221" s="239"/>
      <c r="X221" s="403"/>
      <c r="Y221" s="258"/>
    </row>
    <row r="222" spans="1:25" hidden="1" x14ac:dyDescent="0.3">
      <c r="A222" s="47">
        <f>IF(B222="","",SUBTOTAL(3,$B$3:B222)-1)</f>
        <v>4</v>
      </c>
      <c r="B222" s="143" t="s">
        <v>806</v>
      </c>
      <c r="C222" s="143" t="s">
        <v>71</v>
      </c>
      <c r="D222" s="39">
        <v>868063631</v>
      </c>
      <c r="E222" s="46"/>
      <c r="F222" s="142">
        <v>7</v>
      </c>
      <c r="G222" s="175"/>
      <c r="H222" s="405" t="s">
        <v>635</v>
      </c>
      <c r="I222" s="188"/>
      <c r="J222" s="142"/>
      <c r="K222" s="196" t="s">
        <v>721</v>
      </c>
      <c r="L222" s="67"/>
      <c r="M222" s="67"/>
      <c r="N222" s="67"/>
      <c r="O222" s="73"/>
      <c r="P222" s="237"/>
      <c r="Q222" s="255"/>
      <c r="R222" s="175"/>
      <c r="S222" s="411" t="s">
        <v>1</v>
      </c>
      <c r="T222" s="190"/>
      <c r="U222" s="22"/>
      <c r="V222" s="233"/>
      <c r="W222" s="239"/>
      <c r="X222" s="403"/>
      <c r="Y222" s="258"/>
    </row>
    <row r="223" spans="1:25" hidden="1" x14ac:dyDescent="0.3">
      <c r="A223" s="47">
        <f>IF(B223="","",SUBTOTAL(3,$B$3:B223)-1)</f>
        <v>4</v>
      </c>
      <c r="B223" s="39" t="s">
        <v>805</v>
      </c>
      <c r="C223" s="24" t="s">
        <v>71</v>
      </c>
      <c r="D223" s="163"/>
      <c r="E223" s="46"/>
      <c r="F223" s="142">
        <v>7</v>
      </c>
      <c r="G223" s="176"/>
      <c r="H223" s="406"/>
      <c r="I223" s="185"/>
      <c r="J223" s="67"/>
      <c r="K223" s="194"/>
      <c r="L223" s="180"/>
      <c r="M223" s="180"/>
      <c r="N223" s="180"/>
      <c r="O223" s="181"/>
      <c r="P223" s="237"/>
      <c r="Q223" s="255"/>
      <c r="R223" s="175" t="s">
        <v>661</v>
      </c>
      <c r="S223" s="411"/>
      <c r="T223" s="190"/>
      <c r="U223" s="22"/>
      <c r="V223" s="233"/>
      <c r="W223" s="239"/>
      <c r="X223" s="403"/>
      <c r="Y223" s="258"/>
    </row>
    <row r="224" spans="1:25" hidden="1" x14ac:dyDescent="0.3">
      <c r="A224" s="47">
        <f>IF(B224="","",SUBTOTAL(3,$B$3:B224)-1)</f>
        <v>4</v>
      </c>
      <c r="B224" s="24" t="s">
        <v>160</v>
      </c>
      <c r="C224" s="24" t="s">
        <v>71</v>
      </c>
      <c r="D224" s="163"/>
      <c r="E224" s="46">
        <f>($AA$2-O224)*$AB$2+Q224</f>
        <v>0</v>
      </c>
      <c r="F224" s="21">
        <v>9</v>
      </c>
      <c r="G224" s="175"/>
      <c r="H224" s="409"/>
      <c r="I224" s="187"/>
      <c r="J224" s="67"/>
      <c r="K224" s="194"/>
      <c r="L224" s="67"/>
      <c r="M224" s="67"/>
      <c r="N224" s="67"/>
      <c r="O224" s="73"/>
      <c r="P224" s="237"/>
      <c r="Q224" s="255"/>
      <c r="R224" s="175"/>
      <c r="S224" s="411"/>
      <c r="T224" s="190"/>
      <c r="U224" s="22"/>
      <c r="V224" s="233"/>
      <c r="W224" s="239"/>
      <c r="X224" s="403"/>
      <c r="Y224" s="258"/>
    </row>
    <row r="225" spans="1:25" x14ac:dyDescent="0.3">
      <c r="A225" s="47">
        <f>IF(B225="","",SUBTOTAL(3,$B$3:B225)-1)</f>
        <v>5</v>
      </c>
      <c r="B225" s="26" t="s">
        <v>459</v>
      </c>
      <c r="C225" s="26" t="s">
        <v>460</v>
      </c>
      <c r="D225" s="25"/>
      <c r="E225" s="46">
        <f>($AA$2-O225)*$AB$2+Q225</f>
        <v>0</v>
      </c>
      <c r="F225" s="369">
        <v>6</v>
      </c>
      <c r="G225" s="176" t="s">
        <v>660</v>
      </c>
      <c r="H225" s="405"/>
      <c r="I225" s="185" t="s">
        <v>634</v>
      </c>
      <c r="J225" s="67"/>
      <c r="K225" s="194"/>
      <c r="L225" s="67"/>
      <c r="M225" s="67"/>
      <c r="N225" s="67"/>
      <c r="O225" s="73"/>
      <c r="P225" s="237" t="s">
        <v>1</v>
      </c>
      <c r="Q225" s="255"/>
      <c r="R225" s="175" t="s">
        <v>0</v>
      </c>
      <c r="S225" s="411"/>
      <c r="T225" s="190" t="s">
        <v>0</v>
      </c>
      <c r="U225" s="22"/>
      <c r="V225" s="233"/>
      <c r="W225" s="239" t="s">
        <v>848</v>
      </c>
      <c r="X225" s="403"/>
      <c r="Y225" s="258"/>
    </row>
    <row r="226" spans="1:25" hidden="1" x14ac:dyDescent="0.3">
      <c r="A226" s="47">
        <f>IF(B226="","",SUBTOTAL(3,$B$3:B226)-1)</f>
        <v>5</v>
      </c>
      <c r="B226" s="3" t="s">
        <v>459</v>
      </c>
      <c r="C226" s="3" t="s">
        <v>460</v>
      </c>
      <c r="D226" s="303"/>
      <c r="E226" s="46" t="s">
        <v>1214</v>
      </c>
      <c r="F226" s="22">
        <v>6</v>
      </c>
      <c r="G226" s="175" t="s">
        <v>415</v>
      </c>
      <c r="H226" s="405"/>
      <c r="I226" s="185"/>
      <c r="J226" s="71"/>
      <c r="K226" s="194"/>
      <c r="L226" s="67"/>
      <c r="M226" s="67"/>
      <c r="N226" s="67"/>
      <c r="O226" s="73"/>
      <c r="P226" s="237"/>
      <c r="Q226" s="255"/>
      <c r="R226" s="175" t="s">
        <v>0</v>
      </c>
      <c r="S226" s="408">
        <v>6</v>
      </c>
      <c r="T226" s="190"/>
      <c r="U226" s="22"/>
      <c r="V226" s="233"/>
      <c r="W226" s="239"/>
      <c r="X226" s="403"/>
      <c r="Y226" s="258"/>
    </row>
    <row r="227" spans="1:25" hidden="1" x14ac:dyDescent="0.3">
      <c r="A227" s="47">
        <f>IF(B227="","",SUBTOTAL(3,$B$3:B227)-1)</f>
        <v>5</v>
      </c>
      <c r="B227" s="174" t="s">
        <v>903</v>
      </c>
      <c r="C227" s="24" t="s">
        <v>518</v>
      </c>
      <c r="D227" s="163"/>
      <c r="E227" s="46"/>
      <c r="F227" s="22">
        <v>2</v>
      </c>
      <c r="G227" s="175"/>
      <c r="H227" s="405" t="s">
        <v>634</v>
      </c>
      <c r="I227" s="185" t="s">
        <v>634</v>
      </c>
      <c r="J227" s="67"/>
      <c r="K227" s="194"/>
      <c r="L227" s="67"/>
      <c r="M227" s="67"/>
      <c r="N227" s="67"/>
      <c r="O227" s="73"/>
      <c r="P227" s="237"/>
      <c r="Q227" s="255"/>
      <c r="R227" s="175"/>
      <c r="S227" s="411"/>
      <c r="T227" s="190" t="s">
        <v>0</v>
      </c>
      <c r="U227" s="22"/>
      <c r="V227" s="233"/>
      <c r="W227" s="239"/>
      <c r="X227" s="403"/>
      <c r="Y227" s="258"/>
    </row>
    <row r="228" spans="1:25" hidden="1" x14ac:dyDescent="0.3">
      <c r="A228" s="47">
        <f>IF(B228="","",SUBTOTAL(3,$B$3:B228)-1)</f>
        <v>5</v>
      </c>
      <c r="B228" s="143" t="s">
        <v>780</v>
      </c>
      <c r="C228" s="143" t="s">
        <v>518</v>
      </c>
      <c r="D228" s="143">
        <v>967482973</v>
      </c>
      <c r="E228" s="46"/>
      <c r="F228" s="369">
        <v>7</v>
      </c>
      <c r="G228" s="175"/>
      <c r="H228" s="406"/>
      <c r="I228" s="188"/>
      <c r="J228" s="142"/>
      <c r="K228" s="196" t="s">
        <v>721</v>
      </c>
      <c r="L228" s="67"/>
      <c r="M228" s="67"/>
      <c r="N228" s="67"/>
      <c r="O228" s="73"/>
      <c r="P228" s="237"/>
      <c r="Q228" s="255"/>
      <c r="R228" s="175"/>
      <c r="S228" s="411"/>
      <c r="T228" s="190"/>
      <c r="U228" s="22"/>
      <c r="V228" s="233"/>
      <c r="W228" s="239"/>
      <c r="X228" s="403"/>
      <c r="Y228" s="258"/>
    </row>
    <row r="229" spans="1:25" hidden="1" x14ac:dyDescent="0.3">
      <c r="A229" s="47">
        <f>IF(B229="","",SUBTOTAL(3,$B$3:B229)-1)</f>
        <v>5</v>
      </c>
      <c r="B229" s="25" t="s">
        <v>517</v>
      </c>
      <c r="C229" s="25" t="s">
        <v>518</v>
      </c>
      <c r="D229" s="163"/>
      <c r="E229" s="46">
        <f>($AA$2-O229)*$AB$2+Q229</f>
        <v>0</v>
      </c>
      <c r="F229" s="22">
        <v>9</v>
      </c>
      <c r="G229" s="175"/>
      <c r="H229" s="409"/>
      <c r="I229" s="187"/>
      <c r="J229" s="67"/>
      <c r="K229" s="194"/>
      <c r="L229" s="67"/>
      <c r="M229" s="67"/>
      <c r="N229" s="67"/>
      <c r="O229" s="73"/>
      <c r="P229" s="237"/>
      <c r="Q229" s="255"/>
      <c r="R229" s="175"/>
      <c r="S229" s="411"/>
      <c r="T229" s="190"/>
      <c r="U229" s="22"/>
      <c r="V229" s="233"/>
      <c r="W229" s="239"/>
      <c r="X229" s="403"/>
      <c r="Y229" s="258"/>
    </row>
    <row r="230" spans="1:25" hidden="1" x14ac:dyDescent="0.3">
      <c r="A230" s="47">
        <f>IF(B230="","",SUBTOTAL(3,$B$3:B230)-1)</f>
        <v>5</v>
      </c>
      <c r="B230" s="24" t="s">
        <v>309</v>
      </c>
      <c r="C230" s="24" t="s">
        <v>103</v>
      </c>
      <c r="D230" s="163"/>
      <c r="E230" s="46">
        <f>($AA$2-O230)*$AB$2+Q230</f>
        <v>0</v>
      </c>
      <c r="F230" s="22">
        <v>11</v>
      </c>
      <c r="G230" s="175" t="s">
        <v>415</v>
      </c>
      <c r="H230" s="405" t="s">
        <v>696</v>
      </c>
      <c r="I230" s="185" t="s">
        <v>661</v>
      </c>
      <c r="J230" s="67"/>
      <c r="K230" s="194"/>
      <c r="L230" s="180"/>
      <c r="M230" s="180"/>
      <c r="N230" s="180"/>
      <c r="O230" s="181"/>
      <c r="P230" s="237"/>
      <c r="Q230" s="255"/>
      <c r="R230" s="175"/>
      <c r="S230" s="411" t="s">
        <v>696</v>
      </c>
      <c r="T230" s="190">
        <v>2</v>
      </c>
      <c r="U230" s="22"/>
      <c r="V230" s="233"/>
      <c r="W230" s="239"/>
      <c r="X230" s="403"/>
      <c r="Y230" s="258"/>
    </row>
    <row r="231" spans="1:25" hidden="1" x14ac:dyDescent="0.3">
      <c r="A231" s="47">
        <f>IF(B231="","",SUBTOTAL(3,$B$3:B231)-1)</f>
        <v>5</v>
      </c>
      <c r="B231" s="265" t="s">
        <v>1216</v>
      </c>
      <c r="C231" s="265" t="s">
        <v>123</v>
      </c>
      <c r="D231" s="265">
        <v>907590084</v>
      </c>
      <c r="E231" s="46" t="s">
        <v>1214</v>
      </c>
      <c r="F231" s="372">
        <v>1</v>
      </c>
      <c r="G231" s="175" t="s">
        <v>826</v>
      </c>
      <c r="H231" s="405" t="s">
        <v>860</v>
      </c>
      <c r="I231" s="185"/>
      <c r="J231" s="71"/>
      <c r="K231" s="194"/>
      <c r="L231" s="67"/>
      <c r="M231" s="67"/>
      <c r="N231" s="67"/>
      <c r="O231" s="73"/>
      <c r="P231" s="237"/>
      <c r="Q231" s="255"/>
      <c r="R231" s="175" t="s">
        <v>0</v>
      </c>
      <c r="S231" s="411"/>
      <c r="T231" s="190"/>
      <c r="U231" s="22"/>
      <c r="V231" s="233"/>
      <c r="W231" s="239"/>
      <c r="X231" s="403"/>
      <c r="Y231" s="320">
        <v>1</v>
      </c>
    </row>
    <row r="232" spans="1:25" hidden="1" x14ac:dyDescent="0.3">
      <c r="A232" s="47">
        <f>IF(B232="","",SUBTOTAL(3,$B$3:B232)-1)</f>
        <v>5</v>
      </c>
      <c r="B232" s="24" t="s">
        <v>352</v>
      </c>
      <c r="C232" s="24" t="s">
        <v>123</v>
      </c>
      <c r="D232" s="163"/>
      <c r="E232" s="46">
        <f>($AA$2-O232)*$AB$2+Q232</f>
        <v>0</v>
      </c>
      <c r="F232" s="22">
        <v>12</v>
      </c>
      <c r="G232" s="175"/>
      <c r="H232" s="405"/>
      <c r="I232" s="185"/>
      <c r="J232" s="67"/>
      <c r="K232" s="194"/>
      <c r="L232" s="67"/>
      <c r="M232" s="67"/>
      <c r="N232" s="67"/>
      <c r="O232" s="73"/>
      <c r="P232" s="237"/>
      <c r="Q232" s="255"/>
      <c r="R232" s="175" t="s">
        <v>415</v>
      </c>
      <c r="S232" s="411"/>
      <c r="T232" s="190"/>
      <c r="U232" s="22"/>
      <c r="V232" s="233"/>
      <c r="W232" s="239"/>
      <c r="X232" s="403"/>
      <c r="Y232" s="258"/>
    </row>
    <row r="233" spans="1:25" hidden="1" x14ac:dyDescent="0.3">
      <c r="A233" s="47">
        <f>IF(B233="","",SUBTOTAL(3,$B$3:B233)-1)</f>
        <v>5</v>
      </c>
      <c r="B233" s="26" t="s">
        <v>448</v>
      </c>
      <c r="C233" s="26" t="s">
        <v>123</v>
      </c>
      <c r="D233" s="26">
        <v>387218610</v>
      </c>
      <c r="E233" s="46">
        <f>($AA$2-O233)*$AB$2+Q233</f>
        <v>0</v>
      </c>
      <c r="F233" s="22">
        <v>8</v>
      </c>
      <c r="G233" s="175" t="s">
        <v>415</v>
      </c>
      <c r="H233" s="405" t="s">
        <v>660</v>
      </c>
      <c r="I233" s="185"/>
      <c r="J233" s="67" t="s">
        <v>661</v>
      </c>
      <c r="K233" s="194"/>
      <c r="L233" s="180"/>
      <c r="M233" s="180"/>
      <c r="N233" s="180"/>
      <c r="O233" s="181"/>
      <c r="P233" s="237"/>
      <c r="Q233" s="255"/>
      <c r="R233" s="175" t="s">
        <v>1</v>
      </c>
      <c r="S233" s="411" t="s">
        <v>0</v>
      </c>
      <c r="T233" s="190"/>
      <c r="U233" s="22" t="s">
        <v>0</v>
      </c>
      <c r="V233" s="233"/>
      <c r="W233" s="239"/>
      <c r="X233" s="403"/>
      <c r="Y233" s="258"/>
    </row>
    <row r="234" spans="1:25" hidden="1" x14ac:dyDescent="0.3">
      <c r="A234" s="47">
        <f>IF(B234="","",SUBTOTAL(3,$B$3:B234)-1)</f>
        <v>5</v>
      </c>
      <c r="B234" s="253" t="s">
        <v>548</v>
      </c>
      <c r="C234" s="26" t="s">
        <v>49</v>
      </c>
      <c r="D234" s="25"/>
      <c r="E234" s="46"/>
      <c r="F234" s="22">
        <v>2</v>
      </c>
      <c r="G234" s="176"/>
      <c r="H234" s="405" t="s">
        <v>634</v>
      </c>
      <c r="I234" s="185" t="s">
        <v>634</v>
      </c>
      <c r="J234" s="67"/>
      <c r="K234" s="194"/>
      <c r="L234" s="67"/>
      <c r="M234" s="67"/>
      <c r="N234" s="67"/>
      <c r="O234" s="73"/>
      <c r="P234" s="237"/>
      <c r="Q234" s="255"/>
      <c r="R234" s="175"/>
      <c r="S234" s="411"/>
      <c r="T234" s="190" t="s">
        <v>0</v>
      </c>
      <c r="U234" s="22"/>
      <c r="V234" s="233"/>
      <c r="W234" s="239"/>
      <c r="X234" s="403"/>
      <c r="Y234" s="258"/>
    </row>
    <row r="235" spans="1:25" hidden="1" x14ac:dyDescent="0.3">
      <c r="A235" s="47">
        <f>IF(B235="","",SUBTOTAL(3,$B$3:B235)-1)</f>
        <v>5</v>
      </c>
      <c r="B235" s="380" t="s">
        <v>1371</v>
      </c>
      <c r="C235" s="380" t="s">
        <v>49</v>
      </c>
      <c r="D235" s="382">
        <v>915849634</v>
      </c>
      <c r="E235" s="46" t="s">
        <v>1356</v>
      </c>
      <c r="F235" s="384">
        <v>2</v>
      </c>
      <c r="G235" s="175" t="s">
        <v>826</v>
      </c>
      <c r="H235" s="405"/>
      <c r="I235" s="185"/>
      <c r="J235" s="71"/>
      <c r="K235" s="194"/>
      <c r="L235" s="67"/>
      <c r="M235" s="67"/>
      <c r="N235" s="67"/>
      <c r="O235" s="73"/>
      <c r="P235" s="237"/>
      <c r="Q235" s="255"/>
      <c r="R235" s="175" t="s">
        <v>1</v>
      </c>
      <c r="S235" s="411"/>
      <c r="T235" s="190"/>
      <c r="U235" s="22"/>
      <c r="V235" s="233"/>
      <c r="W235" s="239"/>
      <c r="X235" s="403"/>
      <c r="Y235" s="383" t="s">
        <v>1386</v>
      </c>
    </row>
    <row r="236" spans="1:25" hidden="1" x14ac:dyDescent="0.3">
      <c r="A236" s="47">
        <f>IF(B236="","",SUBTOTAL(3,$B$3:B236)-1)</f>
        <v>5</v>
      </c>
      <c r="B236" s="39" t="s">
        <v>1139</v>
      </c>
      <c r="C236" s="24" t="s">
        <v>49</v>
      </c>
      <c r="D236" s="163"/>
      <c r="E236" s="46"/>
      <c r="F236" s="369">
        <v>3</v>
      </c>
      <c r="G236" s="175" t="s">
        <v>826</v>
      </c>
      <c r="H236" s="405"/>
      <c r="I236" s="185"/>
      <c r="J236" s="67"/>
      <c r="K236" s="194"/>
      <c r="L236" s="67"/>
      <c r="M236" s="67"/>
      <c r="N236" s="67"/>
      <c r="O236" s="73"/>
      <c r="P236" s="237"/>
      <c r="Q236" s="255"/>
      <c r="R236" s="175" t="s">
        <v>1</v>
      </c>
      <c r="S236" s="411"/>
      <c r="T236" s="190"/>
      <c r="U236" s="22"/>
      <c r="V236" s="233"/>
      <c r="W236" s="239"/>
      <c r="X236" s="403"/>
      <c r="Y236" s="258"/>
    </row>
    <row r="237" spans="1:25" hidden="1" x14ac:dyDescent="0.3">
      <c r="A237" s="47">
        <f>IF(B237="","",SUBTOTAL(3,$B$3:B237)-1)</f>
        <v>5</v>
      </c>
      <c r="B237" s="143" t="s">
        <v>831</v>
      </c>
      <c r="C237" s="143" t="s">
        <v>49</v>
      </c>
      <c r="D237" s="143" t="s">
        <v>974</v>
      </c>
      <c r="E237" s="46"/>
      <c r="F237" s="142">
        <v>3</v>
      </c>
      <c r="G237" s="176" t="s">
        <v>660</v>
      </c>
      <c r="H237" s="406"/>
      <c r="I237" s="188"/>
      <c r="J237" s="142"/>
      <c r="K237" s="196" t="s">
        <v>721</v>
      </c>
      <c r="L237" s="67"/>
      <c r="M237" s="67"/>
      <c r="N237" s="67"/>
      <c r="O237" s="73"/>
      <c r="P237" s="237" t="s">
        <v>1</v>
      </c>
      <c r="Q237" s="255"/>
      <c r="R237" s="175" t="s">
        <v>0</v>
      </c>
      <c r="S237" s="411"/>
      <c r="T237" s="190"/>
      <c r="U237" s="22"/>
      <c r="V237" s="233"/>
      <c r="W237" s="239" t="s">
        <v>848</v>
      </c>
      <c r="X237" s="403"/>
      <c r="Y237" s="258"/>
    </row>
    <row r="238" spans="1:25" hidden="1" x14ac:dyDescent="0.3">
      <c r="A238" s="47">
        <f>IF(B238="","",SUBTOTAL(3,$B$3:B238)-1)</f>
        <v>5</v>
      </c>
      <c r="B238" s="143" t="s">
        <v>783</v>
      </c>
      <c r="C238" s="143" t="s">
        <v>49</v>
      </c>
      <c r="D238" s="143">
        <v>399136517</v>
      </c>
      <c r="E238" s="46"/>
      <c r="F238" s="142">
        <v>3</v>
      </c>
      <c r="G238" s="176"/>
      <c r="H238" s="406"/>
      <c r="I238" s="188"/>
      <c r="J238" s="142"/>
      <c r="K238" s="196" t="s">
        <v>721</v>
      </c>
      <c r="L238" s="67"/>
      <c r="M238" s="67"/>
      <c r="N238" s="67"/>
      <c r="O238" s="73"/>
      <c r="P238" s="237"/>
      <c r="Q238" s="255"/>
      <c r="R238" s="175"/>
      <c r="S238" s="411"/>
      <c r="T238" s="190"/>
      <c r="U238" s="22"/>
      <c r="V238" s="233"/>
      <c r="W238" s="239"/>
      <c r="X238" s="403"/>
      <c r="Y238" s="258"/>
    </row>
    <row r="239" spans="1:25" hidden="1" x14ac:dyDescent="0.3">
      <c r="A239" s="47">
        <f>IF(B239="","",SUBTOTAL(3,$B$3:B239)-1)</f>
        <v>5</v>
      </c>
      <c r="B239" s="143" t="s">
        <v>907</v>
      </c>
      <c r="C239" s="146" t="s">
        <v>49</v>
      </c>
      <c r="D239" s="143"/>
      <c r="E239" s="46"/>
      <c r="F239" s="142">
        <v>3</v>
      </c>
      <c r="G239" s="176"/>
      <c r="H239" s="407" t="s">
        <v>634</v>
      </c>
      <c r="I239" s="189" t="s">
        <v>634</v>
      </c>
      <c r="J239" s="67"/>
      <c r="K239" s="194"/>
      <c r="L239" s="180"/>
      <c r="M239" s="180"/>
      <c r="N239" s="180"/>
      <c r="O239" s="181"/>
      <c r="P239" s="237"/>
      <c r="Q239" s="255"/>
      <c r="R239" s="175"/>
      <c r="S239" s="411"/>
      <c r="T239" s="190" t="s">
        <v>0</v>
      </c>
      <c r="U239" s="22"/>
      <c r="V239" s="233"/>
      <c r="W239" s="239"/>
      <c r="X239" s="403"/>
      <c r="Y239" s="258"/>
    </row>
    <row r="240" spans="1:25" hidden="1" x14ac:dyDescent="0.3">
      <c r="A240" s="47">
        <f>IF(B240="","",SUBTOTAL(3,$B$3:B240)-1)</f>
        <v>5</v>
      </c>
      <c r="B240" s="24" t="s">
        <v>159</v>
      </c>
      <c r="C240" s="24" t="s">
        <v>49</v>
      </c>
      <c r="D240" s="24"/>
      <c r="E240" s="46"/>
      <c r="F240" s="22">
        <v>10</v>
      </c>
      <c r="G240" s="175"/>
      <c r="H240" s="405" t="s">
        <v>660</v>
      </c>
      <c r="I240" s="185"/>
      <c r="J240" s="67"/>
      <c r="K240" s="194"/>
      <c r="L240" s="180"/>
      <c r="M240" s="180"/>
      <c r="N240" s="180"/>
      <c r="O240" s="181"/>
      <c r="P240" s="237"/>
      <c r="Q240" s="255"/>
      <c r="R240" s="175"/>
      <c r="S240" s="411" t="s">
        <v>2</v>
      </c>
      <c r="T240" s="190"/>
      <c r="U240" s="22"/>
      <c r="V240" s="233"/>
      <c r="W240" s="239"/>
      <c r="X240" s="403"/>
      <c r="Y240" s="258"/>
    </row>
    <row r="241" spans="1:25" hidden="1" x14ac:dyDescent="0.3">
      <c r="A241" s="47">
        <f>IF(B241="","",SUBTOTAL(3,$B$3:B241)-1)</f>
        <v>5</v>
      </c>
      <c r="B241" s="25" t="s">
        <v>1005</v>
      </c>
      <c r="C241" s="25" t="s">
        <v>49</v>
      </c>
      <c r="D241" s="163"/>
      <c r="E241" s="46">
        <f>($AA$2-O241)*$AB$2+Q241</f>
        <v>0</v>
      </c>
      <c r="F241" s="21">
        <v>10</v>
      </c>
      <c r="G241" s="175" t="s">
        <v>415</v>
      </c>
      <c r="H241" s="405"/>
      <c r="I241" s="185"/>
      <c r="J241" s="71"/>
      <c r="K241" s="194"/>
      <c r="L241" s="180"/>
      <c r="M241" s="180"/>
      <c r="N241" s="180"/>
      <c r="O241" s="181"/>
      <c r="P241" s="237"/>
      <c r="Q241" s="255"/>
      <c r="R241" s="175" t="s">
        <v>848</v>
      </c>
      <c r="S241" s="411"/>
      <c r="T241" s="190"/>
      <c r="U241" s="22"/>
      <c r="V241" s="233"/>
      <c r="W241" s="239"/>
      <c r="X241" s="403"/>
      <c r="Y241" s="258"/>
    </row>
    <row r="242" spans="1:25" hidden="1" x14ac:dyDescent="0.3">
      <c r="A242" s="47">
        <f>IF(B242="","",SUBTOTAL(3,$B$3:B242)-1)</f>
        <v>5</v>
      </c>
      <c r="B242" s="24" t="s">
        <v>494</v>
      </c>
      <c r="C242" s="24" t="s">
        <v>49</v>
      </c>
      <c r="D242" s="24">
        <v>856262649</v>
      </c>
      <c r="E242" s="46">
        <f>($AA$2-O242)*$AB$2+Q242</f>
        <v>0</v>
      </c>
      <c r="F242" s="22">
        <v>11</v>
      </c>
      <c r="G242" s="175"/>
      <c r="H242" s="405"/>
      <c r="I242" s="185"/>
      <c r="J242" s="67"/>
      <c r="K242" s="194"/>
      <c r="L242" s="67"/>
      <c r="M242" s="67"/>
      <c r="N242" s="67"/>
      <c r="O242" s="73"/>
      <c r="P242" s="237"/>
      <c r="Q242" s="255"/>
      <c r="R242" s="175"/>
      <c r="S242" s="411"/>
      <c r="T242" s="190"/>
      <c r="U242" s="22"/>
      <c r="V242" s="233"/>
      <c r="W242" s="239"/>
      <c r="X242" s="403"/>
      <c r="Y242" s="258"/>
    </row>
    <row r="243" spans="1:25" hidden="1" x14ac:dyDescent="0.3">
      <c r="A243" s="47">
        <f>IF(B243="","",SUBTOTAL(3,$B$3:B243)-1)</f>
        <v>5</v>
      </c>
      <c r="B243" s="24" t="s">
        <v>852</v>
      </c>
      <c r="C243" s="242" t="s">
        <v>49</v>
      </c>
      <c r="D243" s="26"/>
      <c r="E243" s="46"/>
      <c r="F243" s="22" t="s">
        <v>1213</v>
      </c>
      <c r="G243" s="175"/>
      <c r="H243" s="405"/>
      <c r="I243" s="185"/>
      <c r="J243" s="67"/>
      <c r="K243" s="194"/>
      <c r="L243" s="67"/>
      <c r="M243" s="67"/>
      <c r="N243" s="67"/>
      <c r="O243" s="73"/>
      <c r="P243" s="237"/>
      <c r="Q243" s="255"/>
      <c r="R243" s="175"/>
      <c r="S243" s="411"/>
      <c r="T243" s="190"/>
      <c r="U243" s="22"/>
      <c r="V243" s="233"/>
      <c r="W243" s="239"/>
      <c r="X243" s="403"/>
      <c r="Y243" s="258"/>
    </row>
    <row r="244" spans="1:25" hidden="1" x14ac:dyDescent="0.3">
      <c r="A244" s="47">
        <f>IF(B244="","",SUBTOTAL(3,$B$3:B244)-1)</f>
        <v>5</v>
      </c>
      <c r="B244" s="24" t="s">
        <v>914</v>
      </c>
      <c r="C244" s="242" t="s">
        <v>49</v>
      </c>
      <c r="D244" s="26"/>
      <c r="E244" s="46">
        <f>($AA$2-O244)*$AB$2+Q244</f>
        <v>0</v>
      </c>
      <c r="F244" s="21" t="s">
        <v>1213</v>
      </c>
      <c r="G244" s="175"/>
      <c r="H244" s="405"/>
      <c r="I244" s="185"/>
      <c r="J244" s="67"/>
      <c r="K244" s="194"/>
      <c r="L244" s="180"/>
      <c r="M244" s="180"/>
      <c r="N244" s="180"/>
      <c r="O244" s="181"/>
      <c r="P244" s="237"/>
      <c r="Q244" s="255"/>
      <c r="R244" s="175"/>
      <c r="S244" s="411"/>
      <c r="T244" s="190"/>
      <c r="U244" s="22"/>
      <c r="V244" s="233"/>
      <c r="W244" s="239"/>
      <c r="X244" s="403"/>
      <c r="Y244" s="258"/>
    </row>
    <row r="245" spans="1:25" hidden="1" x14ac:dyDescent="0.3">
      <c r="A245" s="47">
        <f>IF(B245="","",SUBTOTAL(3,$B$3:B245)-1)</f>
        <v>5</v>
      </c>
      <c r="B245" s="265" t="s">
        <v>907</v>
      </c>
      <c r="C245" s="265" t="s">
        <v>49</v>
      </c>
      <c r="D245" s="265">
        <v>964927400</v>
      </c>
      <c r="E245" s="46" t="s">
        <v>1214</v>
      </c>
      <c r="F245" s="300">
        <v>3</v>
      </c>
      <c r="G245" s="175" t="s">
        <v>826</v>
      </c>
      <c r="H245" s="405"/>
      <c r="I245" s="185"/>
      <c r="J245" s="71"/>
      <c r="K245" s="194"/>
      <c r="L245" s="67"/>
      <c r="M245" s="67"/>
      <c r="N245" s="67"/>
      <c r="O245" s="73"/>
      <c r="P245" s="237"/>
      <c r="Q245" s="255"/>
      <c r="R245" s="175" t="s">
        <v>1</v>
      </c>
      <c r="S245" s="411"/>
      <c r="T245" s="190"/>
      <c r="U245" s="22"/>
      <c r="V245" s="233"/>
      <c r="W245" s="239"/>
      <c r="X245" s="403"/>
      <c r="Y245" s="320" t="s">
        <v>1024</v>
      </c>
    </row>
    <row r="246" spans="1:25" hidden="1" x14ac:dyDescent="0.3">
      <c r="A246" s="47">
        <f>IF(B246="","",SUBTOTAL(3,$B$3:B246)-1)</f>
        <v>5</v>
      </c>
      <c r="B246" s="25" t="s">
        <v>1004</v>
      </c>
      <c r="C246" s="25" t="s">
        <v>49</v>
      </c>
      <c r="D246" s="163"/>
      <c r="E246" s="46"/>
      <c r="F246" s="22">
        <v>10</v>
      </c>
      <c r="G246" s="175" t="s">
        <v>415</v>
      </c>
      <c r="H246" s="405"/>
      <c r="I246" s="185"/>
      <c r="J246" s="71"/>
      <c r="K246" s="194"/>
      <c r="L246" s="67"/>
      <c r="M246" s="67"/>
      <c r="N246" s="67"/>
      <c r="O246" s="73"/>
      <c r="P246" s="237"/>
      <c r="Q246" s="255"/>
      <c r="R246" s="175" t="s">
        <v>0</v>
      </c>
      <c r="S246" s="411"/>
      <c r="T246" s="190"/>
      <c r="U246" s="22"/>
      <c r="V246" s="233"/>
      <c r="W246" s="239"/>
      <c r="X246" s="403"/>
      <c r="Y246" s="258"/>
    </row>
    <row r="247" spans="1:25" hidden="1" x14ac:dyDescent="0.3">
      <c r="A247" s="47">
        <f>IF(B247="","",SUBTOTAL(3,$B$3:B247)-1)</f>
        <v>5</v>
      </c>
      <c r="B247" s="143" t="s">
        <v>807</v>
      </c>
      <c r="C247" s="143" t="s">
        <v>49</v>
      </c>
      <c r="D247" s="143"/>
      <c r="E247" s="46"/>
      <c r="F247" s="142">
        <v>4</v>
      </c>
      <c r="G247" s="176"/>
      <c r="H247" s="406"/>
      <c r="I247" s="188"/>
      <c r="J247" s="142"/>
      <c r="K247" s="196" t="s">
        <v>721</v>
      </c>
      <c r="L247" s="67"/>
      <c r="M247" s="67"/>
      <c r="N247" s="67"/>
      <c r="O247" s="73"/>
      <c r="P247" s="237"/>
      <c r="Q247" s="255"/>
      <c r="R247" s="175"/>
      <c r="S247" s="411"/>
      <c r="T247" s="190"/>
      <c r="U247" s="22"/>
      <c r="V247" s="233"/>
      <c r="W247" s="239"/>
      <c r="X247" s="403"/>
      <c r="Y247" s="258"/>
    </row>
    <row r="248" spans="1:25" hidden="1" x14ac:dyDescent="0.3">
      <c r="A248" s="47">
        <f>IF(B248="","",SUBTOTAL(3,$B$3:B248)-1)</f>
        <v>5</v>
      </c>
      <c r="B248" s="24" t="s">
        <v>977</v>
      </c>
      <c r="C248" s="24" t="s">
        <v>49</v>
      </c>
      <c r="D248" s="163"/>
      <c r="E248" s="46"/>
      <c r="F248" s="142">
        <v>4</v>
      </c>
      <c r="G248" s="175" t="s">
        <v>660</v>
      </c>
      <c r="H248" s="406"/>
      <c r="I248" s="188"/>
      <c r="J248" s="142"/>
      <c r="K248" s="196"/>
      <c r="L248" s="67"/>
      <c r="M248" s="67"/>
      <c r="N248" s="67"/>
      <c r="O248" s="73"/>
      <c r="P248" s="237"/>
      <c r="Q248" s="255"/>
      <c r="R248" s="175" t="s">
        <v>0</v>
      </c>
      <c r="S248" s="411"/>
      <c r="T248" s="190"/>
      <c r="U248" s="22"/>
      <c r="V248" s="233"/>
      <c r="W248" s="239"/>
      <c r="X248" s="403"/>
      <c r="Y248" s="258"/>
    </row>
    <row r="249" spans="1:25" hidden="1" x14ac:dyDescent="0.3">
      <c r="A249" s="47">
        <f>IF(B249="","",SUBTOTAL(3,$B$3:B249)-1)</f>
        <v>5</v>
      </c>
      <c r="B249" s="265" t="s">
        <v>1221</v>
      </c>
      <c r="C249" s="265" t="s">
        <v>49</v>
      </c>
      <c r="D249" s="265">
        <v>783970215</v>
      </c>
      <c r="E249" s="46" t="s">
        <v>1214</v>
      </c>
      <c r="F249" s="300">
        <v>4</v>
      </c>
      <c r="G249" s="175" t="s">
        <v>826</v>
      </c>
      <c r="H249" s="405"/>
      <c r="I249" s="185"/>
      <c r="J249" s="71"/>
      <c r="K249" s="194"/>
      <c r="L249" s="67"/>
      <c r="M249" s="67"/>
      <c r="N249" s="67"/>
      <c r="O249" s="73"/>
      <c r="P249" s="237"/>
      <c r="Q249" s="255"/>
      <c r="R249" s="175" t="s">
        <v>1</v>
      </c>
      <c r="S249" s="411"/>
      <c r="T249" s="190"/>
      <c r="U249" s="22"/>
      <c r="V249" s="233"/>
      <c r="W249" s="239"/>
      <c r="X249" s="403"/>
      <c r="Y249" s="320" t="s">
        <v>1026</v>
      </c>
    </row>
    <row r="250" spans="1:25" hidden="1" x14ac:dyDescent="0.3">
      <c r="A250" s="47">
        <f>IF(B250="","",SUBTOTAL(3,$B$3:B250)-1)</f>
        <v>5</v>
      </c>
      <c r="B250" s="143" t="s">
        <v>803</v>
      </c>
      <c r="C250" s="143" t="s">
        <v>49</v>
      </c>
      <c r="D250" s="143">
        <v>399180595</v>
      </c>
      <c r="E250" s="46"/>
      <c r="F250" s="22">
        <v>5</v>
      </c>
      <c r="G250" s="176"/>
      <c r="H250" s="406"/>
      <c r="I250" s="188"/>
      <c r="J250" s="142"/>
      <c r="K250" s="196" t="s">
        <v>721</v>
      </c>
      <c r="L250" s="67"/>
      <c r="M250" s="67"/>
      <c r="N250" s="67"/>
      <c r="O250" s="73"/>
      <c r="P250" s="237"/>
      <c r="Q250" s="255"/>
      <c r="R250" s="175"/>
      <c r="S250" s="411"/>
      <c r="T250" s="190"/>
      <c r="U250" s="22"/>
      <c r="V250" s="233"/>
      <c r="W250" s="239"/>
      <c r="X250" s="403"/>
      <c r="Y250" s="258"/>
    </row>
    <row r="251" spans="1:25" hidden="1" x14ac:dyDescent="0.3">
      <c r="A251" s="47">
        <f>IF(B251="","",SUBTOTAL(3,$B$3:B251)-1)</f>
        <v>5</v>
      </c>
      <c r="B251" s="26" t="s">
        <v>465</v>
      </c>
      <c r="C251" s="26" t="s">
        <v>49</v>
      </c>
      <c r="D251" s="163">
        <v>837126005</v>
      </c>
      <c r="E251" s="46">
        <f>($AA$2-O251)*$AB$2+Q251</f>
        <v>0</v>
      </c>
      <c r="F251" s="21">
        <v>5</v>
      </c>
      <c r="G251" s="176"/>
      <c r="H251" s="408"/>
      <c r="I251" s="186"/>
      <c r="J251" s="68"/>
      <c r="K251" s="195"/>
      <c r="L251" s="68"/>
      <c r="M251" s="68"/>
      <c r="N251" s="68"/>
      <c r="O251" s="73"/>
      <c r="P251" s="237"/>
      <c r="Q251" s="255"/>
      <c r="R251" s="175"/>
      <c r="S251" s="411"/>
      <c r="T251" s="190"/>
      <c r="U251" s="22"/>
      <c r="V251" s="233"/>
      <c r="W251" s="239"/>
      <c r="X251" s="403"/>
      <c r="Y251" s="258"/>
    </row>
    <row r="252" spans="1:25" hidden="1" x14ac:dyDescent="0.3">
      <c r="A252" s="47">
        <f>IF(B252="","",SUBTOTAL(3,$B$3:B252)-1)</f>
        <v>5</v>
      </c>
      <c r="B252" s="26" t="s">
        <v>577</v>
      </c>
      <c r="C252" s="26" t="s">
        <v>49</v>
      </c>
      <c r="D252" s="163"/>
      <c r="E252" s="46"/>
      <c r="F252" s="22">
        <v>5</v>
      </c>
      <c r="G252" s="176" t="s">
        <v>660</v>
      </c>
      <c r="H252" s="408"/>
      <c r="I252" s="186"/>
      <c r="J252" s="68"/>
      <c r="K252" s="195"/>
      <c r="L252" s="68"/>
      <c r="M252" s="68"/>
      <c r="N252" s="68"/>
      <c r="O252" s="73"/>
      <c r="P252" s="237" t="s">
        <v>1</v>
      </c>
      <c r="Q252" s="255"/>
      <c r="R252" s="175" t="s">
        <v>0</v>
      </c>
      <c r="S252" s="411"/>
      <c r="T252" s="190"/>
      <c r="U252" s="22"/>
      <c r="V252" s="233"/>
      <c r="W252" s="239" t="s">
        <v>0</v>
      </c>
      <c r="X252" s="403"/>
      <c r="Y252" s="258"/>
    </row>
    <row r="253" spans="1:25" hidden="1" x14ac:dyDescent="0.3">
      <c r="A253" s="47">
        <f>IF(B253="","",SUBTOTAL(3,$B$3:B253)-1)</f>
        <v>5</v>
      </c>
      <c r="B253" s="25" t="s">
        <v>465</v>
      </c>
      <c r="C253" s="25" t="s">
        <v>49</v>
      </c>
      <c r="D253" s="24"/>
      <c r="E253" s="46"/>
      <c r="F253" s="22">
        <v>5</v>
      </c>
      <c r="G253" s="176" t="s">
        <v>660</v>
      </c>
      <c r="H253" s="405"/>
      <c r="I253" s="185"/>
      <c r="J253" s="67"/>
      <c r="K253" s="194"/>
      <c r="L253" s="67"/>
      <c r="M253" s="67"/>
      <c r="N253" s="67"/>
      <c r="O253" s="73"/>
      <c r="P253" s="237" t="s">
        <v>1</v>
      </c>
      <c r="Q253" s="255"/>
      <c r="R253" s="175" t="s">
        <v>0</v>
      </c>
      <c r="S253" s="411"/>
      <c r="T253" s="190"/>
      <c r="U253" s="22"/>
      <c r="V253" s="233"/>
      <c r="W253" s="239"/>
      <c r="X253" s="403"/>
      <c r="Y253" s="258"/>
    </row>
    <row r="254" spans="1:25" hidden="1" x14ac:dyDescent="0.3">
      <c r="A254" s="47">
        <f>IF(B254="","",SUBTOTAL(3,$B$3:B254)-1)</f>
        <v>5</v>
      </c>
      <c r="B254" s="265" t="s">
        <v>577</v>
      </c>
      <c r="C254" s="265" t="s">
        <v>49</v>
      </c>
      <c r="D254" s="265">
        <v>948178308</v>
      </c>
      <c r="E254" s="46" t="s">
        <v>1214</v>
      </c>
      <c r="F254" s="300">
        <v>5</v>
      </c>
      <c r="G254" s="175"/>
      <c r="H254" s="405" t="s">
        <v>634</v>
      </c>
      <c r="I254" s="185"/>
      <c r="J254" s="71"/>
      <c r="K254" s="194"/>
      <c r="L254" s="67"/>
      <c r="M254" s="67"/>
      <c r="N254" s="67"/>
      <c r="O254" s="73"/>
      <c r="P254" s="237"/>
      <c r="Q254" s="255"/>
      <c r="R254" s="175"/>
      <c r="S254" s="411"/>
      <c r="T254" s="190"/>
      <c r="U254" s="22"/>
      <c r="V254" s="233"/>
      <c r="W254" s="239"/>
      <c r="X254" s="403"/>
      <c r="Y254" s="320">
        <v>5</v>
      </c>
    </row>
    <row r="255" spans="1:25" hidden="1" x14ac:dyDescent="0.3">
      <c r="A255" s="47">
        <f>IF(B255="","",SUBTOTAL(3,$B$3:B255)-1)</f>
        <v>5</v>
      </c>
      <c r="B255" s="24" t="s">
        <v>724</v>
      </c>
      <c r="C255" s="24" t="s">
        <v>49</v>
      </c>
      <c r="D255" s="24"/>
      <c r="E255" s="46"/>
      <c r="F255" s="142">
        <v>6</v>
      </c>
      <c r="G255" s="175" t="s">
        <v>660</v>
      </c>
      <c r="H255" s="405"/>
      <c r="I255" s="185"/>
      <c r="J255" s="67"/>
      <c r="K255" s="194"/>
      <c r="L255" s="67"/>
      <c r="M255" s="67"/>
      <c r="N255" s="67"/>
      <c r="O255" s="73"/>
      <c r="P255" s="237"/>
      <c r="Q255" s="255"/>
      <c r="R255" s="175" t="s">
        <v>1</v>
      </c>
      <c r="S255" s="411"/>
      <c r="T255" s="190"/>
      <c r="U255" s="22"/>
      <c r="V255" s="233"/>
      <c r="W255" s="239"/>
      <c r="X255" s="403"/>
      <c r="Y255" s="258"/>
    </row>
    <row r="256" spans="1:25" hidden="1" x14ac:dyDescent="0.3">
      <c r="A256" s="47">
        <f>IF(B256="","",SUBTOTAL(3,$B$3:B256)-1)</f>
        <v>5</v>
      </c>
      <c r="B256" s="174" t="s">
        <v>724</v>
      </c>
      <c r="C256" s="174" t="s">
        <v>49</v>
      </c>
      <c r="D256" s="17">
        <v>765719695</v>
      </c>
      <c r="E256" s="46" t="s">
        <v>1214</v>
      </c>
      <c r="F256" s="22">
        <v>6</v>
      </c>
      <c r="G256" s="175" t="s">
        <v>1332</v>
      </c>
      <c r="H256" s="405"/>
      <c r="I256" s="185"/>
      <c r="J256" s="71"/>
      <c r="K256" s="194"/>
      <c r="L256" s="67"/>
      <c r="M256" s="67"/>
      <c r="N256" s="67"/>
      <c r="O256" s="73"/>
      <c r="P256" s="237"/>
      <c r="Q256" s="255"/>
      <c r="R256" s="175" t="s">
        <v>1</v>
      </c>
      <c r="S256" s="408" t="s">
        <v>1</v>
      </c>
      <c r="T256" s="190"/>
      <c r="U256" s="22"/>
      <c r="V256" s="233"/>
      <c r="W256" s="239"/>
      <c r="X256" s="403"/>
      <c r="Y256" s="258"/>
    </row>
    <row r="257" spans="1:25" hidden="1" x14ac:dyDescent="0.3">
      <c r="A257" s="47">
        <f>IF(B257="","",SUBTOTAL(3,$B$3:B257)-1)</f>
        <v>5</v>
      </c>
      <c r="B257" s="26" t="s">
        <v>439</v>
      </c>
      <c r="C257" s="26" t="s">
        <v>49</v>
      </c>
      <c r="D257" s="143">
        <v>932979096</v>
      </c>
      <c r="E257" s="46"/>
      <c r="F257" s="369">
        <v>7</v>
      </c>
      <c r="G257" s="175"/>
      <c r="H257" s="405"/>
      <c r="I257" s="185"/>
      <c r="J257" s="67"/>
      <c r="K257" s="194" t="s">
        <v>721</v>
      </c>
      <c r="L257" s="67"/>
      <c r="M257" s="67"/>
      <c r="N257" s="67"/>
      <c r="O257" s="73"/>
      <c r="P257" s="237"/>
      <c r="Q257" s="255"/>
      <c r="R257" s="175"/>
      <c r="S257" s="411"/>
      <c r="T257" s="190"/>
      <c r="U257" s="22"/>
      <c r="V257" s="233"/>
      <c r="W257" s="239"/>
      <c r="X257" s="403"/>
      <c r="Y257" s="258"/>
    </row>
    <row r="258" spans="1:25" hidden="1" x14ac:dyDescent="0.3">
      <c r="A258" s="47">
        <f>IF(B258="","",SUBTOTAL(3,$B$3:B258)-1)</f>
        <v>5</v>
      </c>
      <c r="B258" s="39" t="s">
        <v>989</v>
      </c>
      <c r="C258" s="24" t="s">
        <v>49</v>
      </c>
      <c r="D258" s="163"/>
      <c r="E258" s="46"/>
      <c r="F258" s="142">
        <v>7</v>
      </c>
      <c r="G258" s="175" t="s">
        <v>415</v>
      </c>
      <c r="H258" s="406" t="s">
        <v>635</v>
      </c>
      <c r="I258" s="185"/>
      <c r="J258" s="67"/>
      <c r="K258" s="194"/>
      <c r="L258" s="180"/>
      <c r="M258" s="180"/>
      <c r="N258" s="180"/>
      <c r="O258" s="181"/>
      <c r="P258" s="237"/>
      <c r="Q258" s="255"/>
      <c r="R258" s="175" t="s">
        <v>0</v>
      </c>
      <c r="S258" s="411" t="s">
        <v>1</v>
      </c>
      <c r="T258" s="190"/>
      <c r="U258" s="22"/>
      <c r="V258" s="233"/>
      <c r="W258" s="239"/>
      <c r="X258" s="403"/>
      <c r="Y258" s="258"/>
    </row>
    <row r="259" spans="1:25" hidden="1" x14ac:dyDescent="0.3">
      <c r="A259" s="47">
        <f>IF(B259="","",SUBTOTAL(3,$B$3:B259)-1)</f>
        <v>5</v>
      </c>
      <c r="B259" s="39" t="s">
        <v>1101</v>
      </c>
      <c r="C259" s="24" t="s">
        <v>49</v>
      </c>
      <c r="D259" s="163"/>
      <c r="E259" s="46"/>
      <c r="F259" s="142">
        <v>7</v>
      </c>
      <c r="G259" s="176" t="s">
        <v>415</v>
      </c>
      <c r="H259" s="406"/>
      <c r="I259" s="185"/>
      <c r="J259" s="67"/>
      <c r="K259" s="194"/>
      <c r="L259" s="180"/>
      <c r="M259" s="180"/>
      <c r="N259" s="180"/>
      <c r="O259" s="181"/>
      <c r="P259" s="237"/>
      <c r="Q259" s="255"/>
      <c r="R259" s="175" t="s">
        <v>1</v>
      </c>
      <c r="S259" s="411"/>
      <c r="T259" s="190"/>
      <c r="U259" s="22"/>
      <c r="V259" s="233"/>
      <c r="W259" s="239"/>
      <c r="X259" s="403"/>
      <c r="Y259" s="258"/>
    </row>
    <row r="260" spans="1:25" hidden="1" x14ac:dyDescent="0.3">
      <c r="A260" s="47">
        <f>IF(B260="","",SUBTOTAL(3,$B$3:B260)-1)</f>
        <v>5</v>
      </c>
      <c r="B260" s="26" t="s">
        <v>454</v>
      </c>
      <c r="C260" s="26" t="s">
        <v>49</v>
      </c>
      <c r="D260" s="26">
        <v>779198153</v>
      </c>
      <c r="E260" s="46">
        <f>($AA$2-O260)*$AB$2+Q260</f>
        <v>0</v>
      </c>
      <c r="F260" s="22">
        <v>8</v>
      </c>
      <c r="G260" s="175"/>
      <c r="H260" s="405"/>
      <c r="I260" s="185"/>
      <c r="J260" s="67"/>
      <c r="K260" s="194"/>
      <c r="L260" s="67"/>
      <c r="M260" s="67"/>
      <c r="N260" s="67"/>
      <c r="O260" s="73"/>
      <c r="P260" s="237"/>
      <c r="Q260" s="255"/>
      <c r="R260" s="175"/>
      <c r="S260" s="411"/>
      <c r="T260" s="190"/>
      <c r="U260" s="22"/>
      <c r="V260" s="233"/>
      <c r="W260" s="239"/>
      <c r="X260" s="403"/>
      <c r="Y260" s="258"/>
    </row>
    <row r="261" spans="1:25" hidden="1" x14ac:dyDescent="0.3">
      <c r="A261" s="47">
        <f>IF(B261="","",SUBTOTAL(3,$B$3:B261)-1)</f>
        <v>5</v>
      </c>
      <c r="B261" s="26" t="s">
        <v>159</v>
      </c>
      <c r="C261" s="26" t="s">
        <v>49</v>
      </c>
      <c r="D261" s="164"/>
      <c r="E261" s="46"/>
      <c r="F261" s="22">
        <v>8</v>
      </c>
      <c r="G261" s="175" t="s">
        <v>415</v>
      </c>
      <c r="H261" s="405"/>
      <c r="I261" s="185"/>
      <c r="J261" s="67"/>
      <c r="K261" s="194"/>
      <c r="L261" s="67"/>
      <c r="M261" s="67"/>
      <c r="N261" s="67"/>
      <c r="O261" s="73"/>
      <c r="P261" s="237"/>
      <c r="Q261" s="255"/>
      <c r="R261" s="175" t="s">
        <v>1</v>
      </c>
      <c r="S261" s="411"/>
      <c r="T261" s="190"/>
      <c r="U261" s="22"/>
      <c r="V261" s="233"/>
      <c r="W261" s="239"/>
      <c r="X261" s="403"/>
      <c r="Y261" s="258"/>
    </row>
    <row r="262" spans="1:25" ht="37.5" hidden="1" x14ac:dyDescent="0.3">
      <c r="A262" s="47">
        <f>IF(B262="","",SUBTOTAL(3,$B$3:B262)-1)</f>
        <v>5</v>
      </c>
      <c r="B262" s="380" t="s">
        <v>1364</v>
      </c>
      <c r="C262" s="380" t="s">
        <v>49</v>
      </c>
      <c r="D262" s="380">
        <v>357482870</v>
      </c>
      <c r="E262" s="46" t="s">
        <v>1356</v>
      </c>
      <c r="F262" s="382">
        <v>8</v>
      </c>
      <c r="G262" s="175" t="s">
        <v>415</v>
      </c>
      <c r="H262" s="405" t="s">
        <v>660</v>
      </c>
      <c r="I262" s="185"/>
      <c r="J262" s="71" t="s">
        <v>661</v>
      </c>
      <c r="K262" s="194"/>
      <c r="L262" s="67"/>
      <c r="M262" s="67"/>
      <c r="N262" s="67"/>
      <c r="O262" s="73"/>
      <c r="P262" s="237"/>
      <c r="Q262" s="255"/>
      <c r="R262" s="175" t="s">
        <v>2</v>
      </c>
      <c r="S262" s="411" t="s">
        <v>0</v>
      </c>
      <c r="T262" s="190"/>
      <c r="U262" s="22"/>
      <c r="V262" s="233"/>
      <c r="W262" s="239"/>
      <c r="X262" s="403"/>
      <c r="Y262" s="383" t="s">
        <v>1382</v>
      </c>
    </row>
    <row r="263" spans="1:25" hidden="1" x14ac:dyDescent="0.3">
      <c r="A263" s="47">
        <f>IF(B263="","",SUBTOTAL(3,$B$3:B263)-1)</f>
        <v>5</v>
      </c>
      <c r="B263" s="24" t="s">
        <v>191</v>
      </c>
      <c r="C263" s="24" t="s">
        <v>49</v>
      </c>
      <c r="D263" s="163"/>
      <c r="E263" s="46">
        <f>($AA$2-O263)*$AB$2+Q263</f>
        <v>0</v>
      </c>
      <c r="F263" s="22">
        <v>9</v>
      </c>
      <c r="G263" s="175" t="s">
        <v>415</v>
      </c>
      <c r="H263" s="409"/>
      <c r="I263" s="187"/>
      <c r="J263" s="67"/>
      <c r="K263" s="194"/>
      <c r="L263" s="180"/>
      <c r="M263" s="180"/>
      <c r="N263" s="180"/>
      <c r="O263" s="181"/>
      <c r="P263" s="237"/>
      <c r="Q263" s="255"/>
      <c r="R263" s="175" t="s">
        <v>848</v>
      </c>
      <c r="S263" s="411"/>
      <c r="T263" s="190"/>
      <c r="U263" s="22"/>
      <c r="V263" s="233"/>
      <c r="W263" s="239"/>
      <c r="X263" s="403"/>
      <c r="Y263" s="258"/>
    </row>
    <row r="264" spans="1:25" hidden="1" x14ac:dyDescent="0.3">
      <c r="A264" s="47">
        <f>IF(B264="","",SUBTOTAL(3,$B$3:B264)-1)</f>
        <v>5</v>
      </c>
      <c r="B264" s="24" t="s">
        <v>593</v>
      </c>
      <c r="C264" s="24" t="s">
        <v>49</v>
      </c>
      <c r="D264" s="163"/>
      <c r="E264" s="46">
        <f>($AA$2-O264)*$AB$2+Q264</f>
        <v>0</v>
      </c>
      <c r="F264" s="22">
        <v>9</v>
      </c>
      <c r="G264" s="175"/>
      <c r="H264" s="409"/>
      <c r="I264" s="185"/>
      <c r="J264" s="67"/>
      <c r="K264" s="194"/>
      <c r="L264" s="67"/>
      <c r="M264" s="67"/>
      <c r="N264" s="67"/>
      <c r="O264" s="73"/>
      <c r="P264" s="237"/>
      <c r="Q264" s="255"/>
      <c r="R264" s="175"/>
      <c r="S264" s="411"/>
      <c r="T264" s="190"/>
      <c r="U264" s="22"/>
      <c r="V264" s="233"/>
      <c r="W264" s="239"/>
      <c r="X264" s="403"/>
      <c r="Y264" s="258"/>
    </row>
    <row r="265" spans="1:25" hidden="1" x14ac:dyDescent="0.3">
      <c r="A265" s="47">
        <f>IF(B265="","",SUBTOTAL(3,$B$3:B265)-1)</f>
        <v>5</v>
      </c>
      <c r="B265" s="39" t="s">
        <v>691</v>
      </c>
      <c r="C265" s="24" t="s">
        <v>678</v>
      </c>
      <c r="D265" s="163"/>
      <c r="E265" s="46">
        <f>($AA$2-O265)*$AB$2+Q265</f>
        <v>0</v>
      </c>
      <c r="F265" s="22">
        <v>11</v>
      </c>
      <c r="G265" s="175"/>
      <c r="H265" s="405" t="s">
        <v>635</v>
      </c>
      <c r="I265" s="185"/>
      <c r="J265" s="67"/>
      <c r="K265" s="194"/>
      <c r="L265" s="67"/>
      <c r="M265" s="67"/>
      <c r="N265" s="67"/>
      <c r="O265" s="73"/>
      <c r="P265" s="237"/>
      <c r="Q265" s="255"/>
      <c r="R265" s="175"/>
      <c r="S265" s="411" t="s">
        <v>2</v>
      </c>
      <c r="T265" s="190"/>
      <c r="U265" s="22"/>
      <c r="V265" s="233"/>
      <c r="W265" s="239"/>
      <c r="X265" s="403"/>
      <c r="Y265" s="258"/>
    </row>
    <row r="266" spans="1:25" hidden="1" x14ac:dyDescent="0.3">
      <c r="A266" s="47">
        <f>IF(B266="","",SUBTOTAL(3,$B$3:B266)-1)</f>
        <v>5</v>
      </c>
      <c r="B266" s="143" t="s">
        <v>912</v>
      </c>
      <c r="C266" s="143" t="s">
        <v>678</v>
      </c>
      <c r="D266" s="143">
        <v>366106050</v>
      </c>
      <c r="E266" s="46"/>
      <c r="F266" s="22">
        <v>5</v>
      </c>
      <c r="G266" s="176"/>
      <c r="H266" s="407" t="s">
        <v>634</v>
      </c>
      <c r="I266" s="189" t="s">
        <v>634</v>
      </c>
      <c r="J266" s="142"/>
      <c r="K266" s="196"/>
      <c r="L266" s="67"/>
      <c r="M266" s="67"/>
      <c r="N266" s="67"/>
      <c r="O266" s="73"/>
      <c r="P266" s="237"/>
      <c r="Q266" s="255"/>
      <c r="R266" s="175"/>
      <c r="S266" s="411"/>
      <c r="T266" s="190" t="s">
        <v>0</v>
      </c>
      <c r="U266" s="22"/>
      <c r="V266" s="233"/>
      <c r="W266" s="239"/>
      <c r="X266" s="403"/>
      <c r="Y266" s="258"/>
    </row>
    <row r="267" spans="1:25" hidden="1" x14ac:dyDescent="0.3">
      <c r="A267" s="47">
        <f>IF(B267="","",SUBTOTAL(3,$B$3:B267)-1)</f>
        <v>5</v>
      </c>
      <c r="B267" s="24" t="s">
        <v>1052</v>
      </c>
      <c r="C267" s="24" t="s">
        <v>678</v>
      </c>
      <c r="D267" s="163" t="s">
        <v>1053</v>
      </c>
      <c r="E267" s="46"/>
      <c r="F267" s="22">
        <v>5</v>
      </c>
      <c r="G267" s="176" t="s">
        <v>660</v>
      </c>
      <c r="H267" s="405"/>
      <c r="I267" s="185"/>
      <c r="J267" s="67"/>
      <c r="K267" s="194"/>
      <c r="L267" s="67"/>
      <c r="M267" s="67"/>
      <c r="N267" s="67"/>
      <c r="O267" s="73"/>
      <c r="P267" s="237" t="s">
        <v>1</v>
      </c>
      <c r="Q267" s="255"/>
      <c r="R267" s="175" t="s">
        <v>0</v>
      </c>
      <c r="S267" s="411"/>
      <c r="T267" s="190"/>
      <c r="U267" s="22"/>
      <c r="V267" s="233"/>
      <c r="W267" s="239" t="s">
        <v>0</v>
      </c>
      <c r="X267" s="403"/>
      <c r="Y267" s="258"/>
    </row>
    <row r="268" spans="1:25" hidden="1" x14ac:dyDescent="0.3">
      <c r="A268" s="47">
        <f>IF(B268="","",SUBTOTAL(3,$B$3:B268)-1)</f>
        <v>5</v>
      </c>
      <c r="B268" s="24" t="s">
        <v>259</v>
      </c>
      <c r="C268" s="24" t="s">
        <v>77</v>
      </c>
      <c r="D268" s="24"/>
      <c r="E268" s="46">
        <f>($AA$2-O268)*$AB$2+Q268</f>
        <v>0</v>
      </c>
      <c r="F268" s="21">
        <v>11</v>
      </c>
      <c r="G268" s="175"/>
      <c r="H268" s="405" t="s">
        <v>635</v>
      </c>
      <c r="I268" s="185"/>
      <c r="J268" s="67"/>
      <c r="K268" s="194"/>
      <c r="L268" s="180"/>
      <c r="M268" s="180"/>
      <c r="N268" s="180"/>
      <c r="O268" s="181"/>
      <c r="P268" s="237"/>
      <c r="Q268" s="255"/>
      <c r="R268" s="175"/>
      <c r="S268" s="411" t="s">
        <v>1</v>
      </c>
      <c r="T268" s="190"/>
      <c r="U268" s="22"/>
      <c r="V268" s="233"/>
      <c r="W268" s="239"/>
      <c r="X268" s="403"/>
      <c r="Y268" s="258"/>
    </row>
    <row r="269" spans="1:25" hidden="1" x14ac:dyDescent="0.3">
      <c r="A269" s="47">
        <f>IF(B269="","",SUBTOTAL(3,$B$3:B269)-1)</f>
        <v>5</v>
      </c>
      <c r="B269" s="24" t="s">
        <v>918</v>
      </c>
      <c r="C269" s="24" t="s">
        <v>77</v>
      </c>
      <c r="D269" s="24">
        <v>906877035</v>
      </c>
      <c r="E269" s="46">
        <f>($AA$2-O269)*$AB$2+Q269</f>
        <v>0</v>
      </c>
      <c r="F269" s="22">
        <v>11</v>
      </c>
      <c r="G269" s="175"/>
      <c r="H269" s="405" t="s">
        <v>1</v>
      </c>
      <c r="I269" s="187"/>
      <c r="J269" s="67"/>
      <c r="K269" s="194"/>
      <c r="L269" s="180"/>
      <c r="M269" s="180"/>
      <c r="N269" s="180"/>
      <c r="O269" s="181"/>
      <c r="P269" s="237"/>
      <c r="Q269" s="255"/>
      <c r="R269" s="175"/>
      <c r="S269" s="411" t="s">
        <v>0</v>
      </c>
      <c r="T269" s="190"/>
      <c r="U269" s="22"/>
      <c r="V269" s="233" t="s">
        <v>848</v>
      </c>
      <c r="W269" s="239"/>
      <c r="X269" s="403"/>
      <c r="Y269" s="258"/>
    </row>
    <row r="270" spans="1:25" hidden="1" x14ac:dyDescent="0.3">
      <c r="A270" s="47">
        <f>IF(B270="","",SUBTOTAL(3,$B$3:B270)-1)</f>
        <v>5</v>
      </c>
      <c r="B270" s="24" t="s">
        <v>266</v>
      </c>
      <c r="C270" s="242" t="s">
        <v>77</v>
      </c>
      <c r="D270" s="163"/>
      <c r="E270" s="46">
        <f>($AA$2-O270)*$AB$2+Q270</f>
        <v>0</v>
      </c>
      <c r="F270" s="22" t="s">
        <v>1213</v>
      </c>
      <c r="G270" s="175" t="s">
        <v>660</v>
      </c>
      <c r="H270" s="405"/>
      <c r="I270" s="185"/>
      <c r="J270" s="67"/>
      <c r="K270" s="194"/>
      <c r="L270" s="67"/>
      <c r="M270" s="67"/>
      <c r="N270" s="67"/>
      <c r="O270" s="73"/>
      <c r="P270" s="237"/>
      <c r="Q270" s="255"/>
      <c r="R270" s="175" t="s">
        <v>1</v>
      </c>
      <c r="S270" s="411"/>
      <c r="T270" s="190"/>
      <c r="U270" s="22"/>
      <c r="V270" s="233"/>
      <c r="W270" s="239"/>
      <c r="X270" s="403"/>
      <c r="Y270" s="258"/>
    </row>
    <row r="271" spans="1:25" hidden="1" x14ac:dyDescent="0.3">
      <c r="A271" s="47">
        <f>IF(B271="","",SUBTOTAL(3,$B$3:B271)-1)</f>
        <v>5</v>
      </c>
      <c r="B271" s="24" t="s">
        <v>190</v>
      </c>
      <c r="C271" s="24" t="s">
        <v>77</v>
      </c>
      <c r="D271" s="163"/>
      <c r="E271" s="46">
        <f>($AA$2-O271)*$AB$2+Q271</f>
        <v>0</v>
      </c>
      <c r="F271" s="22">
        <v>12</v>
      </c>
      <c r="G271" s="175" t="s">
        <v>660</v>
      </c>
      <c r="H271" s="405"/>
      <c r="I271" s="185"/>
      <c r="J271" s="67"/>
      <c r="K271" s="194"/>
      <c r="L271" s="67"/>
      <c r="M271" s="67"/>
      <c r="N271" s="67"/>
      <c r="O271" s="73"/>
      <c r="P271" s="237"/>
      <c r="Q271" s="255"/>
      <c r="R271" s="175" t="s">
        <v>0</v>
      </c>
      <c r="S271" s="411"/>
      <c r="T271" s="190"/>
      <c r="U271" s="22"/>
      <c r="V271" s="233"/>
      <c r="W271" s="239"/>
      <c r="X271" s="403"/>
      <c r="Y271" s="258"/>
    </row>
    <row r="272" spans="1:25" hidden="1" x14ac:dyDescent="0.3">
      <c r="A272" s="47">
        <f>IF(B272="","",SUBTOTAL(3,$B$3:B272)-1)</f>
        <v>5</v>
      </c>
      <c r="B272" s="25" t="s">
        <v>1154</v>
      </c>
      <c r="C272" s="25" t="s">
        <v>77</v>
      </c>
      <c r="D272" s="163"/>
      <c r="E272" s="46"/>
      <c r="F272" s="22">
        <v>11</v>
      </c>
      <c r="G272" s="175"/>
      <c r="H272" s="405"/>
      <c r="I272" s="185"/>
      <c r="J272" s="71"/>
      <c r="K272" s="194"/>
      <c r="L272" s="67"/>
      <c r="M272" s="67"/>
      <c r="N272" s="67"/>
      <c r="O272" s="73"/>
      <c r="P272" s="237"/>
      <c r="Q272" s="255"/>
      <c r="R272" s="175"/>
      <c r="S272" s="411"/>
      <c r="T272" s="190"/>
      <c r="U272" s="22"/>
      <c r="V272" s="233"/>
      <c r="W272" s="239"/>
      <c r="X272" s="403"/>
      <c r="Y272" s="258"/>
    </row>
    <row r="273" spans="1:25" hidden="1" x14ac:dyDescent="0.3">
      <c r="A273" s="47">
        <f>IF(B273="","",SUBTOTAL(3,$B$3:B273)-1)</f>
        <v>5</v>
      </c>
      <c r="B273" s="174" t="s">
        <v>1187</v>
      </c>
      <c r="C273" s="24" t="s">
        <v>77</v>
      </c>
      <c r="D273" s="163"/>
      <c r="E273" s="46"/>
      <c r="F273" s="369">
        <v>7</v>
      </c>
      <c r="G273" s="175"/>
      <c r="H273" s="406" t="s">
        <v>696</v>
      </c>
      <c r="I273" s="188"/>
      <c r="J273" s="67"/>
      <c r="K273" s="194"/>
      <c r="L273" s="67"/>
      <c r="M273" s="67"/>
      <c r="N273" s="67"/>
      <c r="O273" s="73"/>
      <c r="P273" s="237"/>
      <c r="Q273" s="255"/>
      <c r="R273" s="175"/>
      <c r="S273" s="411" t="s">
        <v>0</v>
      </c>
      <c r="T273" s="190"/>
      <c r="U273" s="22"/>
      <c r="V273" s="233"/>
      <c r="W273" s="239"/>
      <c r="X273" s="403"/>
      <c r="Y273" s="258"/>
    </row>
    <row r="274" spans="1:25" hidden="1" x14ac:dyDescent="0.3">
      <c r="A274" s="47">
        <f>IF(B274="","",SUBTOTAL(3,$B$3:B274)-1)</f>
        <v>5</v>
      </c>
      <c r="B274" s="24" t="s">
        <v>231</v>
      </c>
      <c r="C274" s="24" t="s">
        <v>77</v>
      </c>
      <c r="D274" s="163"/>
      <c r="E274" s="46">
        <f>($AA$2-O274)*$AB$2+Q274</f>
        <v>0</v>
      </c>
      <c r="F274" s="22">
        <v>9</v>
      </c>
      <c r="G274" s="175" t="s">
        <v>415</v>
      </c>
      <c r="H274" s="409" t="s">
        <v>660</v>
      </c>
      <c r="I274" s="187"/>
      <c r="J274" s="67"/>
      <c r="K274" s="194"/>
      <c r="L274" s="180"/>
      <c r="M274" s="180"/>
      <c r="N274" s="180"/>
      <c r="O274" s="181"/>
      <c r="P274" s="237"/>
      <c r="Q274" s="255"/>
      <c r="R274" s="175" t="s">
        <v>2</v>
      </c>
      <c r="S274" s="411" t="s">
        <v>1</v>
      </c>
      <c r="T274" s="190"/>
      <c r="U274" s="22"/>
      <c r="V274" s="233"/>
      <c r="W274" s="239"/>
      <c r="X274" s="403"/>
      <c r="Y274" s="258"/>
    </row>
    <row r="275" spans="1:25" hidden="1" x14ac:dyDescent="0.3">
      <c r="A275" s="47">
        <f>IF(B275="","",SUBTOTAL(3,$B$3:B275)-1)</f>
        <v>5</v>
      </c>
      <c r="B275" s="24" t="s">
        <v>644</v>
      </c>
      <c r="C275" s="24" t="s">
        <v>425</v>
      </c>
      <c r="D275" s="24">
        <v>369988116</v>
      </c>
      <c r="E275" s="46">
        <f>($AA$2-O275)*$AB$2+Q275</f>
        <v>0</v>
      </c>
      <c r="F275" s="22">
        <v>10</v>
      </c>
      <c r="G275" s="175"/>
      <c r="H275" s="405" t="s">
        <v>635</v>
      </c>
      <c r="I275" s="185"/>
      <c r="J275" s="71"/>
      <c r="K275" s="194"/>
      <c r="L275" s="67"/>
      <c r="M275" s="67"/>
      <c r="N275" s="67"/>
      <c r="O275" s="73"/>
      <c r="P275" s="237"/>
      <c r="Q275" s="255"/>
      <c r="R275" s="175"/>
      <c r="S275" s="411" t="s">
        <v>1</v>
      </c>
      <c r="T275" s="190"/>
      <c r="U275" s="22"/>
      <c r="V275" s="233"/>
      <c r="W275" s="239"/>
      <c r="X275" s="403"/>
      <c r="Y275" s="258"/>
    </row>
    <row r="276" spans="1:25" hidden="1" x14ac:dyDescent="0.3">
      <c r="A276" s="47">
        <f>IF(B276="","",SUBTOTAL(3,$B$3:B276)-1)</f>
        <v>5</v>
      </c>
      <c r="B276" s="39" t="s">
        <v>692</v>
      </c>
      <c r="C276" s="24" t="s">
        <v>425</v>
      </c>
      <c r="D276" s="163"/>
      <c r="E276" s="46">
        <f>($AA$2-O276)*$AB$2+Q276</f>
        <v>0</v>
      </c>
      <c r="F276" s="22">
        <v>11</v>
      </c>
      <c r="G276" s="175"/>
      <c r="H276" s="405" t="s">
        <v>635</v>
      </c>
      <c r="I276" s="185"/>
      <c r="J276" s="67"/>
      <c r="K276" s="194"/>
      <c r="L276" s="67"/>
      <c r="M276" s="67"/>
      <c r="N276" s="67"/>
      <c r="O276" s="73"/>
      <c r="P276" s="237"/>
      <c r="Q276" s="255"/>
      <c r="R276" s="175"/>
      <c r="S276" s="411" t="s">
        <v>2</v>
      </c>
      <c r="T276" s="190"/>
      <c r="U276" s="22"/>
      <c r="V276" s="233"/>
      <c r="W276" s="239"/>
      <c r="X276" s="403"/>
      <c r="Y276" s="258"/>
    </row>
    <row r="277" spans="1:25" hidden="1" x14ac:dyDescent="0.3">
      <c r="A277" s="47">
        <f>IF(B277="","",SUBTOTAL(3,$B$3:B277)-1)</f>
        <v>5</v>
      </c>
      <c r="B277" s="143" t="s">
        <v>211</v>
      </c>
      <c r="C277" s="143" t="s">
        <v>425</v>
      </c>
      <c r="D277" s="143">
        <v>365822159</v>
      </c>
      <c r="E277" s="46"/>
      <c r="F277" s="369">
        <v>6</v>
      </c>
      <c r="G277" s="176"/>
      <c r="H277" s="406"/>
      <c r="I277" s="188"/>
      <c r="J277" s="142"/>
      <c r="K277" s="196" t="s">
        <v>721</v>
      </c>
      <c r="L277" s="67"/>
      <c r="M277" s="67"/>
      <c r="N277" s="67"/>
      <c r="O277" s="73"/>
      <c r="P277" s="237"/>
      <c r="Q277" s="255"/>
      <c r="R277" s="175"/>
      <c r="S277" s="411"/>
      <c r="T277" s="190"/>
      <c r="U277" s="22"/>
      <c r="V277" s="233"/>
      <c r="W277" s="239"/>
      <c r="X277" s="403"/>
      <c r="Y277" s="258"/>
    </row>
    <row r="278" spans="1:25" hidden="1" x14ac:dyDescent="0.3">
      <c r="A278" s="47">
        <f>IF(B278="","",SUBTOTAL(3,$B$3:B278)-1)</f>
        <v>5</v>
      </c>
      <c r="B278" s="26" t="s">
        <v>424</v>
      </c>
      <c r="C278" s="26" t="s">
        <v>425</v>
      </c>
      <c r="D278" s="26">
        <v>982987030</v>
      </c>
      <c r="E278" s="46">
        <f>($AA$2-O278)*$AB$2+Q278</f>
        <v>0</v>
      </c>
      <c r="F278" s="22">
        <v>8</v>
      </c>
      <c r="G278" s="175" t="s">
        <v>415</v>
      </c>
      <c r="H278" s="405" t="s">
        <v>660</v>
      </c>
      <c r="I278" s="185" t="s">
        <v>634</v>
      </c>
      <c r="J278" s="67"/>
      <c r="K278" s="194"/>
      <c r="L278" s="180"/>
      <c r="M278" s="180"/>
      <c r="N278" s="180"/>
      <c r="O278" s="181"/>
      <c r="P278" s="237" t="s">
        <v>0</v>
      </c>
      <c r="Q278" s="255"/>
      <c r="R278" s="175" t="s">
        <v>0</v>
      </c>
      <c r="S278" s="411" t="s">
        <v>0</v>
      </c>
      <c r="T278" s="190" t="s">
        <v>0</v>
      </c>
      <c r="U278" s="22"/>
      <c r="V278" s="233"/>
      <c r="W278" s="239"/>
      <c r="X278" s="403"/>
      <c r="Y278" s="258"/>
    </row>
    <row r="279" spans="1:25" hidden="1" x14ac:dyDescent="0.3">
      <c r="A279" s="47">
        <f>IF(B279="","",SUBTOTAL(3,$B$3:B279)-1)</f>
        <v>5</v>
      </c>
      <c r="B279" s="269" t="s">
        <v>1217</v>
      </c>
      <c r="C279" s="269" t="s">
        <v>1196</v>
      </c>
      <c r="D279" s="269">
        <v>949344548</v>
      </c>
      <c r="E279" s="46" t="s">
        <v>1214</v>
      </c>
      <c r="F279" s="301">
        <v>1</v>
      </c>
      <c r="G279" s="175" t="s">
        <v>826</v>
      </c>
      <c r="H279" s="405" t="s">
        <v>634</v>
      </c>
      <c r="I279" s="185"/>
      <c r="J279" s="71"/>
      <c r="K279" s="194"/>
      <c r="L279" s="67"/>
      <c r="M279" s="67"/>
      <c r="N279" s="67"/>
      <c r="O279" s="73"/>
      <c r="P279" s="237"/>
      <c r="Q279" s="255"/>
      <c r="R279" s="175" t="s">
        <v>0</v>
      </c>
      <c r="S279" s="411"/>
      <c r="T279" s="190" t="s">
        <v>0</v>
      </c>
      <c r="U279" s="22"/>
      <c r="V279" s="233"/>
      <c r="W279" s="239"/>
      <c r="X279" s="403"/>
      <c r="Y279" s="323">
        <v>1</v>
      </c>
    </row>
    <row r="280" spans="1:25" hidden="1" x14ac:dyDescent="0.3">
      <c r="A280" s="47">
        <f>IF(B280="","",SUBTOTAL(3,$B$3:B280)-1)</f>
        <v>5</v>
      </c>
      <c r="B280" s="26" t="s">
        <v>1195</v>
      </c>
      <c r="C280" s="26" t="s">
        <v>1196</v>
      </c>
      <c r="D280" s="164"/>
      <c r="E280" s="46"/>
      <c r="F280" s="21">
        <v>8</v>
      </c>
      <c r="G280" s="176"/>
      <c r="H280" s="405" t="s">
        <v>635</v>
      </c>
      <c r="I280" s="185"/>
      <c r="J280" s="67"/>
      <c r="K280" s="194"/>
      <c r="L280" s="67"/>
      <c r="M280" s="67"/>
      <c r="N280" s="67"/>
      <c r="O280" s="73"/>
      <c r="P280" s="237"/>
      <c r="Q280" s="255"/>
      <c r="R280" s="175"/>
      <c r="S280" s="411" t="s">
        <v>1</v>
      </c>
      <c r="T280" s="190"/>
      <c r="U280" s="22"/>
      <c r="V280" s="233"/>
      <c r="W280" s="239"/>
      <c r="X280" s="403"/>
      <c r="Y280" s="258"/>
    </row>
    <row r="281" spans="1:25" hidden="1" x14ac:dyDescent="0.3">
      <c r="A281" s="47">
        <f>IF(B281="","",SUBTOTAL(3,$B$3:B281)-1)</f>
        <v>5</v>
      </c>
      <c r="B281" s="3" t="s">
        <v>566</v>
      </c>
      <c r="C281" s="26" t="s">
        <v>116</v>
      </c>
      <c r="D281" s="25"/>
      <c r="E281" s="46"/>
      <c r="F281" s="22">
        <v>2</v>
      </c>
      <c r="G281" s="176"/>
      <c r="H281" s="405" t="s">
        <v>634</v>
      </c>
      <c r="I281" s="185" t="s">
        <v>634</v>
      </c>
      <c r="J281" s="67"/>
      <c r="K281" s="194"/>
      <c r="L281" s="67"/>
      <c r="M281" s="67"/>
      <c r="N281" s="67"/>
      <c r="O281" s="73"/>
      <c r="P281" s="237"/>
      <c r="Q281" s="255"/>
      <c r="R281" s="175"/>
      <c r="S281" s="411"/>
      <c r="T281" s="190" t="s">
        <v>0</v>
      </c>
      <c r="U281" s="22"/>
      <c r="V281" s="233"/>
      <c r="W281" s="239"/>
      <c r="X281" s="403"/>
      <c r="Y281" s="258"/>
    </row>
    <row r="282" spans="1:25" hidden="1" x14ac:dyDescent="0.3">
      <c r="A282" s="47">
        <f>IF(B282="","",SUBTOTAL(3,$B$3:B282)-1)</f>
        <v>5</v>
      </c>
      <c r="B282" s="24" t="s">
        <v>328</v>
      </c>
      <c r="C282" s="24" t="s">
        <v>116</v>
      </c>
      <c r="D282" s="24">
        <v>949689074</v>
      </c>
      <c r="E282" s="46">
        <f>($AA$2-O282)*$AB$2+Q282</f>
        <v>0</v>
      </c>
      <c r="F282" s="22">
        <v>11</v>
      </c>
      <c r="G282" s="175" t="s">
        <v>415</v>
      </c>
      <c r="H282" s="405" t="s">
        <v>1</v>
      </c>
      <c r="I282" s="185"/>
      <c r="J282" s="67"/>
      <c r="K282" s="194" t="s">
        <v>660</v>
      </c>
      <c r="L282" s="180"/>
      <c r="M282" s="180"/>
      <c r="N282" s="180"/>
      <c r="O282" s="181"/>
      <c r="P282" s="237"/>
      <c r="Q282" s="255"/>
      <c r="R282" s="175" t="s">
        <v>574</v>
      </c>
      <c r="S282" s="411" t="s">
        <v>0</v>
      </c>
      <c r="T282" s="190"/>
      <c r="U282" s="22"/>
      <c r="V282" s="233" t="s">
        <v>848</v>
      </c>
      <c r="W282" s="239"/>
      <c r="X282" s="403"/>
      <c r="Y282" s="258"/>
    </row>
    <row r="283" spans="1:25" hidden="1" x14ac:dyDescent="0.3">
      <c r="A283" s="47">
        <f>IF(B283="","",SUBTOTAL(3,$B$3:B283)-1)</f>
        <v>5</v>
      </c>
      <c r="B283" s="24" t="s">
        <v>921</v>
      </c>
      <c r="C283" s="24" t="s">
        <v>116</v>
      </c>
      <c r="D283" s="24"/>
      <c r="E283" s="46"/>
      <c r="F283" s="22">
        <v>11</v>
      </c>
      <c r="G283" s="175" t="s">
        <v>660</v>
      </c>
      <c r="H283" s="405" t="s">
        <v>1</v>
      </c>
      <c r="I283" s="185"/>
      <c r="J283" s="67"/>
      <c r="K283" s="194"/>
      <c r="L283" s="67"/>
      <c r="M283" s="67"/>
      <c r="N283" s="67"/>
      <c r="O283" s="73"/>
      <c r="P283" s="237"/>
      <c r="Q283" s="255"/>
      <c r="R283" s="175" t="s">
        <v>1</v>
      </c>
      <c r="S283" s="411" t="s">
        <v>0</v>
      </c>
      <c r="T283" s="190"/>
      <c r="U283" s="22"/>
      <c r="V283" s="233"/>
      <c r="W283" s="239"/>
      <c r="X283" s="403"/>
      <c r="Y283" s="258"/>
    </row>
    <row r="284" spans="1:25" hidden="1" x14ac:dyDescent="0.3">
      <c r="A284" s="47">
        <f>IF(B284="","",SUBTOTAL(3,$B$3:B284)-1)</f>
        <v>5</v>
      </c>
      <c r="B284" s="24" t="s">
        <v>269</v>
      </c>
      <c r="C284" s="244" t="s">
        <v>116</v>
      </c>
      <c r="D284" s="26"/>
      <c r="E284" s="46">
        <f>($AA$2-O284)*$AB$2+Q284</f>
        <v>0</v>
      </c>
      <c r="F284" s="22" t="s">
        <v>1213</v>
      </c>
      <c r="G284" s="175" t="s">
        <v>660</v>
      </c>
      <c r="H284" s="405"/>
      <c r="I284" s="185"/>
      <c r="J284" s="67"/>
      <c r="K284" s="194"/>
      <c r="L284" s="67"/>
      <c r="M284" s="67"/>
      <c r="N284" s="67"/>
      <c r="O284" s="73"/>
      <c r="P284" s="237"/>
      <c r="Q284" s="255"/>
      <c r="R284" s="175" t="s">
        <v>0</v>
      </c>
      <c r="S284" s="411"/>
      <c r="T284" s="190"/>
      <c r="U284" s="22"/>
      <c r="V284" s="233"/>
      <c r="W284" s="239"/>
      <c r="X284" s="403"/>
      <c r="Y284" s="258"/>
    </row>
    <row r="285" spans="1:25" hidden="1" x14ac:dyDescent="0.3">
      <c r="A285" s="47">
        <f>IF(B285="","",SUBTOTAL(3,$B$3:B285)-1)</f>
        <v>5</v>
      </c>
      <c r="B285" s="24" t="s">
        <v>242</v>
      </c>
      <c r="C285" s="24" t="s">
        <v>83</v>
      </c>
      <c r="D285" s="163"/>
      <c r="E285" s="46">
        <f>($AA$2-O285)*$AB$2+Q285</f>
        <v>0</v>
      </c>
      <c r="F285" s="22">
        <v>10</v>
      </c>
      <c r="G285" s="175"/>
      <c r="H285" s="405" t="s">
        <v>696</v>
      </c>
      <c r="I285" s="186" t="s">
        <v>634</v>
      </c>
      <c r="J285" s="22"/>
      <c r="K285" s="195"/>
      <c r="L285" s="68"/>
      <c r="M285" s="68"/>
      <c r="N285" s="68"/>
      <c r="O285" s="73"/>
      <c r="P285" s="237"/>
      <c r="Q285" s="255"/>
      <c r="R285" s="175"/>
      <c r="S285" s="411" t="s">
        <v>661</v>
      </c>
      <c r="T285" s="190" t="s">
        <v>0</v>
      </c>
      <c r="U285" s="22"/>
      <c r="V285" s="233"/>
      <c r="W285" s="239"/>
      <c r="X285" s="403"/>
      <c r="Y285" s="258"/>
    </row>
    <row r="286" spans="1:25" hidden="1" x14ac:dyDescent="0.3">
      <c r="A286" s="47">
        <f>IF(B286="","",SUBTOTAL(3,$B$3:B286)-1)</f>
        <v>5</v>
      </c>
      <c r="B286" s="24" t="s">
        <v>296</v>
      </c>
      <c r="C286" s="24" t="s">
        <v>8</v>
      </c>
      <c r="D286" s="163"/>
      <c r="E286" s="46">
        <f>($AA$2-O286)*$AB$2+Q286</f>
        <v>0</v>
      </c>
      <c r="F286" s="21">
        <v>10</v>
      </c>
      <c r="G286" s="175"/>
      <c r="H286" s="405"/>
      <c r="I286" s="185"/>
      <c r="J286" s="71"/>
      <c r="K286" s="194"/>
      <c r="L286" s="67"/>
      <c r="M286" s="67"/>
      <c r="N286" s="67"/>
      <c r="O286" s="73"/>
      <c r="P286" s="237"/>
      <c r="Q286" s="255"/>
      <c r="R286" s="175"/>
      <c r="S286" s="411"/>
      <c r="T286" s="190"/>
      <c r="U286" s="22"/>
      <c r="V286" s="233"/>
      <c r="W286" s="239"/>
      <c r="X286" s="403"/>
      <c r="Y286" s="258"/>
    </row>
    <row r="287" spans="1:25" hidden="1" x14ac:dyDescent="0.3">
      <c r="A287" s="47">
        <f>IF(B287="","",SUBTOTAL(3,$B$3:B287)-1)</f>
        <v>5</v>
      </c>
      <c r="B287" s="24" t="s">
        <v>571</v>
      </c>
      <c r="C287" s="24" t="s">
        <v>8</v>
      </c>
      <c r="D287" s="24"/>
      <c r="E287" s="46">
        <f>($AA$2-O287)*$AB$2+Q287</f>
        <v>0</v>
      </c>
      <c r="F287" s="22">
        <v>11</v>
      </c>
      <c r="G287" s="175"/>
      <c r="H287" s="405" t="s">
        <v>635</v>
      </c>
      <c r="I287" s="185"/>
      <c r="J287" s="67"/>
      <c r="K287" s="194"/>
      <c r="L287" s="67"/>
      <c r="M287" s="67"/>
      <c r="N287" s="67"/>
      <c r="O287" s="73"/>
      <c r="P287" s="237"/>
      <c r="Q287" s="255"/>
      <c r="R287" s="175"/>
      <c r="S287" s="411" t="s">
        <v>1</v>
      </c>
      <c r="T287" s="190"/>
      <c r="U287" s="22"/>
      <c r="V287" s="233"/>
      <c r="W287" s="239"/>
      <c r="X287" s="403"/>
      <c r="Y287" s="258"/>
    </row>
    <row r="288" spans="1:25" hidden="1" x14ac:dyDescent="0.3">
      <c r="A288" s="47">
        <f>IF(B288="","",SUBTOTAL(3,$B$3:B288)-1)</f>
        <v>5</v>
      </c>
      <c r="B288" s="24" t="s">
        <v>138</v>
      </c>
      <c r="C288" s="24" t="s">
        <v>8</v>
      </c>
      <c r="D288" s="163"/>
      <c r="E288" s="46">
        <f>($AA$2-O288)*$AB$2+Q288</f>
        <v>0</v>
      </c>
      <c r="F288" s="22">
        <v>5</v>
      </c>
      <c r="G288" s="175"/>
      <c r="H288" s="405"/>
      <c r="I288" s="185"/>
      <c r="J288" s="67"/>
      <c r="K288" s="194"/>
      <c r="L288" s="67"/>
      <c r="M288" s="67"/>
      <c r="N288" s="67"/>
      <c r="O288" s="73"/>
      <c r="P288" s="237"/>
      <c r="Q288" s="255"/>
      <c r="R288" s="175"/>
      <c r="S288" s="411"/>
      <c r="T288" s="190"/>
      <c r="U288" s="22"/>
      <c r="V288" s="233"/>
      <c r="W288" s="239"/>
      <c r="X288" s="403"/>
      <c r="Y288" s="258"/>
    </row>
    <row r="289" spans="1:25" hidden="1" x14ac:dyDescent="0.3">
      <c r="A289" s="47">
        <f>IF(B289="","",SUBTOTAL(3,$B$3:B289)-1)</f>
        <v>5</v>
      </c>
      <c r="B289" s="380" t="s">
        <v>1358</v>
      </c>
      <c r="C289" s="380" t="s">
        <v>8</v>
      </c>
      <c r="D289" s="380">
        <v>389728568</v>
      </c>
      <c r="E289" s="46" t="s">
        <v>1356</v>
      </c>
      <c r="F289" s="382">
        <v>6</v>
      </c>
      <c r="G289" s="175" t="s">
        <v>1332</v>
      </c>
      <c r="H289" s="405"/>
      <c r="I289" s="185"/>
      <c r="J289" s="71"/>
      <c r="K289" s="194"/>
      <c r="L289" s="67"/>
      <c r="M289" s="67"/>
      <c r="N289" s="67"/>
      <c r="O289" s="73"/>
      <c r="P289" s="237"/>
      <c r="Q289" s="255"/>
      <c r="R289" s="175" t="s">
        <v>2</v>
      </c>
      <c r="S289" s="411"/>
      <c r="T289" s="190"/>
      <c r="U289" s="22"/>
      <c r="V289" s="233"/>
      <c r="W289" s="239"/>
      <c r="X289" s="403"/>
      <c r="Y289" s="383" t="s">
        <v>1380</v>
      </c>
    </row>
    <row r="290" spans="1:25" hidden="1" x14ac:dyDescent="0.3">
      <c r="A290" s="47">
        <f>IF(B290="","",SUBTOTAL(3,$B$3:B290)-1)</f>
        <v>5</v>
      </c>
      <c r="B290" s="24" t="s">
        <v>204</v>
      </c>
      <c r="C290" s="24" t="s">
        <v>8</v>
      </c>
      <c r="D290" s="24">
        <v>388540419</v>
      </c>
      <c r="E290" s="46">
        <f>($AA$2-O290)*$AB$2+Q290</f>
        <v>0</v>
      </c>
      <c r="F290" s="22">
        <v>9</v>
      </c>
      <c r="G290" s="175" t="s">
        <v>415</v>
      </c>
      <c r="H290" s="409" t="s">
        <v>660</v>
      </c>
      <c r="I290" s="187"/>
      <c r="J290" s="67"/>
      <c r="K290" s="194"/>
      <c r="L290" s="180"/>
      <c r="M290" s="180"/>
      <c r="N290" s="180"/>
      <c r="O290" s="181"/>
      <c r="P290" s="237"/>
      <c r="Q290" s="255"/>
      <c r="R290" s="175" t="s">
        <v>0</v>
      </c>
      <c r="S290" s="411" t="s">
        <v>0</v>
      </c>
      <c r="T290" s="190"/>
      <c r="U290" s="22"/>
      <c r="V290" s="233"/>
      <c r="W290" s="239"/>
      <c r="X290" s="403"/>
      <c r="Y290" s="258"/>
    </row>
    <row r="291" spans="1:25" hidden="1" x14ac:dyDescent="0.3">
      <c r="A291" s="47">
        <f>IF(B291="","",SUBTOTAL(3,$B$3:B291)-1)</f>
        <v>5</v>
      </c>
      <c r="B291" s="143" t="s">
        <v>813</v>
      </c>
      <c r="C291" s="143" t="s">
        <v>814</v>
      </c>
      <c r="D291" s="143">
        <v>962457413</v>
      </c>
      <c r="E291" s="46"/>
      <c r="F291" s="142">
        <v>7</v>
      </c>
      <c r="G291" s="175" t="s">
        <v>415</v>
      </c>
      <c r="H291" s="406" t="s">
        <v>635</v>
      </c>
      <c r="I291" s="188" t="s">
        <v>661</v>
      </c>
      <c r="J291" s="142"/>
      <c r="K291" s="196" t="s">
        <v>721</v>
      </c>
      <c r="L291" s="67"/>
      <c r="M291" s="67"/>
      <c r="N291" s="67"/>
      <c r="O291" s="73"/>
      <c r="P291" s="237"/>
      <c r="Q291" s="255"/>
      <c r="R291" s="175" t="s">
        <v>1</v>
      </c>
      <c r="S291" s="411" t="s">
        <v>1</v>
      </c>
      <c r="T291" s="190" t="s">
        <v>1</v>
      </c>
      <c r="U291" s="22"/>
      <c r="V291" s="233"/>
      <c r="W291" s="239"/>
      <c r="X291" s="403"/>
      <c r="Y291" s="258"/>
    </row>
    <row r="292" spans="1:25" hidden="1" x14ac:dyDescent="0.3">
      <c r="A292" s="47">
        <f>IF(B292="","",SUBTOTAL(3,$B$3:B292)-1)</f>
        <v>5</v>
      </c>
      <c r="B292" s="24" t="s">
        <v>920</v>
      </c>
      <c r="C292" s="24" t="s">
        <v>919</v>
      </c>
      <c r="D292" s="24"/>
      <c r="E292" s="46"/>
      <c r="F292" s="22">
        <v>11</v>
      </c>
      <c r="G292" s="175"/>
      <c r="H292" s="405"/>
      <c r="I292" s="185"/>
      <c r="J292" s="67"/>
      <c r="K292" s="194"/>
      <c r="L292" s="67"/>
      <c r="M292" s="67"/>
      <c r="N292" s="67"/>
      <c r="O292" s="73"/>
      <c r="P292" s="237"/>
      <c r="Q292" s="255"/>
      <c r="R292" s="175"/>
      <c r="S292" s="411"/>
      <c r="T292" s="190"/>
      <c r="U292" s="22"/>
      <c r="V292" s="233"/>
      <c r="W292" s="239"/>
      <c r="X292" s="403"/>
      <c r="Y292" s="258"/>
    </row>
    <row r="293" spans="1:25" hidden="1" x14ac:dyDescent="0.3">
      <c r="A293" s="47">
        <f>IF(B293="","",SUBTOTAL(3,$B$3:B293)-1)</f>
        <v>5</v>
      </c>
      <c r="B293" s="24" t="s">
        <v>245</v>
      </c>
      <c r="C293" s="24" t="s">
        <v>63</v>
      </c>
      <c r="D293" s="24"/>
      <c r="E293" s="46">
        <f>($AA$2-O293)*$AB$2+Q293</f>
        <v>0</v>
      </c>
      <c r="F293" s="22">
        <v>10</v>
      </c>
      <c r="G293" s="175" t="s">
        <v>415</v>
      </c>
      <c r="H293" s="405" t="s">
        <v>635</v>
      </c>
      <c r="I293" s="185"/>
      <c r="J293" s="71"/>
      <c r="K293" s="194"/>
      <c r="L293" s="180"/>
      <c r="M293" s="180"/>
      <c r="N293" s="180"/>
      <c r="O293" s="181"/>
      <c r="P293" s="237"/>
      <c r="Q293" s="255"/>
      <c r="R293" s="175" t="s">
        <v>0</v>
      </c>
      <c r="S293" s="411" t="s">
        <v>0</v>
      </c>
      <c r="T293" s="190"/>
      <c r="U293" s="22"/>
      <c r="V293" s="233"/>
      <c r="W293" s="239"/>
      <c r="X293" s="403"/>
      <c r="Y293" s="258"/>
    </row>
    <row r="294" spans="1:25" hidden="1" x14ac:dyDescent="0.3">
      <c r="A294" s="47">
        <f>IF(B294="","",SUBTOTAL(3,$B$3:B294)-1)</f>
        <v>5</v>
      </c>
      <c r="B294" s="24" t="s">
        <v>303</v>
      </c>
      <c r="C294" s="24" t="s">
        <v>63</v>
      </c>
      <c r="D294" s="163"/>
      <c r="E294" s="46">
        <f>($AA$2-O294)*$AB$2+Q294</f>
        <v>0</v>
      </c>
      <c r="F294" s="22">
        <v>10</v>
      </c>
      <c r="G294" s="175" t="s">
        <v>415</v>
      </c>
      <c r="H294" s="405" t="s">
        <v>635</v>
      </c>
      <c r="I294" s="185"/>
      <c r="J294" s="71"/>
      <c r="K294" s="194"/>
      <c r="L294" s="180"/>
      <c r="M294" s="180"/>
      <c r="N294" s="180"/>
      <c r="O294" s="181"/>
      <c r="P294" s="237"/>
      <c r="Q294" s="255"/>
      <c r="R294" s="175" t="s">
        <v>2</v>
      </c>
      <c r="S294" s="411" t="s">
        <v>0</v>
      </c>
      <c r="T294" s="190"/>
      <c r="U294" s="22"/>
      <c r="V294" s="233"/>
      <c r="W294" s="239"/>
      <c r="X294" s="403"/>
      <c r="Y294" s="258"/>
    </row>
    <row r="295" spans="1:25" hidden="1" x14ac:dyDescent="0.3">
      <c r="A295" s="47">
        <f>IF(B295="","",SUBTOTAL(3,$B$3:B295)-1)</f>
        <v>5</v>
      </c>
      <c r="B295" s="39" t="s">
        <v>1109</v>
      </c>
      <c r="C295" s="24" t="s">
        <v>63</v>
      </c>
      <c r="D295" s="163"/>
      <c r="E295" s="46"/>
      <c r="F295" s="142">
        <v>7</v>
      </c>
      <c r="G295" s="176"/>
      <c r="H295" s="406"/>
      <c r="I295" s="185"/>
      <c r="J295" s="67"/>
      <c r="K295" s="194"/>
      <c r="L295" s="180"/>
      <c r="M295" s="180"/>
      <c r="N295" s="180"/>
      <c r="O295" s="181"/>
      <c r="P295" s="237"/>
      <c r="Q295" s="255"/>
      <c r="R295" s="175"/>
      <c r="S295" s="411"/>
      <c r="T295" s="190"/>
      <c r="U295" s="22"/>
      <c r="V295" s="233"/>
      <c r="W295" s="239"/>
      <c r="X295" s="403"/>
      <c r="Y295" s="258"/>
    </row>
    <row r="296" spans="1:25" hidden="1" x14ac:dyDescent="0.3">
      <c r="A296" s="47">
        <f>IF(B296="","",SUBTOTAL(3,$B$3:B296)-1)</f>
        <v>5</v>
      </c>
      <c r="B296" s="3" t="s">
        <v>544</v>
      </c>
      <c r="C296" s="26" t="s">
        <v>63</v>
      </c>
      <c r="D296" s="26"/>
      <c r="E296" s="46"/>
      <c r="F296" s="22">
        <v>8</v>
      </c>
      <c r="G296" s="175"/>
      <c r="H296" s="405" t="s">
        <v>660</v>
      </c>
      <c r="I296" s="185"/>
      <c r="J296" s="67"/>
      <c r="K296" s="194"/>
      <c r="L296" s="67"/>
      <c r="M296" s="67"/>
      <c r="N296" s="67"/>
      <c r="O296" s="73"/>
      <c r="P296" s="237"/>
      <c r="Q296" s="255"/>
      <c r="R296" s="175"/>
      <c r="S296" s="411" t="s">
        <v>0</v>
      </c>
      <c r="T296" s="190"/>
      <c r="U296" s="22"/>
      <c r="V296" s="233"/>
      <c r="W296" s="239"/>
      <c r="X296" s="403"/>
      <c r="Y296" s="258"/>
    </row>
    <row r="297" spans="1:25" hidden="1" x14ac:dyDescent="0.3">
      <c r="A297" s="47">
        <f>IF(B297="","",SUBTOTAL(3,$B$3:B297)-1)</f>
        <v>5</v>
      </c>
      <c r="B297" s="25" t="s">
        <v>210</v>
      </c>
      <c r="C297" s="25" t="s">
        <v>63</v>
      </c>
      <c r="D297" s="24">
        <v>914112811</v>
      </c>
      <c r="E297" s="46">
        <f>($AA$2-O297)*$AB$2+Q297</f>
        <v>0</v>
      </c>
      <c r="F297" s="22">
        <v>9</v>
      </c>
      <c r="G297" s="175" t="s">
        <v>415</v>
      </c>
      <c r="H297" s="409" t="s">
        <v>696</v>
      </c>
      <c r="I297" s="187" t="s">
        <v>634</v>
      </c>
      <c r="J297" s="67"/>
      <c r="K297" s="194"/>
      <c r="L297" s="180"/>
      <c r="M297" s="180"/>
      <c r="N297" s="180"/>
      <c r="O297" s="181"/>
      <c r="P297" s="237"/>
      <c r="Q297" s="255"/>
      <c r="R297" s="175" t="s">
        <v>0</v>
      </c>
      <c r="S297" s="411" t="s">
        <v>661</v>
      </c>
      <c r="T297" s="190" t="s">
        <v>0</v>
      </c>
      <c r="U297" s="22"/>
      <c r="V297" s="233"/>
      <c r="W297" s="239"/>
      <c r="X297" s="403"/>
      <c r="Y297" s="258"/>
    </row>
    <row r="298" spans="1:25" hidden="1" x14ac:dyDescent="0.3">
      <c r="A298" s="47">
        <f>IF(B298="","",SUBTOTAL(3,$B$3:B298)-1)</f>
        <v>5</v>
      </c>
      <c r="B298" s="265" t="s">
        <v>1225</v>
      </c>
      <c r="C298" s="265" t="s">
        <v>108</v>
      </c>
      <c r="D298" s="265">
        <v>373819464</v>
      </c>
      <c r="E298" s="46" t="s">
        <v>1214</v>
      </c>
      <c r="F298" s="300">
        <v>2</v>
      </c>
      <c r="G298" s="175"/>
      <c r="H298" s="405" t="s">
        <v>634</v>
      </c>
      <c r="I298" s="185" t="s">
        <v>634</v>
      </c>
      <c r="J298" s="71"/>
      <c r="K298" s="194"/>
      <c r="L298" s="67"/>
      <c r="M298" s="67"/>
      <c r="N298" s="67"/>
      <c r="O298" s="73"/>
      <c r="P298" s="237"/>
      <c r="Q298" s="255"/>
      <c r="R298" s="175"/>
      <c r="S298" s="411"/>
      <c r="T298" s="190" t="s">
        <v>0</v>
      </c>
      <c r="U298" s="22"/>
      <c r="V298" s="233"/>
      <c r="W298" s="239"/>
      <c r="X298" s="403"/>
      <c r="Y298" s="320">
        <v>2</v>
      </c>
    </row>
    <row r="299" spans="1:25" hidden="1" x14ac:dyDescent="0.3">
      <c r="A299" s="47">
        <f>IF(B299="","",SUBTOTAL(3,$B$3:B299)-1)</f>
        <v>5</v>
      </c>
      <c r="B299" s="24" t="s">
        <v>201</v>
      </c>
      <c r="C299" s="24" t="s">
        <v>108</v>
      </c>
      <c r="D299" s="163"/>
      <c r="E299" s="46">
        <f>($AA$2-O299)*$AB$2+Q299</f>
        <v>0</v>
      </c>
      <c r="F299" s="22">
        <v>11</v>
      </c>
      <c r="G299" s="175" t="s">
        <v>660</v>
      </c>
      <c r="H299" s="405"/>
      <c r="I299" s="185" t="s">
        <v>661</v>
      </c>
      <c r="J299" s="67"/>
      <c r="K299" s="194"/>
      <c r="L299" s="180"/>
      <c r="M299" s="180"/>
      <c r="N299" s="180"/>
      <c r="O299" s="181"/>
      <c r="P299" s="237"/>
      <c r="Q299" s="255"/>
      <c r="R299" s="175" t="s">
        <v>0</v>
      </c>
      <c r="S299" s="411" t="s">
        <v>710</v>
      </c>
      <c r="T299" s="190"/>
      <c r="U299" s="22"/>
      <c r="V299" s="233"/>
      <c r="W299" s="239"/>
      <c r="X299" s="403"/>
      <c r="Y299" s="258"/>
    </row>
    <row r="300" spans="1:25" hidden="1" x14ac:dyDescent="0.3">
      <c r="A300" s="47">
        <f>IF(B300="","",SUBTOTAL(3,$B$3:B300)-1)</f>
        <v>5</v>
      </c>
      <c r="B300" s="26" t="s">
        <v>735</v>
      </c>
      <c r="C300" s="26" t="s">
        <v>108</v>
      </c>
      <c r="D300" s="26"/>
      <c r="E300" s="46">
        <f>($AA$2-O300)*$AB$2+Q300</f>
        <v>0</v>
      </c>
      <c r="F300" s="142">
        <v>7</v>
      </c>
      <c r="G300" s="175"/>
      <c r="H300" s="405"/>
      <c r="I300" s="185"/>
      <c r="J300" s="67"/>
      <c r="K300" s="194"/>
      <c r="L300" s="67"/>
      <c r="M300" s="67"/>
      <c r="N300" s="67"/>
      <c r="O300" s="73"/>
      <c r="P300" s="237"/>
      <c r="Q300" s="255"/>
      <c r="R300" s="175"/>
      <c r="S300" s="411" t="s">
        <v>0</v>
      </c>
      <c r="T300" s="190"/>
      <c r="U300" s="22"/>
      <c r="V300" s="233"/>
      <c r="W300" s="239"/>
      <c r="X300" s="403"/>
      <c r="Y300" s="258"/>
    </row>
    <row r="301" spans="1:25" hidden="1" x14ac:dyDescent="0.3">
      <c r="A301" s="47">
        <f>IF(B301="","",SUBTOTAL(3,$B$3:B301)-1)</f>
        <v>5</v>
      </c>
      <c r="B301" s="39" t="s">
        <v>733</v>
      </c>
      <c r="C301" s="24" t="s">
        <v>108</v>
      </c>
      <c r="D301" s="163"/>
      <c r="E301" s="46"/>
      <c r="F301" s="142">
        <v>7</v>
      </c>
      <c r="G301" s="176" t="s">
        <v>415</v>
      </c>
      <c r="H301" s="406" t="s">
        <v>696</v>
      </c>
      <c r="I301" s="185"/>
      <c r="J301" s="67"/>
      <c r="K301" s="194"/>
      <c r="L301" s="180"/>
      <c r="M301" s="180"/>
      <c r="N301" s="180"/>
      <c r="O301" s="181"/>
      <c r="P301" s="237"/>
      <c r="Q301" s="255"/>
      <c r="R301" s="175" t="s">
        <v>2</v>
      </c>
      <c r="S301" s="411"/>
      <c r="T301" s="190"/>
      <c r="U301" s="22"/>
      <c r="V301" s="233"/>
      <c r="W301" s="239"/>
      <c r="X301" s="403"/>
      <c r="Y301" s="258"/>
    </row>
    <row r="302" spans="1:25" hidden="1" x14ac:dyDescent="0.3">
      <c r="A302" s="47">
        <f>IF(B302="","",SUBTOTAL(3,$B$3:B302)-1)</f>
        <v>5</v>
      </c>
      <c r="B302" s="269" t="s">
        <v>1277</v>
      </c>
      <c r="C302" s="269" t="s">
        <v>587</v>
      </c>
      <c r="D302" s="269">
        <v>787932139</v>
      </c>
      <c r="E302" s="46" t="s">
        <v>1214</v>
      </c>
      <c r="F302" s="300">
        <v>3</v>
      </c>
      <c r="G302" s="175" t="s">
        <v>826</v>
      </c>
      <c r="H302" s="405"/>
      <c r="I302" s="185"/>
      <c r="J302" s="71"/>
      <c r="K302" s="194"/>
      <c r="L302" s="67"/>
      <c r="M302" s="67"/>
      <c r="N302" s="67"/>
      <c r="O302" s="73"/>
      <c r="P302" s="237"/>
      <c r="Q302" s="255"/>
      <c r="R302" s="175" t="s">
        <v>1</v>
      </c>
      <c r="S302" s="411"/>
      <c r="T302" s="190"/>
      <c r="U302" s="22"/>
      <c r="V302" s="233"/>
      <c r="W302" s="239"/>
      <c r="X302" s="403"/>
      <c r="Y302" s="323" t="s">
        <v>1024</v>
      </c>
    </row>
    <row r="303" spans="1:25" hidden="1" x14ac:dyDescent="0.3">
      <c r="A303" s="47">
        <f>IF(B303="","",SUBTOTAL(3,$B$3:B303)-1)</f>
        <v>5</v>
      </c>
      <c r="B303" s="26" t="s">
        <v>586</v>
      </c>
      <c r="C303" s="26" t="s">
        <v>587</v>
      </c>
      <c r="D303" s="26"/>
      <c r="E303" s="46">
        <f>($AA$2-O303)*$AB$2+Q303</f>
        <v>0</v>
      </c>
      <c r="F303" s="22">
        <v>8</v>
      </c>
      <c r="G303" s="175" t="s">
        <v>415</v>
      </c>
      <c r="H303" s="405" t="s">
        <v>635</v>
      </c>
      <c r="I303" s="185"/>
      <c r="J303" s="67"/>
      <c r="K303" s="194"/>
      <c r="L303" s="180"/>
      <c r="M303" s="180"/>
      <c r="N303" s="180"/>
      <c r="O303" s="181"/>
      <c r="P303" s="237"/>
      <c r="Q303" s="255"/>
      <c r="R303" s="175" t="s">
        <v>1</v>
      </c>
      <c r="S303" s="411" t="s">
        <v>2</v>
      </c>
      <c r="T303" s="190"/>
      <c r="U303" s="22"/>
      <c r="V303" s="233"/>
      <c r="W303" s="239"/>
      <c r="X303" s="403"/>
      <c r="Y303" s="258"/>
    </row>
    <row r="304" spans="1:25" hidden="1" x14ac:dyDescent="0.3">
      <c r="A304" s="47">
        <f>IF(B304="","",SUBTOTAL(3,$B$3:B304)-1)</f>
        <v>5</v>
      </c>
      <c r="B304" s="24" t="s">
        <v>254</v>
      </c>
      <c r="C304" s="24" t="s">
        <v>128</v>
      </c>
      <c r="D304" s="24"/>
      <c r="E304" s="46">
        <f>($AA$2-O304)*$AB$2+Q304</f>
        <v>0</v>
      </c>
      <c r="F304" s="22" t="s">
        <v>1213</v>
      </c>
      <c r="G304" s="175"/>
      <c r="H304" s="405"/>
      <c r="I304" s="185"/>
      <c r="J304" s="67"/>
      <c r="K304" s="194"/>
      <c r="L304" s="67"/>
      <c r="M304" s="67"/>
      <c r="N304" s="67"/>
      <c r="O304" s="73"/>
      <c r="P304" s="237"/>
      <c r="Q304" s="255"/>
      <c r="R304" s="175"/>
      <c r="S304" s="411"/>
      <c r="T304" s="190"/>
      <c r="U304" s="22"/>
      <c r="V304" s="233"/>
      <c r="W304" s="239"/>
      <c r="X304" s="403"/>
      <c r="Y304" s="258"/>
    </row>
    <row r="305" spans="1:25" hidden="1" x14ac:dyDescent="0.3">
      <c r="A305" s="47">
        <f>IF(B305="","",SUBTOTAL(3,$B$3:B305)-1)</f>
        <v>5</v>
      </c>
      <c r="B305" s="24" t="s">
        <v>272</v>
      </c>
      <c r="C305" s="242" t="s">
        <v>128</v>
      </c>
      <c r="D305" s="163"/>
      <c r="E305" s="46">
        <f>($AA$2-O305)*$AB$2+Q305</f>
        <v>0</v>
      </c>
      <c r="F305" s="21" t="s">
        <v>1213</v>
      </c>
      <c r="G305" s="175"/>
      <c r="H305" s="405"/>
      <c r="I305" s="185"/>
      <c r="J305" s="67"/>
      <c r="K305" s="194"/>
      <c r="L305" s="67"/>
      <c r="M305" s="67"/>
      <c r="N305" s="67"/>
      <c r="O305" s="73"/>
      <c r="P305" s="237"/>
      <c r="Q305" s="255"/>
      <c r="R305" s="175"/>
      <c r="S305" s="411"/>
      <c r="T305" s="190"/>
      <c r="U305" s="22"/>
      <c r="V305" s="233"/>
      <c r="W305" s="239"/>
      <c r="X305" s="403"/>
      <c r="Y305" s="258"/>
    </row>
    <row r="306" spans="1:25" hidden="1" x14ac:dyDescent="0.3">
      <c r="A306" s="47">
        <f>IF(B306="","",SUBTOTAL(3,$B$3:B306)-1)</f>
        <v>5</v>
      </c>
      <c r="B306" s="24" t="s">
        <v>994</v>
      </c>
      <c r="C306" s="24" t="s">
        <v>128</v>
      </c>
      <c r="D306" s="24"/>
      <c r="E306" s="46"/>
      <c r="F306" s="142">
        <v>7</v>
      </c>
      <c r="G306" s="175" t="s">
        <v>415</v>
      </c>
      <c r="H306" s="408" t="s">
        <v>635</v>
      </c>
      <c r="I306" s="186"/>
      <c r="J306" s="68"/>
      <c r="K306" s="195"/>
      <c r="L306" s="67"/>
      <c r="M306" s="67"/>
      <c r="N306" s="67"/>
      <c r="O306" s="73"/>
      <c r="P306" s="237"/>
      <c r="Q306" s="255"/>
      <c r="R306" s="175" t="s">
        <v>1</v>
      </c>
      <c r="S306" s="411" t="s">
        <v>635</v>
      </c>
      <c r="T306" s="190"/>
      <c r="U306" s="22"/>
      <c r="V306" s="233"/>
      <c r="W306" s="239"/>
      <c r="X306" s="403"/>
      <c r="Y306" s="258"/>
    </row>
    <row r="307" spans="1:25" hidden="1" x14ac:dyDescent="0.3">
      <c r="A307" s="47">
        <f>IF(B307="","",SUBTOTAL(3,$B$3:B307)-1)</f>
        <v>5</v>
      </c>
      <c r="B307" s="24" t="s">
        <v>524</v>
      </c>
      <c r="C307" s="24" t="s">
        <v>97</v>
      </c>
      <c r="D307" s="24">
        <v>816634255</v>
      </c>
      <c r="E307" s="46">
        <f>($AA$2-O307)*$AB$2+Q307</f>
        <v>0</v>
      </c>
      <c r="F307" s="22">
        <v>11</v>
      </c>
      <c r="G307" s="175"/>
      <c r="H307" s="405" t="s">
        <v>1</v>
      </c>
      <c r="I307" s="185"/>
      <c r="J307" s="67"/>
      <c r="K307" s="194"/>
      <c r="L307" s="180"/>
      <c r="M307" s="180"/>
      <c r="N307" s="180"/>
      <c r="O307" s="181"/>
      <c r="P307" s="237"/>
      <c r="Q307" s="255"/>
      <c r="R307" s="175"/>
      <c r="S307" s="411" t="s">
        <v>0</v>
      </c>
      <c r="T307" s="190"/>
      <c r="U307" s="22"/>
      <c r="V307" s="233"/>
      <c r="W307" s="239"/>
      <c r="X307" s="403"/>
      <c r="Y307" s="258"/>
    </row>
    <row r="308" spans="1:25" hidden="1" x14ac:dyDescent="0.3">
      <c r="A308" s="47">
        <f>IF(B308="","",SUBTOTAL(3,$B$3:B308)-1)</f>
        <v>5</v>
      </c>
      <c r="B308" s="24" t="s">
        <v>299</v>
      </c>
      <c r="C308" s="24" t="s">
        <v>97</v>
      </c>
      <c r="D308" s="163"/>
      <c r="E308" s="46">
        <f>($AA$2-O308)*$AB$2+Q308</f>
        <v>0</v>
      </c>
      <c r="F308" s="22">
        <v>10</v>
      </c>
      <c r="G308" s="175" t="s">
        <v>415</v>
      </c>
      <c r="H308" s="405" t="s">
        <v>635</v>
      </c>
      <c r="I308" s="185" t="s">
        <v>661</v>
      </c>
      <c r="J308" s="71"/>
      <c r="K308" s="194"/>
      <c r="L308" s="180"/>
      <c r="M308" s="180"/>
      <c r="N308" s="180"/>
      <c r="O308" s="181"/>
      <c r="P308" s="237"/>
      <c r="Q308" s="255"/>
      <c r="R308" s="175" t="s">
        <v>1</v>
      </c>
      <c r="S308" s="411" t="s">
        <v>1</v>
      </c>
      <c r="T308" s="190" t="s">
        <v>0</v>
      </c>
      <c r="U308" s="22"/>
      <c r="V308" s="233"/>
      <c r="W308" s="239"/>
      <c r="X308" s="403"/>
      <c r="Y308" s="258"/>
    </row>
    <row r="309" spans="1:25" hidden="1" x14ac:dyDescent="0.3">
      <c r="A309" s="47">
        <f>IF(B309="","",SUBTOTAL(3,$B$3:B309)-1)</f>
        <v>5</v>
      </c>
      <c r="B309" s="269" t="s">
        <v>477</v>
      </c>
      <c r="C309" s="269" t="s">
        <v>97</v>
      </c>
      <c r="D309" s="269">
        <v>907242529</v>
      </c>
      <c r="E309" s="46" t="s">
        <v>1214</v>
      </c>
      <c r="F309" s="301">
        <v>4</v>
      </c>
      <c r="G309" s="175" t="s">
        <v>826</v>
      </c>
      <c r="H309" s="405" t="s">
        <v>634</v>
      </c>
      <c r="I309" s="185"/>
      <c r="J309" s="71"/>
      <c r="K309" s="194"/>
      <c r="L309" s="67"/>
      <c r="M309" s="67"/>
      <c r="N309" s="67"/>
      <c r="O309" s="73"/>
      <c r="P309" s="237"/>
      <c r="Q309" s="255"/>
      <c r="R309" s="175"/>
      <c r="S309" s="411"/>
      <c r="T309" s="190"/>
      <c r="U309" s="22"/>
      <c r="V309" s="233"/>
      <c r="W309" s="239"/>
      <c r="X309" s="403"/>
      <c r="Y309" s="323">
        <v>4</v>
      </c>
    </row>
    <row r="310" spans="1:25" ht="37.5" hidden="1" x14ac:dyDescent="0.3">
      <c r="A310" s="47">
        <f>IF(B310="","",SUBTOTAL(3,$B$3:B310)-1)</f>
        <v>5</v>
      </c>
      <c r="B310" s="265" t="s">
        <v>426</v>
      </c>
      <c r="C310" s="265" t="s">
        <v>1294</v>
      </c>
      <c r="D310" s="300" t="s">
        <v>1346</v>
      </c>
      <c r="E310" s="46" t="s">
        <v>1214</v>
      </c>
      <c r="F310" s="22">
        <v>6</v>
      </c>
      <c r="G310" s="175" t="s">
        <v>1332</v>
      </c>
      <c r="H310" s="405"/>
      <c r="I310" s="185"/>
      <c r="J310" s="71"/>
      <c r="K310" s="194"/>
      <c r="L310" s="67"/>
      <c r="M310" s="67"/>
      <c r="N310" s="67"/>
      <c r="O310" s="73"/>
      <c r="P310" s="237"/>
      <c r="Q310" s="255"/>
      <c r="R310" s="318" t="s">
        <v>1</v>
      </c>
      <c r="S310" s="408"/>
      <c r="T310" s="190"/>
      <c r="U310" s="22"/>
      <c r="V310" s="233"/>
      <c r="W310" s="239"/>
      <c r="X310" s="403"/>
      <c r="Y310" s="258"/>
    </row>
    <row r="311" spans="1:25" hidden="1" x14ac:dyDescent="0.3">
      <c r="A311" s="47">
        <f>IF(B311="","",SUBTOTAL(3,$B$3:B311)-1)</f>
        <v>5</v>
      </c>
      <c r="B311" s="269" t="s">
        <v>1293</v>
      </c>
      <c r="C311" s="269" t="s">
        <v>1294</v>
      </c>
      <c r="D311" s="269">
        <v>896730307</v>
      </c>
      <c r="E311" s="46" t="s">
        <v>1214</v>
      </c>
      <c r="F311" s="301">
        <v>7</v>
      </c>
      <c r="G311" s="175" t="s">
        <v>1332</v>
      </c>
      <c r="H311" s="405" t="s">
        <v>696</v>
      </c>
      <c r="I311" s="185"/>
      <c r="J311" s="71"/>
      <c r="K311" s="194"/>
      <c r="L311" s="67"/>
      <c r="M311" s="67"/>
      <c r="N311" s="67"/>
      <c r="O311" s="73"/>
      <c r="P311" s="237"/>
      <c r="Q311" s="255"/>
      <c r="R311" s="175" t="s">
        <v>661</v>
      </c>
      <c r="S311" s="411" t="s">
        <v>1</v>
      </c>
      <c r="T311" s="190"/>
      <c r="U311" s="22"/>
      <c r="V311" s="233"/>
      <c r="W311" s="239"/>
      <c r="X311" s="403"/>
      <c r="Y311" s="323" t="s">
        <v>1322</v>
      </c>
    </row>
    <row r="312" spans="1:25" hidden="1" x14ac:dyDescent="0.3">
      <c r="A312" s="47">
        <f>IF(B312="","",SUBTOTAL(3,$B$3:B312)-1)</f>
        <v>5</v>
      </c>
      <c r="B312" s="24" t="s">
        <v>580</v>
      </c>
      <c r="C312" s="24" t="s">
        <v>581</v>
      </c>
      <c r="D312" s="163"/>
      <c r="E312" s="46">
        <f>($AA$2-O312)*$AB$2+Q312</f>
        <v>0</v>
      </c>
      <c r="F312" s="22">
        <v>8</v>
      </c>
      <c r="G312" s="175"/>
      <c r="H312" s="405"/>
      <c r="I312" s="185"/>
      <c r="J312" s="67"/>
      <c r="K312" s="194"/>
      <c r="L312" s="180"/>
      <c r="M312" s="180"/>
      <c r="N312" s="180"/>
      <c r="O312" s="181"/>
      <c r="P312" s="237"/>
      <c r="Q312" s="255"/>
      <c r="R312" s="175"/>
      <c r="S312" s="411"/>
      <c r="T312" s="190"/>
      <c r="U312" s="22"/>
      <c r="V312" s="233"/>
      <c r="W312" s="239"/>
      <c r="X312" s="403"/>
      <c r="Y312" s="258"/>
    </row>
    <row r="313" spans="1:25" hidden="1" x14ac:dyDescent="0.3">
      <c r="A313" s="47">
        <f>IF(B313="","",SUBTOTAL(3,$B$3:B313)-1)</f>
        <v>5</v>
      </c>
      <c r="B313" s="265" t="s">
        <v>1218</v>
      </c>
      <c r="C313" s="265" t="s">
        <v>1219</v>
      </c>
      <c r="D313" s="265">
        <v>384708528</v>
      </c>
      <c r="E313" s="46" t="s">
        <v>1214</v>
      </c>
      <c r="F313" s="300">
        <v>1</v>
      </c>
      <c r="G313" s="175" t="s">
        <v>826</v>
      </c>
      <c r="H313" s="405" t="s">
        <v>634</v>
      </c>
      <c r="I313" s="185"/>
      <c r="J313" s="71"/>
      <c r="K313" s="194"/>
      <c r="L313" s="67"/>
      <c r="M313" s="67"/>
      <c r="N313" s="67"/>
      <c r="O313" s="73"/>
      <c r="P313" s="237"/>
      <c r="Q313" s="255"/>
      <c r="R313" s="175" t="s">
        <v>0</v>
      </c>
      <c r="S313" s="411"/>
      <c r="T313" s="190" t="s">
        <v>0</v>
      </c>
      <c r="U313" s="22"/>
      <c r="V313" s="233"/>
      <c r="W313" s="239"/>
      <c r="X313" s="403"/>
      <c r="Y313" s="320">
        <v>1</v>
      </c>
    </row>
    <row r="314" spans="1:25" hidden="1" x14ac:dyDescent="0.3">
      <c r="A314" s="47">
        <f>IF(B314="","",SUBTOTAL(3,$B$3:B314)-1)</f>
        <v>5</v>
      </c>
      <c r="B314" s="24" t="s">
        <v>249</v>
      </c>
      <c r="C314" s="24" t="s">
        <v>86</v>
      </c>
      <c r="D314" s="163"/>
      <c r="E314" s="46">
        <f>($AA$2-O314)*$AB$2+Q314</f>
        <v>0</v>
      </c>
      <c r="F314" s="21">
        <v>10</v>
      </c>
      <c r="G314" s="175"/>
      <c r="H314" s="405"/>
      <c r="I314" s="185"/>
      <c r="J314" s="71"/>
      <c r="K314" s="194"/>
      <c r="L314" s="180"/>
      <c r="M314" s="180"/>
      <c r="N314" s="180"/>
      <c r="O314" s="181"/>
      <c r="P314" s="237"/>
      <c r="Q314" s="255"/>
      <c r="R314" s="175"/>
      <c r="S314" s="411"/>
      <c r="T314" s="190"/>
      <c r="U314" s="22"/>
      <c r="V314" s="233"/>
      <c r="W314" s="239"/>
      <c r="X314" s="403"/>
      <c r="Y314" s="258"/>
    </row>
    <row r="315" spans="1:25" hidden="1" x14ac:dyDescent="0.3">
      <c r="A315" s="47">
        <f>IF(B315="","",SUBTOTAL(3,$B$3:B315)-1)</f>
        <v>5</v>
      </c>
      <c r="B315" s="26" t="s">
        <v>537</v>
      </c>
      <c r="C315" s="26" t="s">
        <v>86</v>
      </c>
      <c r="D315" s="26">
        <v>388861613</v>
      </c>
      <c r="E315" s="46">
        <f>($AA$2-O315)*$AB$2+Q315</f>
        <v>0</v>
      </c>
      <c r="F315" s="22">
        <v>8</v>
      </c>
      <c r="G315" s="175" t="s">
        <v>415</v>
      </c>
      <c r="H315" s="405" t="s">
        <v>2</v>
      </c>
      <c r="I315" s="185"/>
      <c r="J315" s="67"/>
      <c r="K315" s="194"/>
      <c r="L315" s="180"/>
      <c r="M315" s="180"/>
      <c r="N315" s="180"/>
      <c r="O315" s="181"/>
      <c r="P315" s="237"/>
      <c r="Q315" s="255"/>
      <c r="R315" s="175" t="s">
        <v>1</v>
      </c>
      <c r="S315" s="411" t="s">
        <v>848</v>
      </c>
      <c r="T315" s="190"/>
      <c r="U315" s="22"/>
      <c r="V315" s="233"/>
      <c r="W315" s="239"/>
      <c r="X315" s="403"/>
      <c r="Y315" s="258"/>
    </row>
    <row r="316" spans="1:25" hidden="1" x14ac:dyDescent="0.3">
      <c r="A316" s="47">
        <f>IF(B316="","",SUBTOTAL(3,$B$3:B316)-1)</f>
        <v>5</v>
      </c>
      <c r="B316" s="143" t="s">
        <v>137</v>
      </c>
      <c r="C316" s="143" t="s">
        <v>53</v>
      </c>
      <c r="D316" s="143"/>
      <c r="E316" s="46"/>
      <c r="F316" s="22">
        <v>2</v>
      </c>
      <c r="G316" s="176"/>
      <c r="H316" s="406"/>
      <c r="I316" s="188"/>
      <c r="J316" s="142"/>
      <c r="K316" s="196" t="s">
        <v>721</v>
      </c>
      <c r="L316" s="67"/>
      <c r="M316" s="67"/>
      <c r="N316" s="67"/>
      <c r="O316" s="73"/>
      <c r="P316" s="237"/>
      <c r="Q316" s="255"/>
      <c r="R316" s="175"/>
      <c r="S316" s="411"/>
      <c r="T316" s="190"/>
      <c r="U316" s="22"/>
      <c r="V316" s="233"/>
      <c r="W316" s="239"/>
      <c r="X316" s="403"/>
      <c r="Y316" s="258"/>
    </row>
    <row r="317" spans="1:25" hidden="1" x14ac:dyDescent="0.3">
      <c r="A317" s="47">
        <f>IF(B317="","",SUBTOTAL(3,$B$3:B317)-1)</f>
        <v>5</v>
      </c>
      <c r="B317" s="24" t="s">
        <v>188</v>
      </c>
      <c r="C317" s="24" t="s">
        <v>53</v>
      </c>
      <c r="D317" s="163"/>
      <c r="E317" s="46"/>
      <c r="F317" s="22">
        <v>10</v>
      </c>
      <c r="G317" s="175"/>
      <c r="H317" s="405"/>
      <c r="I317" s="187"/>
      <c r="J317" s="71"/>
      <c r="K317" s="194"/>
      <c r="L317" s="67"/>
      <c r="M317" s="67"/>
      <c r="N317" s="67"/>
      <c r="O317" s="73"/>
      <c r="P317" s="237"/>
      <c r="Q317" s="255"/>
      <c r="R317" s="175"/>
      <c r="S317" s="411"/>
      <c r="T317" s="190"/>
      <c r="U317" s="22"/>
      <c r="V317" s="233"/>
      <c r="W317" s="239"/>
      <c r="X317" s="403"/>
      <c r="Y317" s="258"/>
    </row>
    <row r="318" spans="1:25" hidden="1" x14ac:dyDescent="0.3">
      <c r="A318" s="47">
        <f>IF(B318="","",SUBTOTAL(3,$B$3:B318)-1)</f>
        <v>5</v>
      </c>
      <c r="B318" s="24" t="s">
        <v>372</v>
      </c>
      <c r="C318" s="24" t="s">
        <v>53</v>
      </c>
      <c r="D318" s="163"/>
      <c r="E318" s="46">
        <f>($AA$2-O318)*$AB$2+Q318</f>
        <v>0</v>
      </c>
      <c r="F318" s="22">
        <v>12</v>
      </c>
      <c r="G318" s="175"/>
      <c r="H318" s="405"/>
      <c r="I318" s="185"/>
      <c r="J318" s="67"/>
      <c r="K318" s="194"/>
      <c r="L318" s="67"/>
      <c r="M318" s="67"/>
      <c r="N318" s="67"/>
      <c r="O318" s="73"/>
      <c r="P318" s="237"/>
      <c r="Q318" s="255"/>
      <c r="R318" s="175" t="s">
        <v>415</v>
      </c>
      <c r="S318" s="411"/>
      <c r="T318" s="190"/>
      <c r="U318" s="22"/>
      <c r="V318" s="233"/>
      <c r="W318" s="239"/>
      <c r="X318" s="403"/>
      <c r="Y318" s="258"/>
    </row>
    <row r="319" spans="1:25" hidden="1" x14ac:dyDescent="0.3">
      <c r="A319" s="47">
        <f>IF(B319="","",SUBTOTAL(3,$B$3:B319)-1)</f>
        <v>5</v>
      </c>
      <c r="B319" s="25" t="s">
        <v>1083</v>
      </c>
      <c r="C319" s="25" t="s">
        <v>53</v>
      </c>
      <c r="D319" s="163"/>
      <c r="E319" s="46"/>
      <c r="F319" s="22">
        <v>11</v>
      </c>
      <c r="G319" s="175"/>
      <c r="H319" s="405"/>
      <c r="I319" s="185"/>
      <c r="J319" s="71"/>
      <c r="K319" s="194"/>
      <c r="L319" s="67"/>
      <c r="M319" s="67"/>
      <c r="N319" s="67"/>
      <c r="O319" s="73"/>
      <c r="P319" s="237"/>
      <c r="Q319" s="255"/>
      <c r="R319" s="175"/>
      <c r="S319" s="411"/>
      <c r="T319" s="190"/>
      <c r="U319" s="22"/>
      <c r="V319" s="233"/>
      <c r="W319" s="239"/>
      <c r="X319" s="403"/>
      <c r="Y319" s="258"/>
    </row>
    <row r="320" spans="1:25" hidden="1" x14ac:dyDescent="0.3">
      <c r="A320" s="47">
        <f>IF(B320="","",SUBTOTAL(3,$B$3:B320)-1)</f>
        <v>5</v>
      </c>
      <c r="B320" s="24" t="s">
        <v>200</v>
      </c>
      <c r="C320" s="24" t="s">
        <v>53</v>
      </c>
      <c r="D320" s="24"/>
      <c r="E320" s="46">
        <f>($AA$2-O320)*$AB$2+Q320</f>
        <v>0</v>
      </c>
      <c r="F320" s="22">
        <v>9</v>
      </c>
      <c r="G320" s="175"/>
      <c r="H320" s="409"/>
      <c r="I320" s="187"/>
      <c r="J320" s="67"/>
      <c r="K320" s="194"/>
      <c r="L320" s="67"/>
      <c r="M320" s="67"/>
      <c r="N320" s="67"/>
      <c r="O320" s="73"/>
      <c r="P320" s="237"/>
      <c r="Q320" s="255"/>
      <c r="R320" s="175"/>
      <c r="S320" s="411"/>
      <c r="T320" s="190"/>
      <c r="U320" s="22"/>
      <c r="V320" s="233"/>
      <c r="W320" s="239"/>
      <c r="X320" s="403"/>
      <c r="Y320" s="258"/>
    </row>
    <row r="321" spans="1:25" hidden="1" x14ac:dyDescent="0.3">
      <c r="A321" s="47">
        <f>IF(B321="","",SUBTOTAL(3,$B$3:B321)-1)</f>
        <v>5</v>
      </c>
      <c r="B321" s="24" t="s">
        <v>204</v>
      </c>
      <c r="C321" s="24" t="s">
        <v>53</v>
      </c>
      <c r="D321" s="163"/>
      <c r="E321" s="46">
        <f>($AA$2-O321)*$AB$2+Q321</f>
        <v>0</v>
      </c>
      <c r="F321" s="22">
        <v>9</v>
      </c>
      <c r="G321" s="175"/>
      <c r="H321" s="409"/>
      <c r="I321" s="187"/>
      <c r="J321" s="67"/>
      <c r="K321" s="194"/>
      <c r="L321" s="180"/>
      <c r="M321" s="180"/>
      <c r="N321" s="180"/>
      <c r="O321" s="181"/>
      <c r="P321" s="237"/>
      <c r="Q321" s="255"/>
      <c r="R321" s="175"/>
      <c r="S321" s="411"/>
      <c r="T321" s="190"/>
      <c r="U321" s="22"/>
      <c r="V321" s="233"/>
      <c r="W321" s="239"/>
      <c r="X321" s="403"/>
      <c r="Y321" s="258"/>
    </row>
    <row r="322" spans="1:25" hidden="1" x14ac:dyDescent="0.3">
      <c r="A322" s="47">
        <f>IF(B322="","",SUBTOTAL(3,$B$3:B322)-1)</f>
        <v>5</v>
      </c>
      <c r="B322" s="25" t="s">
        <v>362</v>
      </c>
      <c r="C322" s="25" t="s">
        <v>53</v>
      </c>
      <c r="D322" s="25"/>
      <c r="E322" s="46">
        <f>($AA$2-O322)*$AB$2+Q322</f>
        <v>0</v>
      </c>
      <c r="F322" s="22">
        <v>9</v>
      </c>
      <c r="G322" s="175" t="s">
        <v>415</v>
      </c>
      <c r="H322" s="409" t="s">
        <v>660</v>
      </c>
      <c r="I322" s="187"/>
      <c r="J322" s="67"/>
      <c r="K322" s="194"/>
      <c r="L322" s="180"/>
      <c r="M322" s="180"/>
      <c r="N322" s="180"/>
      <c r="O322" s="181"/>
      <c r="P322" s="237"/>
      <c r="Q322" s="255"/>
      <c r="R322" s="175" t="s">
        <v>1</v>
      </c>
      <c r="S322" s="411" t="s">
        <v>0</v>
      </c>
      <c r="T322" s="190"/>
      <c r="U322" s="22"/>
      <c r="V322" s="233"/>
      <c r="W322" s="239"/>
      <c r="X322" s="403"/>
      <c r="Y322" s="258"/>
    </row>
    <row r="323" spans="1:25" hidden="1" x14ac:dyDescent="0.3">
      <c r="A323" s="47">
        <f>IF(B323="","",SUBTOTAL(3,$B$3:B323)-1)</f>
        <v>5</v>
      </c>
      <c r="B323" s="269" t="s">
        <v>1290</v>
      </c>
      <c r="C323" s="269" t="s">
        <v>629</v>
      </c>
      <c r="D323" s="269">
        <v>982782191</v>
      </c>
      <c r="E323" s="46" t="s">
        <v>1214</v>
      </c>
      <c r="F323" s="301">
        <v>7</v>
      </c>
      <c r="G323" s="175" t="s">
        <v>1332</v>
      </c>
      <c r="H323" s="405"/>
      <c r="I323" s="185"/>
      <c r="J323" s="71"/>
      <c r="K323" s="194"/>
      <c r="L323" s="67"/>
      <c r="M323" s="67"/>
      <c r="N323" s="67"/>
      <c r="O323" s="73"/>
      <c r="P323" s="237"/>
      <c r="Q323" s="255"/>
      <c r="R323" s="175" t="s">
        <v>661</v>
      </c>
      <c r="S323" s="411"/>
      <c r="T323" s="190"/>
      <c r="U323" s="22"/>
      <c r="V323" s="233"/>
      <c r="W323" s="239"/>
      <c r="X323" s="403"/>
      <c r="Y323" s="323" t="s">
        <v>1321</v>
      </c>
    </row>
    <row r="324" spans="1:25" hidden="1" x14ac:dyDescent="0.3">
      <c r="A324" s="47">
        <f>IF(B324="","",SUBTOTAL(3,$B$3:B324)-1)</f>
        <v>5</v>
      </c>
      <c r="B324" s="24" t="s">
        <v>900</v>
      </c>
      <c r="C324" s="24" t="s">
        <v>106</v>
      </c>
      <c r="D324" s="163"/>
      <c r="E324" s="46"/>
      <c r="F324" s="22">
        <v>2</v>
      </c>
      <c r="G324" s="175"/>
      <c r="H324" s="406" t="s">
        <v>634</v>
      </c>
      <c r="I324" s="185" t="s">
        <v>634</v>
      </c>
      <c r="J324" s="67"/>
      <c r="K324" s="194"/>
      <c r="L324" s="67"/>
      <c r="M324" s="67"/>
      <c r="N324" s="67"/>
      <c r="O324" s="73"/>
      <c r="P324" s="237"/>
      <c r="Q324" s="255"/>
      <c r="R324" s="175"/>
      <c r="S324" s="411"/>
      <c r="T324" s="190" t="s">
        <v>0</v>
      </c>
      <c r="U324" s="22"/>
      <c r="V324" s="233"/>
      <c r="W324" s="239"/>
      <c r="X324" s="403"/>
      <c r="Y324" s="258"/>
    </row>
    <row r="325" spans="1:25" hidden="1" x14ac:dyDescent="0.3">
      <c r="A325" s="47">
        <f>IF(B325="","",SUBTOTAL(3,$B$3:B325)-1)</f>
        <v>5</v>
      </c>
      <c r="B325" s="269" t="s">
        <v>1226</v>
      </c>
      <c r="C325" s="269" t="s">
        <v>106</v>
      </c>
      <c r="D325" s="269">
        <v>765992377</v>
      </c>
      <c r="E325" s="46" t="s">
        <v>1214</v>
      </c>
      <c r="F325" s="301">
        <v>2</v>
      </c>
      <c r="G325" s="175" t="s">
        <v>826</v>
      </c>
      <c r="H325" s="405" t="s">
        <v>634</v>
      </c>
      <c r="I325" s="185" t="s">
        <v>634</v>
      </c>
      <c r="J325" s="71"/>
      <c r="K325" s="194"/>
      <c r="L325" s="67"/>
      <c r="M325" s="67"/>
      <c r="N325" s="67"/>
      <c r="O325" s="73"/>
      <c r="P325" s="237"/>
      <c r="Q325" s="255"/>
      <c r="R325" s="175" t="s">
        <v>0</v>
      </c>
      <c r="S325" s="411"/>
      <c r="T325" s="190" t="s">
        <v>0</v>
      </c>
      <c r="U325" s="22"/>
      <c r="V325" s="233"/>
      <c r="W325" s="239"/>
      <c r="X325" s="403"/>
      <c r="Y325" s="323">
        <v>2</v>
      </c>
    </row>
    <row r="326" spans="1:25" hidden="1" x14ac:dyDescent="0.3">
      <c r="A326" s="47">
        <f>IF(B326="","",SUBTOTAL(3,$B$3:B326)-1)</f>
        <v>5</v>
      </c>
      <c r="B326" s="143" t="s">
        <v>237</v>
      </c>
      <c r="C326" s="146" t="s">
        <v>106</v>
      </c>
      <c r="D326" s="143"/>
      <c r="E326" s="46"/>
      <c r="F326" s="142">
        <v>3</v>
      </c>
      <c r="G326" s="176"/>
      <c r="H326" s="407" t="s">
        <v>634</v>
      </c>
      <c r="I326" s="189"/>
      <c r="J326" s="67"/>
      <c r="K326" s="194"/>
      <c r="L326" s="180"/>
      <c r="M326" s="180"/>
      <c r="N326" s="180"/>
      <c r="O326" s="181"/>
      <c r="P326" s="237"/>
      <c r="Q326" s="255"/>
      <c r="R326" s="175"/>
      <c r="S326" s="411"/>
      <c r="T326" s="190"/>
      <c r="U326" s="22"/>
      <c r="V326" s="233"/>
      <c r="W326" s="239"/>
      <c r="X326" s="403"/>
      <c r="Y326" s="258"/>
    </row>
    <row r="327" spans="1:25" hidden="1" x14ac:dyDescent="0.3">
      <c r="A327" s="47">
        <f>IF(B327="","",SUBTOTAL(3,$B$3:B327)-1)</f>
        <v>5</v>
      </c>
      <c r="B327" s="269" t="s">
        <v>1278</v>
      </c>
      <c r="C327" s="269" t="s">
        <v>106</v>
      </c>
      <c r="D327" s="269">
        <v>911826537</v>
      </c>
      <c r="E327" s="46" t="s">
        <v>1214</v>
      </c>
      <c r="F327" s="300">
        <v>3</v>
      </c>
      <c r="G327" s="175" t="s">
        <v>826</v>
      </c>
      <c r="H327" s="405"/>
      <c r="I327" s="185"/>
      <c r="J327" s="71"/>
      <c r="K327" s="194"/>
      <c r="L327" s="67"/>
      <c r="M327" s="67"/>
      <c r="N327" s="67"/>
      <c r="O327" s="73"/>
      <c r="P327" s="237"/>
      <c r="Q327" s="255"/>
      <c r="R327" s="175" t="s">
        <v>1</v>
      </c>
      <c r="S327" s="411"/>
      <c r="T327" s="190"/>
      <c r="U327" s="22"/>
      <c r="V327" s="233"/>
      <c r="W327" s="239"/>
      <c r="X327" s="403"/>
      <c r="Y327" s="323" t="s">
        <v>1024</v>
      </c>
    </row>
    <row r="328" spans="1:25" hidden="1" x14ac:dyDescent="0.3">
      <c r="A328" s="47">
        <f>IF(B328="","",SUBTOTAL(3,$B$3:B328)-1)</f>
        <v>5</v>
      </c>
      <c r="B328" s="26" t="s">
        <v>475</v>
      </c>
      <c r="C328" s="26" t="s">
        <v>106</v>
      </c>
      <c r="D328" s="163">
        <v>366300151</v>
      </c>
      <c r="E328" s="46">
        <f>($AA$2-O328)*$AB$2+Q328</f>
        <v>0</v>
      </c>
      <c r="F328" s="369">
        <v>4</v>
      </c>
      <c r="G328" s="175" t="s">
        <v>660</v>
      </c>
      <c r="H328" s="408" t="s">
        <v>634</v>
      </c>
      <c r="I328" s="186" t="s">
        <v>634</v>
      </c>
      <c r="J328" s="68"/>
      <c r="K328" s="195"/>
      <c r="L328" s="68"/>
      <c r="M328" s="68"/>
      <c r="N328" s="68"/>
      <c r="O328" s="73"/>
      <c r="P328" s="237" t="s">
        <v>1</v>
      </c>
      <c r="Q328" s="255"/>
      <c r="R328" s="175" t="s">
        <v>0</v>
      </c>
      <c r="S328" s="411"/>
      <c r="T328" s="190" t="s">
        <v>0</v>
      </c>
      <c r="U328" s="22"/>
      <c r="V328" s="233"/>
      <c r="W328" s="239" t="s">
        <v>848</v>
      </c>
      <c r="X328" s="403"/>
      <c r="Y328" s="258"/>
    </row>
    <row r="329" spans="1:25" hidden="1" x14ac:dyDescent="0.3">
      <c r="A329" s="47">
        <f>IF(B329="","",SUBTOTAL(3,$B$3:B329)-1)</f>
        <v>5</v>
      </c>
      <c r="B329" s="24" t="s">
        <v>1201</v>
      </c>
      <c r="C329" s="24" t="s">
        <v>106</v>
      </c>
      <c r="D329" s="24"/>
      <c r="E329" s="46"/>
      <c r="F329" s="21">
        <v>10</v>
      </c>
      <c r="G329" s="175"/>
      <c r="H329" s="405" t="s">
        <v>635</v>
      </c>
      <c r="I329" s="185"/>
      <c r="J329" s="67"/>
      <c r="K329" s="194"/>
      <c r="L329" s="180"/>
      <c r="M329" s="180"/>
      <c r="N329" s="180"/>
      <c r="O329" s="181"/>
      <c r="P329" s="237"/>
      <c r="Q329" s="255"/>
      <c r="R329" s="175"/>
      <c r="S329" s="411" t="s">
        <v>1</v>
      </c>
      <c r="T329" s="190"/>
      <c r="U329" s="22"/>
      <c r="V329" s="233"/>
      <c r="W329" s="239"/>
      <c r="X329" s="403"/>
      <c r="Y329" s="258"/>
    </row>
    <row r="330" spans="1:25" hidden="1" x14ac:dyDescent="0.3">
      <c r="A330" s="47">
        <f>IF(B330="","",SUBTOTAL(3,$B$3:B330)-1)</f>
        <v>5</v>
      </c>
      <c r="B330" s="24" t="s">
        <v>211</v>
      </c>
      <c r="C330" s="24" t="s">
        <v>106</v>
      </c>
      <c r="D330" s="163"/>
      <c r="E330" s="46">
        <f>($AA$2-O330)*$AB$2+Q330</f>
        <v>0</v>
      </c>
      <c r="F330" s="22">
        <v>11</v>
      </c>
      <c r="G330" s="175"/>
      <c r="H330" s="405" t="s">
        <v>635</v>
      </c>
      <c r="I330" s="185" t="s">
        <v>661</v>
      </c>
      <c r="J330" s="67"/>
      <c r="K330" s="194"/>
      <c r="L330" s="67"/>
      <c r="M330" s="67"/>
      <c r="N330" s="67"/>
      <c r="O330" s="73"/>
      <c r="P330" s="237"/>
      <c r="Q330" s="255"/>
      <c r="R330" s="175"/>
      <c r="S330" s="411" t="s">
        <v>0</v>
      </c>
      <c r="T330" s="190">
        <v>1</v>
      </c>
      <c r="U330" s="22"/>
      <c r="V330" s="233"/>
      <c r="W330" s="239"/>
      <c r="X330" s="403"/>
      <c r="Y330" s="258"/>
    </row>
    <row r="331" spans="1:25" hidden="1" x14ac:dyDescent="0.3">
      <c r="A331" s="47">
        <f>IF(B331="","",SUBTOTAL(3,$B$3:B331)-1)</f>
        <v>5</v>
      </c>
      <c r="B331" s="24" t="s">
        <v>607</v>
      </c>
      <c r="C331" s="24" t="s">
        <v>106</v>
      </c>
      <c r="D331" s="163"/>
      <c r="E331" s="46">
        <f>($AA$2-O331)*$AB$2+Q331</f>
        <v>0</v>
      </c>
      <c r="F331" s="21">
        <v>12</v>
      </c>
      <c r="G331" s="175"/>
      <c r="H331" s="405"/>
      <c r="I331" s="185"/>
      <c r="J331" s="67"/>
      <c r="K331" s="194"/>
      <c r="L331" s="67"/>
      <c r="M331" s="67"/>
      <c r="N331" s="67"/>
      <c r="O331" s="73"/>
      <c r="P331" s="237"/>
      <c r="Q331" s="255"/>
      <c r="R331" s="175" t="s">
        <v>415</v>
      </c>
      <c r="S331" s="411"/>
      <c r="T331" s="190"/>
      <c r="U331" s="22"/>
      <c r="V331" s="233"/>
      <c r="W331" s="239"/>
      <c r="X331" s="403"/>
      <c r="Y331" s="258"/>
    </row>
    <row r="332" spans="1:25" hidden="1" x14ac:dyDescent="0.3">
      <c r="A332" s="47">
        <f>IF(B332="","",SUBTOTAL(3,$B$3:B332)-1)</f>
        <v>5</v>
      </c>
      <c r="B332" s="24" t="s">
        <v>137</v>
      </c>
      <c r="C332" s="24" t="s">
        <v>106</v>
      </c>
      <c r="D332" s="24"/>
      <c r="E332" s="46">
        <f>($AA$2-O332)*$AB$2+Q332</f>
        <v>0</v>
      </c>
      <c r="F332" s="22" t="s">
        <v>1213</v>
      </c>
      <c r="G332" s="175"/>
      <c r="H332" s="405"/>
      <c r="I332" s="185"/>
      <c r="J332" s="67"/>
      <c r="K332" s="194"/>
      <c r="L332" s="67"/>
      <c r="M332" s="67"/>
      <c r="N332" s="67"/>
      <c r="O332" s="73"/>
      <c r="P332" s="237"/>
      <c r="Q332" s="255"/>
      <c r="R332" s="175"/>
      <c r="S332" s="411"/>
      <c r="T332" s="190"/>
      <c r="U332" s="22"/>
      <c r="V332" s="233"/>
      <c r="W332" s="239"/>
      <c r="X332" s="403"/>
      <c r="Y332" s="258"/>
    </row>
    <row r="333" spans="1:25" ht="16.5" hidden="1" customHeight="1" x14ac:dyDescent="0.3">
      <c r="A333" s="47">
        <f>IF(B333="","",SUBTOTAL(3,$B$3:B333)-1)</f>
        <v>5</v>
      </c>
      <c r="B333" s="24" t="s">
        <v>211</v>
      </c>
      <c r="C333" s="24" t="s">
        <v>106</v>
      </c>
      <c r="D333" s="24"/>
      <c r="E333" s="46">
        <f>($AA$2-O333)*$AB$2+Q333</f>
        <v>0</v>
      </c>
      <c r="F333" s="22">
        <v>11</v>
      </c>
      <c r="G333" s="175" t="s">
        <v>415</v>
      </c>
      <c r="H333" s="405"/>
      <c r="I333" s="185"/>
      <c r="J333" s="67"/>
      <c r="K333" s="194"/>
      <c r="L333" s="180"/>
      <c r="M333" s="180"/>
      <c r="N333" s="180"/>
      <c r="O333" s="181"/>
      <c r="P333" s="237"/>
      <c r="Q333" s="255"/>
      <c r="R333" s="175"/>
      <c r="S333" s="411"/>
      <c r="T333" s="190"/>
      <c r="U333" s="22"/>
      <c r="V333" s="233"/>
      <c r="W333" s="239"/>
      <c r="X333" s="403"/>
      <c r="Y333" s="258"/>
    </row>
    <row r="334" spans="1:25" hidden="1" x14ac:dyDescent="0.3">
      <c r="A334" s="47">
        <f>IF(B334="","",SUBTOTAL(3,$B$3:B334)-1)</f>
        <v>5</v>
      </c>
      <c r="B334" s="26" t="s">
        <v>461</v>
      </c>
      <c r="C334" s="26" t="s">
        <v>106</v>
      </c>
      <c r="D334" s="25">
        <v>933230067</v>
      </c>
      <c r="E334" s="46">
        <f>($AA$2-O334)*$AB$2+Q334</f>
        <v>0</v>
      </c>
      <c r="F334" s="142">
        <v>6</v>
      </c>
      <c r="G334" s="175"/>
      <c r="H334" s="405"/>
      <c r="I334" s="185"/>
      <c r="J334" s="67"/>
      <c r="K334" s="194"/>
      <c r="L334" s="67"/>
      <c r="M334" s="67"/>
      <c r="N334" s="67"/>
      <c r="O334" s="73"/>
      <c r="P334" s="237"/>
      <c r="Q334" s="255"/>
      <c r="R334" s="175"/>
      <c r="S334" s="411"/>
      <c r="T334" s="190"/>
      <c r="U334" s="22"/>
      <c r="V334" s="233"/>
      <c r="W334" s="239"/>
      <c r="X334" s="403"/>
      <c r="Y334" s="258"/>
    </row>
    <row r="335" spans="1:25" hidden="1" x14ac:dyDescent="0.3">
      <c r="A335" s="47">
        <f>IF(B335="","",SUBTOTAL(3,$B$3:B335)-1)</f>
        <v>5</v>
      </c>
      <c r="B335" s="269" t="s">
        <v>1220</v>
      </c>
      <c r="C335" s="269" t="s">
        <v>106</v>
      </c>
      <c r="D335" s="301">
        <v>939706502</v>
      </c>
      <c r="E335" s="46" t="s">
        <v>1214</v>
      </c>
      <c r="F335" s="22">
        <v>6</v>
      </c>
      <c r="G335" s="175" t="s">
        <v>1332</v>
      </c>
      <c r="H335" s="405"/>
      <c r="I335" s="185"/>
      <c r="J335" s="71"/>
      <c r="K335" s="194"/>
      <c r="L335" s="67"/>
      <c r="M335" s="67"/>
      <c r="N335" s="67"/>
      <c r="O335" s="73"/>
      <c r="P335" s="237"/>
      <c r="Q335" s="255"/>
      <c r="R335" s="318" t="s">
        <v>2</v>
      </c>
      <c r="S335" s="408" t="s">
        <v>0</v>
      </c>
      <c r="T335" s="190"/>
      <c r="U335" s="22"/>
      <c r="V335" s="233"/>
      <c r="W335" s="239"/>
      <c r="X335" s="403"/>
      <c r="Y335" s="258"/>
    </row>
    <row r="336" spans="1:25" hidden="1" x14ac:dyDescent="0.3">
      <c r="A336" s="47">
        <f>IF(B336="","",SUBTOTAL(3,$B$3:B336)-1)</f>
        <v>5</v>
      </c>
      <c r="B336" s="265" t="s">
        <v>670</v>
      </c>
      <c r="C336" s="265" t="s">
        <v>106</v>
      </c>
      <c r="D336" s="265">
        <v>944221741</v>
      </c>
      <c r="E336" s="46" t="s">
        <v>1214</v>
      </c>
      <c r="F336" s="301">
        <v>8</v>
      </c>
      <c r="G336" s="175" t="s">
        <v>415</v>
      </c>
      <c r="H336" s="405" t="s">
        <v>635</v>
      </c>
      <c r="I336" s="185"/>
      <c r="J336" s="71"/>
      <c r="K336" s="194"/>
      <c r="L336" s="67"/>
      <c r="M336" s="67"/>
      <c r="N336" s="67"/>
      <c r="O336" s="73"/>
      <c r="P336" s="237"/>
      <c r="Q336" s="255"/>
      <c r="R336" s="175" t="s">
        <v>2</v>
      </c>
      <c r="S336" s="411" t="s">
        <v>2</v>
      </c>
      <c r="T336" s="190"/>
      <c r="U336" s="22"/>
      <c r="V336" s="233"/>
      <c r="W336" s="239"/>
      <c r="X336" s="403"/>
      <c r="Y336" s="320" t="s">
        <v>1324</v>
      </c>
    </row>
    <row r="337" spans="1:25" hidden="1" x14ac:dyDescent="0.3">
      <c r="A337" s="47">
        <f>IF(B337="","",SUBTOTAL(3,$B$3:B337)-1)</f>
        <v>5</v>
      </c>
      <c r="B337" s="174" t="s">
        <v>159</v>
      </c>
      <c r="C337" s="174" t="s">
        <v>1336</v>
      </c>
      <c r="D337" s="17"/>
      <c r="E337" s="46" t="s">
        <v>1214</v>
      </c>
      <c r="F337" s="21">
        <v>6</v>
      </c>
      <c r="G337" s="175" t="s">
        <v>1332</v>
      </c>
      <c r="H337" s="405"/>
      <c r="I337" s="185"/>
      <c r="J337" s="71"/>
      <c r="K337" s="194"/>
      <c r="L337" s="67"/>
      <c r="M337" s="67"/>
      <c r="N337" s="67"/>
      <c r="O337" s="73"/>
      <c r="P337" s="237"/>
      <c r="Q337" s="255"/>
      <c r="R337" s="175" t="s">
        <v>1</v>
      </c>
      <c r="S337" s="408" t="s">
        <v>1</v>
      </c>
      <c r="T337" s="190"/>
      <c r="U337" s="22"/>
      <c r="V337" s="233"/>
      <c r="W337" s="239"/>
      <c r="X337" s="403"/>
      <c r="Y337" s="258"/>
    </row>
    <row r="338" spans="1:25" hidden="1" x14ac:dyDescent="0.3">
      <c r="A338" s="47">
        <f>IF(B338="","",SUBTOTAL(3,$B$3:B338)-1)</f>
        <v>5</v>
      </c>
      <c r="B338" s="143" t="s">
        <v>267</v>
      </c>
      <c r="C338" s="143" t="s">
        <v>102</v>
      </c>
      <c r="D338" s="143"/>
      <c r="E338" s="46"/>
      <c r="F338" s="22">
        <v>10</v>
      </c>
      <c r="G338" s="176" t="s">
        <v>415</v>
      </c>
      <c r="H338" s="406"/>
      <c r="I338" s="188" t="s">
        <v>661</v>
      </c>
      <c r="J338" s="142"/>
      <c r="K338" s="196"/>
      <c r="L338" s="67"/>
      <c r="M338" s="67"/>
      <c r="N338" s="67"/>
      <c r="O338" s="73"/>
      <c r="P338" s="237"/>
      <c r="Q338" s="255"/>
      <c r="R338" s="175" t="s">
        <v>0</v>
      </c>
      <c r="S338" s="411"/>
      <c r="T338" s="190" t="s">
        <v>1</v>
      </c>
      <c r="U338" s="22"/>
      <c r="V338" s="233"/>
      <c r="W338" s="239"/>
      <c r="X338" s="403"/>
      <c r="Y338" s="258"/>
    </row>
    <row r="339" spans="1:25" ht="16.5" hidden="1" customHeight="1" x14ac:dyDescent="0.3">
      <c r="A339" s="47">
        <f>IF(B339="","",SUBTOTAL(3,$B$3:B339)-1)</f>
        <v>5</v>
      </c>
      <c r="B339" s="24" t="s">
        <v>665</v>
      </c>
      <c r="C339" s="24" t="s">
        <v>102</v>
      </c>
      <c r="D339" s="163"/>
      <c r="E339" s="46">
        <f>($AA$2-O339)*$AB$2+Q339</f>
        <v>0</v>
      </c>
      <c r="F339" s="21">
        <v>11</v>
      </c>
      <c r="G339" s="175"/>
      <c r="H339" s="405" t="s">
        <v>635</v>
      </c>
      <c r="I339" s="186"/>
      <c r="J339" s="68"/>
      <c r="K339" s="195"/>
      <c r="L339" s="68"/>
      <c r="M339" s="68"/>
      <c r="N339" s="68"/>
      <c r="O339" s="73"/>
      <c r="P339" s="237"/>
      <c r="Q339" s="255"/>
      <c r="R339" s="175"/>
      <c r="S339" s="411" t="s">
        <v>1</v>
      </c>
      <c r="T339" s="190"/>
      <c r="U339" s="22"/>
      <c r="V339" s="233"/>
      <c r="W339" s="239"/>
      <c r="X339" s="403"/>
      <c r="Y339" s="258"/>
    </row>
    <row r="340" spans="1:25" hidden="1" x14ac:dyDescent="0.3">
      <c r="A340" s="47">
        <f>IF(B340="","",SUBTOTAL(3,$B$3:B340)-1)</f>
        <v>5</v>
      </c>
      <c r="B340" s="24" t="s">
        <v>267</v>
      </c>
      <c r="C340" s="24" t="s">
        <v>102</v>
      </c>
      <c r="D340" s="163"/>
      <c r="E340" s="46">
        <f>($AA$2-O340)*$AB$2+Q340</f>
        <v>0</v>
      </c>
      <c r="F340" s="22">
        <v>10</v>
      </c>
      <c r="G340" s="175" t="s">
        <v>415</v>
      </c>
      <c r="H340" s="405" t="s">
        <v>635</v>
      </c>
      <c r="I340" s="185"/>
      <c r="J340" s="71"/>
      <c r="K340" s="194"/>
      <c r="L340" s="180"/>
      <c r="M340" s="180"/>
      <c r="N340" s="180"/>
      <c r="O340" s="181"/>
      <c r="P340" s="237"/>
      <c r="Q340" s="255"/>
      <c r="R340" s="175" t="s">
        <v>0</v>
      </c>
      <c r="S340" s="411" t="s">
        <v>0</v>
      </c>
      <c r="T340" s="190"/>
      <c r="U340" s="22"/>
      <c r="V340" s="233"/>
      <c r="W340" s="239"/>
      <c r="X340" s="403"/>
      <c r="Y340" s="258"/>
    </row>
    <row r="341" spans="1:25" hidden="1" x14ac:dyDescent="0.3">
      <c r="A341" s="47">
        <f>IF(B341="","",SUBTOTAL(3,$B$3:B341)-1)</f>
        <v>5</v>
      </c>
      <c r="B341" s="25" t="s">
        <v>279</v>
      </c>
      <c r="C341" s="241" t="s">
        <v>102</v>
      </c>
      <c r="D341" s="163"/>
      <c r="E341" s="46">
        <f>($AA$2-O341)*$AB$2+Q341</f>
        <v>0</v>
      </c>
      <c r="F341" s="22" t="s">
        <v>1213</v>
      </c>
      <c r="G341" s="175"/>
      <c r="H341" s="405"/>
      <c r="I341" s="185"/>
      <c r="J341" s="67"/>
      <c r="K341" s="194"/>
      <c r="L341" s="67"/>
      <c r="M341" s="67"/>
      <c r="N341" s="67"/>
      <c r="O341" s="73"/>
      <c r="P341" s="237"/>
      <c r="Q341" s="255"/>
      <c r="R341" s="175"/>
      <c r="S341" s="411"/>
      <c r="T341" s="190"/>
      <c r="U341" s="22"/>
      <c r="V341" s="233"/>
      <c r="W341" s="239"/>
      <c r="X341" s="403"/>
      <c r="Y341" s="258"/>
    </row>
    <row r="342" spans="1:25" hidden="1" x14ac:dyDescent="0.3">
      <c r="A342" s="47">
        <f>IF(B342="","",SUBTOTAL(3,$B$3:B342)-1)</f>
        <v>5</v>
      </c>
      <c r="B342" s="269" t="s">
        <v>1282</v>
      </c>
      <c r="C342" s="269" t="s">
        <v>102</v>
      </c>
      <c r="D342" s="269">
        <v>939310679</v>
      </c>
      <c r="E342" s="46" t="s">
        <v>1214</v>
      </c>
      <c r="F342" s="300">
        <v>4</v>
      </c>
      <c r="G342" s="175" t="s">
        <v>826</v>
      </c>
      <c r="H342" s="405"/>
      <c r="I342" s="185"/>
      <c r="J342" s="71"/>
      <c r="K342" s="194"/>
      <c r="L342" s="67"/>
      <c r="M342" s="67"/>
      <c r="N342" s="67"/>
      <c r="O342" s="73"/>
      <c r="P342" s="237"/>
      <c r="Q342" s="255"/>
      <c r="R342" s="175" t="s">
        <v>1</v>
      </c>
      <c r="S342" s="411"/>
      <c r="T342" s="190"/>
      <c r="U342" s="22"/>
      <c r="V342" s="233"/>
      <c r="W342" s="239"/>
      <c r="X342" s="403"/>
      <c r="Y342" s="323" t="s">
        <v>1026</v>
      </c>
    </row>
    <row r="343" spans="1:25" hidden="1" x14ac:dyDescent="0.3">
      <c r="A343" s="47">
        <f>IF(B343="","",SUBTOTAL(3,$B$3:B343)-1)</f>
        <v>5</v>
      </c>
      <c r="B343" s="24" t="s">
        <v>159</v>
      </c>
      <c r="C343" s="24" t="s">
        <v>102</v>
      </c>
      <c r="D343" s="24"/>
      <c r="E343" s="46"/>
      <c r="F343" s="142">
        <v>6</v>
      </c>
      <c r="G343" s="175" t="s">
        <v>660</v>
      </c>
      <c r="H343" s="405"/>
      <c r="I343" s="185"/>
      <c r="J343" s="67"/>
      <c r="K343" s="194"/>
      <c r="L343" s="67"/>
      <c r="M343" s="67"/>
      <c r="N343" s="67"/>
      <c r="O343" s="73"/>
      <c r="P343" s="237"/>
      <c r="Q343" s="255"/>
      <c r="R343" s="175" t="s">
        <v>1</v>
      </c>
      <c r="S343" s="411"/>
      <c r="T343" s="190"/>
      <c r="U343" s="22"/>
      <c r="V343" s="233"/>
      <c r="W343" s="239"/>
      <c r="X343" s="403"/>
      <c r="Y343" s="258"/>
    </row>
    <row r="344" spans="1:25" hidden="1" x14ac:dyDescent="0.3">
      <c r="A344" s="47">
        <f>IF(B344="","",SUBTOTAL(3,$B$3:B344)-1)</f>
        <v>5</v>
      </c>
      <c r="B344" s="26" t="s">
        <v>730</v>
      </c>
      <c r="C344" s="26" t="s">
        <v>102</v>
      </c>
      <c r="D344" s="26"/>
      <c r="E344" s="46">
        <f>($AA$2-O344)*$AB$2+Q344</f>
        <v>0</v>
      </c>
      <c r="F344" s="142">
        <v>7</v>
      </c>
      <c r="G344" s="175"/>
      <c r="H344" s="405"/>
      <c r="I344" s="185"/>
      <c r="J344" s="67"/>
      <c r="K344" s="194"/>
      <c r="L344" s="67"/>
      <c r="M344" s="67"/>
      <c r="N344" s="67"/>
      <c r="O344" s="73"/>
      <c r="P344" s="237"/>
      <c r="Q344" s="255"/>
      <c r="R344" s="175"/>
      <c r="S344" s="411"/>
      <c r="T344" s="190"/>
      <c r="U344" s="22"/>
      <c r="V344" s="233"/>
      <c r="W344" s="239"/>
      <c r="X344" s="403"/>
      <c r="Y344" s="258"/>
    </row>
    <row r="345" spans="1:25" hidden="1" x14ac:dyDescent="0.3">
      <c r="A345" s="47">
        <f>IF(B345="","",SUBTOTAL(3,$B$3:B345)-1)</f>
        <v>5</v>
      </c>
      <c r="B345" s="39" t="s">
        <v>733</v>
      </c>
      <c r="C345" s="24" t="s">
        <v>102</v>
      </c>
      <c r="D345" s="163"/>
      <c r="E345" s="46"/>
      <c r="F345" s="142">
        <v>7</v>
      </c>
      <c r="G345" s="176" t="s">
        <v>415</v>
      </c>
      <c r="H345" s="406" t="s">
        <v>696</v>
      </c>
      <c r="I345" s="185"/>
      <c r="J345" s="67"/>
      <c r="K345" s="194"/>
      <c r="L345" s="180"/>
      <c r="M345" s="180"/>
      <c r="N345" s="180"/>
      <c r="O345" s="181"/>
      <c r="P345" s="237"/>
      <c r="Q345" s="255"/>
      <c r="R345" s="175" t="s">
        <v>2</v>
      </c>
      <c r="S345" s="411" t="s">
        <v>0</v>
      </c>
      <c r="T345" s="190"/>
      <c r="U345" s="22"/>
      <c r="V345" s="233"/>
      <c r="W345" s="239"/>
      <c r="X345" s="403"/>
      <c r="Y345" s="258"/>
    </row>
    <row r="346" spans="1:25" hidden="1" x14ac:dyDescent="0.3">
      <c r="A346" s="47">
        <f>IF(B346="","",SUBTOTAL(3,$B$3:B346)-1)</f>
        <v>5</v>
      </c>
      <c r="B346" s="26" t="s">
        <v>526</v>
      </c>
      <c r="C346" s="26" t="s">
        <v>102</v>
      </c>
      <c r="D346" s="164"/>
      <c r="E346" s="46"/>
      <c r="F346" s="22">
        <v>8</v>
      </c>
      <c r="G346" s="176"/>
      <c r="H346" s="405"/>
      <c r="I346" s="185"/>
      <c r="J346" s="67"/>
      <c r="K346" s="194"/>
      <c r="L346" s="67"/>
      <c r="M346" s="67"/>
      <c r="N346" s="67"/>
      <c r="O346" s="73"/>
      <c r="P346" s="237"/>
      <c r="Q346" s="255"/>
      <c r="R346" s="175"/>
      <c r="S346" s="411"/>
      <c r="T346" s="190"/>
      <c r="U346" s="22"/>
      <c r="V346" s="233"/>
      <c r="W346" s="239"/>
      <c r="X346" s="403"/>
      <c r="Y346" s="258"/>
    </row>
    <row r="347" spans="1:25" hidden="1" x14ac:dyDescent="0.3">
      <c r="A347" s="47">
        <f>IF(B347="","",SUBTOTAL(3,$B$3:B347)-1)</f>
        <v>5</v>
      </c>
      <c r="B347" s="25" t="s">
        <v>718</v>
      </c>
      <c r="C347" s="25" t="s">
        <v>438</v>
      </c>
      <c r="D347" s="163"/>
      <c r="E347" s="46">
        <f>($AA$2-O347)*$AB$2+Q347</f>
        <v>0</v>
      </c>
      <c r="F347" s="22">
        <v>11</v>
      </c>
      <c r="G347" s="175" t="s">
        <v>415</v>
      </c>
      <c r="H347" s="405"/>
      <c r="I347" s="185"/>
      <c r="J347" s="67"/>
      <c r="K347" s="194"/>
      <c r="L347" s="180"/>
      <c r="M347" s="180"/>
      <c r="N347" s="180"/>
      <c r="O347" s="181"/>
      <c r="P347" s="237"/>
      <c r="Q347" s="255"/>
      <c r="R347" s="175" t="s">
        <v>661</v>
      </c>
      <c r="S347" s="411"/>
      <c r="T347" s="190"/>
      <c r="U347" s="22"/>
      <c r="V347" s="233"/>
      <c r="W347" s="239"/>
      <c r="X347" s="403"/>
      <c r="Y347" s="258"/>
    </row>
    <row r="348" spans="1:25" hidden="1" x14ac:dyDescent="0.3">
      <c r="A348" s="47">
        <f>IF(B348="","",SUBTOTAL(3,$B$3:B348)-1)</f>
        <v>5</v>
      </c>
      <c r="B348" s="26" t="s">
        <v>149</v>
      </c>
      <c r="C348" s="26" t="s">
        <v>438</v>
      </c>
      <c r="D348" s="26">
        <v>799410627</v>
      </c>
      <c r="E348" s="46">
        <f>($AA$2-O348)*$AB$2+Q348</f>
        <v>0</v>
      </c>
      <c r="F348" s="22">
        <v>8</v>
      </c>
      <c r="G348" s="175"/>
      <c r="H348" s="405"/>
      <c r="I348" s="185"/>
      <c r="J348" s="67"/>
      <c r="K348" s="194"/>
      <c r="L348" s="67"/>
      <c r="M348" s="67"/>
      <c r="N348" s="67"/>
      <c r="O348" s="73"/>
      <c r="P348" s="237"/>
      <c r="Q348" s="255"/>
      <c r="R348" s="175"/>
      <c r="S348" s="411"/>
      <c r="T348" s="190"/>
      <c r="U348" s="22"/>
      <c r="V348" s="233"/>
      <c r="W348" s="239"/>
      <c r="X348" s="403"/>
      <c r="Y348" s="258"/>
    </row>
    <row r="349" spans="1:25" hidden="1" x14ac:dyDescent="0.3">
      <c r="A349" s="47">
        <f>IF(B349="","",SUBTOTAL(3,$B$3:B349)-1)</f>
        <v>5</v>
      </c>
      <c r="B349" s="143" t="s">
        <v>962</v>
      </c>
      <c r="C349" s="143" t="s">
        <v>948</v>
      </c>
      <c r="D349" s="143"/>
      <c r="E349" s="46"/>
      <c r="F349" s="142">
        <v>7</v>
      </c>
      <c r="G349" s="176" t="s">
        <v>415</v>
      </c>
      <c r="H349" s="405" t="s">
        <v>635</v>
      </c>
      <c r="I349" s="185" t="s">
        <v>661</v>
      </c>
      <c r="J349" s="142"/>
      <c r="K349" s="196"/>
      <c r="L349" s="67"/>
      <c r="M349" s="67"/>
      <c r="N349" s="67"/>
      <c r="O349" s="73"/>
      <c r="P349" s="237"/>
      <c r="Q349" s="255"/>
      <c r="R349" s="175" t="s">
        <v>1</v>
      </c>
      <c r="S349" s="411" t="s">
        <v>1</v>
      </c>
      <c r="T349" s="190" t="s">
        <v>1</v>
      </c>
      <c r="U349" s="22"/>
      <c r="V349" s="233"/>
      <c r="W349" s="239"/>
      <c r="X349" s="403"/>
      <c r="Y349" s="258"/>
    </row>
    <row r="350" spans="1:25" ht="37.5" hidden="1" x14ac:dyDescent="0.3">
      <c r="A350" s="47">
        <f>IF(B350="","",SUBTOTAL(3,$B$3:B350)-1)</f>
        <v>5</v>
      </c>
      <c r="B350" s="265" t="s">
        <v>1273</v>
      </c>
      <c r="C350" s="265" t="s">
        <v>948</v>
      </c>
      <c r="D350" s="265" t="s">
        <v>1315</v>
      </c>
      <c r="E350" s="46" t="s">
        <v>1214</v>
      </c>
      <c r="F350" s="300">
        <v>8</v>
      </c>
      <c r="G350" s="175" t="s">
        <v>415</v>
      </c>
      <c r="H350" s="405"/>
      <c r="I350" s="185"/>
      <c r="J350" s="71"/>
      <c r="K350" s="194"/>
      <c r="L350" s="67"/>
      <c r="M350" s="67"/>
      <c r="N350" s="67"/>
      <c r="O350" s="73"/>
      <c r="P350" s="237"/>
      <c r="Q350" s="255"/>
      <c r="R350" s="175" t="s">
        <v>2</v>
      </c>
      <c r="S350" s="411"/>
      <c r="T350" s="190"/>
      <c r="U350" s="22"/>
      <c r="V350" s="233"/>
      <c r="W350" s="239"/>
      <c r="X350" s="403"/>
      <c r="Y350" s="320">
        <v>8</v>
      </c>
    </row>
    <row r="351" spans="1:25" hidden="1" x14ac:dyDescent="0.3">
      <c r="A351" s="47">
        <f>IF(B351="","",SUBTOTAL(3,$B$3:B351)-1)</f>
        <v>5</v>
      </c>
      <c r="B351" s="26" t="s">
        <v>163</v>
      </c>
      <c r="C351" s="26" t="s">
        <v>530</v>
      </c>
      <c r="D351" s="26"/>
      <c r="E351" s="46">
        <f>($AA$2-O351)*$AB$2+Q351</f>
        <v>0</v>
      </c>
      <c r="F351" s="142">
        <v>6</v>
      </c>
      <c r="G351" s="176" t="s">
        <v>660</v>
      </c>
      <c r="H351" s="405"/>
      <c r="I351" s="185"/>
      <c r="J351" s="67"/>
      <c r="K351" s="194"/>
      <c r="L351" s="67"/>
      <c r="M351" s="67"/>
      <c r="N351" s="67"/>
      <c r="O351" s="73"/>
      <c r="P351" s="237"/>
      <c r="Q351" s="255"/>
      <c r="R351" s="175" t="s">
        <v>0</v>
      </c>
      <c r="S351" s="411"/>
      <c r="T351" s="190"/>
      <c r="U351" s="22"/>
      <c r="V351" s="233"/>
      <c r="W351" s="239" t="s">
        <v>848</v>
      </c>
      <c r="X351" s="403"/>
      <c r="Y351" s="258"/>
    </row>
    <row r="352" spans="1:25" hidden="1" x14ac:dyDescent="0.3">
      <c r="A352" s="47">
        <f>IF(B352="","",SUBTOTAL(3,$B$3:B352)-1)</f>
        <v>5</v>
      </c>
      <c r="B352" s="3" t="s">
        <v>163</v>
      </c>
      <c r="C352" s="3" t="s">
        <v>530</v>
      </c>
      <c r="D352" s="4"/>
      <c r="E352" s="46" t="s">
        <v>1214</v>
      </c>
      <c r="F352" s="22">
        <v>6</v>
      </c>
      <c r="G352" s="175" t="s">
        <v>1332</v>
      </c>
      <c r="H352" s="405"/>
      <c r="I352" s="185"/>
      <c r="J352" s="71"/>
      <c r="K352" s="194"/>
      <c r="L352" s="67"/>
      <c r="M352" s="67"/>
      <c r="N352" s="67"/>
      <c r="O352" s="73"/>
      <c r="P352" s="237"/>
      <c r="Q352" s="255"/>
      <c r="R352" s="175" t="s">
        <v>1</v>
      </c>
      <c r="S352" s="408" t="s">
        <v>2</v>
      </c>
      <c r="T352" s="190"/>
      <c r="U352" s="22"/>
      <c r="V352" s="233"/>
      <c r="W352" s="239"/>
      <c r="X352" s="403"/>
      <c r="Y352" s="258"/>
    </row>
    <row r="353" spans="1:25" hidden="1" x14ac:dyDescent="0.3">
      <c r="A353" s="47">
        <f>IF(B353="","",SUBTOTAL(3,$B$3:B353)-1)</f>
        <v>5</v>
      </c>
      <c r="B353" s="143" t="s">
        <v>771</v>
      </c>
      <c r="C353" s="143" t="s">
        <v>530</v>
      </c>
      <c r="D353" s="143">
        <v>348362610</v>
      </c>
      <c r="E353" s="46"/>
      <c r="F353" s="142">
        <v>7</v>
      </c>
      <c r="G353" s="175" t="s">
        <v>415</v>
      </c>
      <c r="H353" s="406" t="s">
        <v>696</v>
      </c>
      <c r="I353" s="188" t="s">
        <v>661</v>
      </c>
      <c r="J353" s="142"/>
      <c r="K353" s="196" t="s">
        <v>721</v>
      </c>
      <c r="L353" s="67"/>
      <c r="M353" s="67"/>
      <c r="N353" s="67"/>
      <c r="O353" s="73"/>
      <c r="P353" s="237"/>
      <c r="Q353" s="255"/>
      <c r="R353" s="175" t="s">
        <v>0</v>
      </c>
      <c r="S353" s="411" t="s">
        <v>0</v>
      </c>
      <c r="T353" s="190" t="s">
        <v>1</v>
      </c>
      <c r="U353" s="22"/>
      <c r="V353" s="233"/>
      <c r="W353" s="239"/>
      <c r="X353" s="403"/>
      <c r="Y353" s="258"/>
    </row>
    <row r="354" spans="1:25" hidden="1" x14ac:dyDescent="0.3">
      <c r="A354" s="47">
        <f>IF(B354="","",SUBTOTAL(3,$B$3:B354)-1)</f>
        <v>5</v>
      </c>
      <c r="B354" s="24" t="s">
        <v>673</v>
      </c>
      <c r="C354" s="24" t="s">
        <v>530</v>
      </c>
      <c r="D354" s="163"/>
      <c r="E354" s="46">
        <f>($AA$2-O354)*$AB$2+Q354</f>
        <v>0</v>
      </c>
      <c r="F354" s="22">
        <v>9</v>
      </c>
      <c r="G354" s="175" t="s">
        <v>415</v>
      </c>
      <c r="H354" s="409" t="s">
        <v>660</v>
      </c>
      <c r="I354" s="185"/>
      <c r="J354" s="67" t="s">
        <v>661</v>
      </c>
      <c r="K354" s="194"/>
      <c r="L354" s="67"/>
      <c r="M354" s="67"/>
      <c r="N354" s="67"/>
      <c r="O354" s="73"/>
      <c r="P354" s="237"/>
      <c r="Q354" s="255"/>
      <c r="R354" s="175" t="s">
        <v>0</v>
      </c>
      <c r="S354" s="411" t="s">
        <v>1</v>
      </c>
      <c r="T354" s="190"/>
      <c r="U354" s="22" t="s">
        <v>1</v>
      </c>
      <c r="V354" s="233"/>
      <c r="W354" s="239"/>
      <c r="X354" s="403"/>
      <c r="Y354" s="258"/>
    </row>
    <row r="355" spans="1:25" hidden="1" x14ac:dyDescent="0.3">
      <c r="A355" s="47">
        <f>IF(B355="","",SUBTOTAL(3,$B$3:B355)-1)</f>
        <v>5</v>
      </c>
      <c r="B355" s="269" t="s">
        <v>1299</v>
      </c>
      <c r="C355" s="269" t="s">
        <v>530</v>
      </c>
      <c r="D355" s="269">
        <v>949874216</v>
      </c>
      <c r="E355" s="46" t="s">
        <v>1214</v>
      </c>
      <c r="F355" s="301">
        <v>9</v>
      </c>
      <c r="G355" s="175" t="s">
        <v>415</v>
      </c>
      <c r="H355" s="405"/>
      <c r="I355" s="185"/>
      <c r="J355" s="71"/>
      <c r="K355" s="194"/>
      <c r="L355" s="67"/>
      <c r="M355" s="67"/>
      <c r="N355" s="67"/>
      <c r="O355" s="73"/>
      <c r="P355" s="237"/>
      <c r="Q355" s="255"/>
      <c r="R355" s="175" t="s">
        <v>0</v>
      </c>
      <c r="S355" s="411"/>
      <c r="T355" s="190"/>
      <c r="U355" s="22"/>
      <c r="V355" s="233"/>
      <c r="W355" s="239"/>
      <c r="X355" s="403"/>
      <c r="Y355" s="323" t="s">
        <v>849</v>
      </c>
    </row>
    <row r="356" spans="1:25" hidden="1" x14ac:dyDescent="0.3">
      <c r="A356" s="47">
        <f>IF(B356="","",SUBTOTAL(3,$B$3:B356)-1)</f>
        <v>5</v>
      </c>
      <c r="B356" s="265" t="s">
        <v>252</v>
      </c>
      <c r="C356" s="265" t="s">
        <v>68</v>
      </c>
      <c r="D356" s="265">
        <v>968465908</v>
      </c>
      <c r="E356" s="46" t="s">
        <v>1214</v>
      </c>
      <c r="F356" s="300">
        <v>2</v>
      </c>
      <c r="G356" s="175" t="s">
        <v>826</v>
      </c>
      <c r="H356" s="405"/>
      <c r="I356" s="185"/>
      <c r="J356" s="71"/>
      <c r="K356" s="194"/>
      <c r="L356" s="67"/>
      <c r="M356" s="67"/>
      <c r="N356" s="67"/>
      <c r="O356" s="73"/>
      <c r="P356" s="237"/>
      <c r="Q356" s="255"/>
      <c r="R356" s="175" t="s">
        <v>0</v>
      </c>
      <c r="S356" s="411"/>
      <c r="T356" s="190"/>
      <c r="U356" s="22"/>
      <c r="V356" s="233"/>
      <c r="W356" s="239"/>
      <c r="X356" s="403"/>
      <c r="Y356" s="320">
        <v>2</v>
      </c>
    </row>
    <row r="357" spans="1:25" hidden="1" x14ac:dyDescent="0.3">
      <c r="A357" s="47">
        <f>IF(B357="","",SUBTOTAL(3,$B$3:B357)-1)</f>
        <v>5</v>
      </c>
      <c r="B357" s="26" t="s">
        <v>925</v>
      </c>
      <c r="C357" s="26" t="s">
        <v>68</v>
      </c>
      <c r="D357" s="25"/>
      <c r="E357" s="46"/>
      <c r="F357" s="142">
        <v>3</v>
      </c>
      <c r="G357" s="175"/>
      <c r="H357" s="407" t="s">
        <v>634</v>
      </c>
      <c r="I357" s="189" t="s">
        <v>634</v>
      </c>
      <c r="J357" s="67"/>
      <c r="K357" s="194"/>
      <c r="L357" s="67"/>
      <c r="M357" s="67"/>
      <c r="N357" s="67"/>
      <c r="O357" s="73"/>
      <c r="P357" s="237"/>
      <c r="Q357" s="255"/>
      <c r="R357" s="175"/>
      <c r="S357" s="411"/>
      <c r="T357" s="190" t="s">
        <v>0</v>
      </c>
      <c r="U357" s="22"/>
      <c r="V357" s="233"/>
      <c r="W357" s="239"/>
      <c r="X357" s="403"/>
      <c r="Y357" s="258"/>
    </row>
    <row r="358" spans="1:25" hidden="1" x14ac:dyDescent="0.3">
      <c r="A358" s="47">
        <f>IF(B358="","",SUBTOTAL(3,$B$3:B358)-1)</f>
        <v>5</v>
      </c>
      <c r="B358" s="143" t="s">
        <v>975</v>
      </c>
      <c r="C358" s="143" t="s">
        <v>68</v>
      </c>
      <c r="D358" s="143"/>
      <c r="E358" s="46"/>
      <c r="F358" s="142">
        <v>3</v>
      </c>
      <c r="G358" s="176"/>
      <c r="H358" s="406"/>
      <c r="I358" s="188"/>
      <c r="J358" s="142"/>
      <c r="K358" s="196" t="s">
        <v>721</v>
      </c>
      <c r="L358" s="67"/>
      <c r="M358" s="67"/>
      <c r="N358" s="67"/>
      <c r="O358" s="73"/>
      <c r="P358" s="237"/>
      <c r="Q358" s="255"/>
      <c r="R358" s="175"/>
      <c r="S358" s="411"/>
      <c r="T358" s="190"/>
      <c r="U358" s="22"/>
      <c r="V358" s="233"/>
      <c r="W358" s="239"/>
      <c r="X358" s="403"/>
      <c r="Y358" s="258"/>
    </row>
    <row r="359" spans="1:25" hidden="1" x14ac:dyDescent="0.3">
      <c r="A359" s="47">
        <f>IF(B359="","",SUBTOTAL(3,$B$3:B359)-1)</f>
        <v>5</v>
      </c>
      <c r="B359" s="17" t="s">
        <v>1063</v>
      </c>
      <c r="C359" s="24" t="s">
        <v>68</v>
      </c>
      <c r="D359" s="163"/>
      <c r="E359" s="46"/>
      <c r="F359" s="22">
        <v>10</v>
      </c>
      <c r="G359" s="175"/>
      <c r="H359" s="405" t="s">
        <v>635</v>
      </c>
      <c r="I359" s="185"/>
      <c r="J359" s="67"/>
      <c r="K359" s="194"/>
      <c r="L359" s="67"/>
      <c r="M359" s="67"/>
      <c r="N359" s="67"/>
      <c r="O359" s="73"/>
      <c r="P359" s="237"/>
      <c r="Q359" s="255"/>
      <c r="R359" s="175"/>
      <c r="S359" s="411" t="s">
        <v>1</v>
      </c>
      <c r="T359" s="190"/>
      <c r="U359" s="22"/>
      <c r="V359" s="233"/>
      <c r="W359" s="239"/>
      <c r="X359" s="403"/>
      <c r="Y359" s="258"/>
    </row>
    <row r="360" spans="1:25" hidden="1" x14ac:dyDescent="0.3">
      <c r="A360" s="47">
        <f>IF(B360="","",SUBTOTAL(3,$B$3:B360)-1)</f>
        <v>5</v>
      </c>
      <c r="B360" s="24" t="s">
        <v>198</v>
      </c>
      <c r="C360" s="24" t="s">
        <v>68</v>
      </c>
      <c r="D360" s="24">
        <v>327697080</v>
      </c>
      <c r="E360" s="46">
        <f>($AA$2-O360)*$AB$2+Q360</f>
        <v>0</v>
      </c>
      <c r="F360" s="22">
        <v>11</v>
      </c>
      <c r="G360" s="175"/>
      <c r="H360" s="405"/>
      <c r="I360" s="187"/>
      <c r="J360" s="67"/>
      <c r="K360" s="194"/>
      <c r="L360" s="180"/>
      <c r="M360" s="180"/>
      <c r="N360" s="180"/>
      <c r="O360" s="181"/>
      <c r="P360" s="237"/>
      <c r="Q360" s="255"/>
      <c r="R360" s="175"/>
      <c r="S360" s="411" t="s">
        <v>0</v>
      </c>
      <c r="T360" s="190"/>
      <c r="U360" s="22"/>
      <c r="V360" s="233"/>
      <c r="W360" s="239"/>
      <c r="X360" s="403"/>
      <c r="Y360" s="258"/>
    </row>
    <row r="361" spans="1:25" hidden="1" x14ac:dyDescent="0.3">
      <c r="A361" s="47">
        <f>IF(B361="","",SUBTOTAL(3,$B$3:B361)-1)</f>
        <v>5</v>
      </c>
      <c r="B361" s="143" t="s">
        <v>827</v>
      </c>
      <c r="C361" s="143" t="s">
        <v>68</v>
      </c>
      <c r="D361" s="143">
        <v>374052642</v>
      </c>
      <c r="E361" s="46"/>
      <c r="F361" s="22">
        <v>10</v>
      </c>
      <c r="G361" s="176" t="s">
        <v>415</v>
      </c>
      <c r="H361" s="406" t="s">
        <v>635</v>
      </c>
      <c r="I361" s="188" t="s">
        <v>661</v>
      </c>
      <c r="J361" s="142"/>
      <c r="K361" s="196" t="s">
        <v>721</v>
      </c>
      <c r="L361" s="67"/>
      <c r="M361" s="67"/>
      <c r="N361" s="67"/>
      <c r="O361" s="73"/>
      <c r="P361" s="237"/>
      <c r="Q361" s="255"/>
      <c r="R361" s="175" t="s">
        <v>1</v>
      </c>
      <c r="S361" s="411" t="s">
        <v>848</v>
      </c>
      <c r="T361" s="190" t="s">
        <v>1</v>
      </c>
      <c r="U361" s="22"/>
      <c r="V361" s="233"/>
      <c r="W361" s="239"/>
      <c r="X361" s="403"/>
      <c r="Y361" s="258"/>
    </row>
    <row r="362" spans="1:25" hidden="1" x14ac:dyDescent="0.3">
      <c r="A362" s="47">
        <f>IF(B362="","",SUBTOTAL(3,$B$3:B362)-1)</f>
        <v>5</v>
      </c>
      <c r="B362" s="24" t="s">
        <v>1058</v>
      </c>
      <c r="C362" s="24" t="s">
        <v>68</v>
      </c>
      <c r="D362" s="26">
        <v>372523625</v>
      </c>
      <c r="E362" s="46"/>
      <c r="F362" s="21">
        <v>5</v>
      </c>
      <c r="G362" s="176" t="s">
        <v>660</v>
      </c>
      <c r="H362" s="405"/>
      <c r="I362" s="185" t="s">
        <v>634</v>
      </c>
      <c r="J362" s="67"/>
      <c r="K362" s="194"/>
      <c r="L362" s="67"/>
      <c r="M362" s="67"/>
      <c r="N362" s="67"/>
      <c r="O362" s="73"/>
      <c r="P362" s="237"/>
      <c r="Q362" s="255"/>
      <c r="R362" s="175" t="s">
        <v>1</v>
      </c>
      <c r="S362" s="411"/>
      <c r="T362" s="190" t="s">
        <v>0</v>
      </c>
      <c r="U362" s="22"/>
      <c r="V362" s="233"/>
      <c r="W362" s="239"/>
      <c r="X362" s="403"/>
      <c r="Y362" s="258"/>
    </row>
    <row r="363" spans="1:25" hidden="1" x14ac:dyDescent="0.3">
      <c r="A363" s="47">
        <f>IF(B363="","",SUBTOTAL(3,$B$3:B363)-1)</f>
        <v>5</v>
      </c>
      <c r="B363" s="26" t="s">
        <v>899</v>
      </c>
      <c r="C363" s="26" t="s">
        <v>68</v>
      </c>
      <c r="D363" s="164"/>
      <c r="E363" s="46">
        <f>($AA$2-O363)*$AB$2+Q363</f>
        <v>0</v>
      </c>
      <c r="F363" s="142">
        <v>6</v>
      </c>
      <c r="G363" s="176"/>
      <c r="H363" s="405"/>
      <c r="I363" s="185"/>
      <c r="J363" s="67"/>
      <c r="K363" s="194"/>
      <c r="L363" s="67"/>
      <c r="M363" s="67"/>
      <c r="N363" s="67"/>
      <c r="O363" s="73"/>
      <c r="P363" s="237"/>
      <c r="Q363" s="255"/>
      <c r="R363" s="175"/>
      <c r="S363" s="411"/>
      <c r="T363" s="190"/>
      <c r="U363" s="22"/>
      <c r="V363" s="233"/>
      <c r="W363" s="239" t="s">
        <v>848</v>
      </c>
      <c r="X363" s="403"/>
      <c r="Y363" s="258"/>
    </row>
    <row r="364" spans="1:25" hidden="1" x14ac:dyDescent="0.3">
      <c r="A364" s="47">
        <f>IF(B364="","",SUBTOTAL(3,$B$3:B364)-1)</f>
        <v>5</v>
      </c>
      <c r="B364" s="380" t="s">
        <v>1368</v>
      </c>
      <c r="C364" s="380" t="s">
        <v>68</v>
      </c>
      <c r="D364" s="382" t="s">
        <v>1375</v>
      </c>
      <c r="E364" s="46" t="s">
        <v>1356</v>
      </c>
      <c r="F364" s="382">
        <v>6</v>
      </c>
      <c r="G364" s="175" t="s">
        <v>415</v>
      </c>
      <c r="H364" s="405"/>
      <c r="I364" s="185"/>
      <c r="J364" s="71"/>
      <c r="K364" s="194"/>
      <c r="L364" s="67"/>
      <c r="M364" s="67"/>
      <c r="N364" s="67"/>
      <c r="O364" s="73"/>
      <c r="P364" s="237"/>
      <c r="Q364" s="255"/>
      <c r="R364" s="175" t="s">
        <v>848</v>
      </c>
      <c r="S364" s="411"/>
      <c r="T364" s="190"/>
      <c r="U364" s="22"/>
      <c r="V364" s="233"/>
      <c r="W364" s="239"/>
      <c r="X364" s="403"/>
      <c r="Y364" s="383" t="s">
        <v>1385</v>
      </c>
    </row>
    <row r="365" spans="1:25" hidden="1" x14ac:dyDescent="0.3">
      <c r="A365" s="47">
        <f>IF(B365="","",SUBTOTAL(3,$B$3:B365)-1)</f>
        <v>5</v>
      </c>
      <c r="B365" s="26" t="s">
        <v>1189</v>
      </c>
      <c r="C365" s="26" t="s">
        <v>68</v>
      </c>
      <c r="D365" s="164"/>
      <c r="E365" s="46"/>
      <c r="F365" s="22">
        <v>8</v>
      </c>
      <c r="G365" s="176"/>
      <c r="H365" s="405" t="s">
        <v>635</v>
      </c>
      <c r="I365" s="185"/>
      <c r="J365" s="67"/>
      <c r="K365" s="194"/>
      <c r="L365" s="67"/>
      <c r="M365" s="67"/>
      <c r="N365" s="67"/>
      <c r="O365" s="73"/>
      <c r="P365" s="237"/>
      <c r="Q365" s="255"/>
      <c r="R365" s="175"/>
      <c r="S365" s="411" t="s">
        <v>2</v>
      </c>
      <c r="T365" s="190"/>
      <c r="U365" s="22"/>
      <c r="V365" s="233"/>
      <c r="W365" s="239"/>
      <c r="X365" s="403"/>
      <c r="Y365" s="258"/>
    </row>
    <row r="366" spans="1:25" hidden="1" x14ac:dyDescent="0.3">
      <c r="A366" s="47">
        <f>IF(B366="","",SUBTOTAL(3,$B$3:B366)-1)</f>
        <v>5</v>
      </c>
      <c r="B366" s="26" t="s">
        <v>1190</v>
      </c>
      <c r="C366" s="26" t="s">
        <v>68</v>
      </c>
      <c r="D366" s="164"/>
      <c r="E366" s="46"/>
      <c r="F366" s="22">
        <v>8</v>
      </c>
      <c r="G366" s="176"/>
      <c r="H366" s="405" t="s">
        <v>635</v>
      </c>
      <c r="I366" s="185"/>
      <c r="J366" s="67"/>
      <c r="K366" s="194"/>
      <c r="L366" s="67"/>
      <c r="M366" s="67"/>
      <c r="N366" s="67"/>
      <c r="O366" s="73"/>
      <c r="P366" s="237"/>
      <c r="Q366" s="255"/>
      <c r="R366" s="175"/>
      <c r="S366" s="411" t="s">
        <v>2</v>
      </c>
      <c r="T366" s="190"/>
      <c r="U366" s="22"/>
      <c r="V366" s="233"/>
      <c r="W366" s="239"/>
      <c r="X366" s="403"/>
      <c r="Y366" s="258"/>
    </row>
    <row r="367" spans="1:25" hidden="1" x14ac:dyDescent="0.3">
      <c r="A367" s="47">
        <f>IF(B367="","",SUBTOTAL(3,$B$3:B367)-1)</f>
        <v>5</v>
      </c>
      <c r="B367" s="143" t="s">
        <v>790</v>
      </c>
      <c r="C367" s="143" t="s">
        <v>68</v>
      </c>
      <c r="D367" s="143">
        <v>939526516</v>
      </c>
      <c r="E367" s="46"/>
      <c r="F367" s="22">
        <v>8</v>
      </c>
      <c r="G367" s="175" t="s">
        <v>415</v>
      </c>
      <c r="H367" s="406" t="s">
        <v>660</v>
      </c>
      <c r="I367" s="188"/>
      <c r="J367" s="142"/>
      <c r="K367" s="196" t="s">
        <v>721</v>
      </c>
      <c r="L367" s="67"/>
      <c r="M367" s="67"/>
      <c r="N367" s="67"/>
      <c r="O367" s="73"/>
      <c r="P367" s="237"/>
      <c r="Q367" s="255"/>
      <c r="R367" s="175" t="s">
        <v>1</v>
      </c>
      <c r="S367" s="411" t="s">
        <v>0</v>
      </c>
      <c r="T367" s="190"/>
      <c r="U367" s="22"/>
      <c r="V367" s="233"/>
      <c r="W367" s="239"/>
      <c r="X367" s="403"/>
      <c r="Y367" s="258"/>
    </row>
    <row r="368" spans="1:25" hidden="1" x14ac:dyDescent="0.3">
      <c r="A368" s="47">
        <f>IF(B368="","",SUBTOTAL(3,$B$3:B368)-1)</f>
        <v>5</v>
      </c>
      <c r="B368" s="26" t="s">
        <v>955</v>
      </c>
      <c r="C368" s="26" t="s">
        <v>68</v>
      </c>
      <c r="D368" s="26"/>
      <c r="E368" s="46">
        <f>($AA$2-O368)*$AB$2+Q368</f>
        <v>0</v>
      </c>
      <c r="F368" s="22">
        <v>8</v>
      </c>
      <c r="G368" s="175" t="s">
        <v>415</v>
      </c>
      <c r="H368" s="405"/>
      <c r="I368" s="185"/>
      <c r="J368" s="67"/>
      <c r="K368" s="194"/>
      <c r="L368" s="67"/>
      <c r="M368" s="67"/>
      <c r="N368" s="67"/>
      <c r="O368" s="73"/>
      <c r="P368" s="237"/>
      <c r="Q368" s="255"/>
      <c r="R368" s="175" t="s">
        <v>1</v>
      </c>
      <c r="S368" s="411"/>
      <c r="T368" s="190"/>
      <c r="U368" s="22"/>
      <c r="V368" s="233"/>
      <c r="W368" s="239"/>
      <c r="X368" s="403"/>
      <c r="Y368" s="258"/>
    </row>
    <row r="369" spans="1:25" hidden="1" x14ac:dyDescent="0.3">
      <c r="A369" s="47">
        <f>IF(B369="","",SUBTOTAL(3,$B$3:B369)-1)</f>
        <v>5</v>
      </c>
      <c r="B369" s="143" t="s">
        <v>449</v>
      </c>
      <c r="C369" s="143" t="s">
        <v>68</v>
      </c>
      <c r="D369" s="143"/>
      <c r="E369" s="46">
        <f>($AA$2-O369)*$AB$2+Q369</f>
        <v>0</v>
      </c>
      <c r="F369" s="22">
        <v>8</v>
      </c>
      <c r="G369" s="175"/>
      <c r="H369" s="405"/>
      <c r="I369" s="185"/>
      <c r="J369" s="67"/>
      <c r="K369" s="194"/>
      <c r="L369" s="67"/>
      <c r="M369" s="67"/>
      <c r="N369" s="67"/>
      <c r="O369" s="73"/>
      <c r="P369" s="237"/>
      <c r="Q369" s="255"/>
      <c r="R369" s="175"/>
      <c r="S369" s="411"/>
      <c r="T369" s="190"/>
      <c r="U369" s="22"/>
      <c r="V369" s="233"/>
      <c r="W369" s="239"/>
      <c r="X369" s="403"/>
      <c r="Y369" s="258"/>
    </row>
    <row r="370" spans="1:25" hidden="1" x14ac:dyDescent="0.3">
      <c r="A370" s="47">
        <f>IF(B370="","",SUBTOTAL(3,$B$3:B370)-1)</f>
        <v>5</v>
      </c>
      <c r="B370" s="24" t="s">
        <v>639</v>
      </c>
      <c r="C370" s="24" t="s">
        <v>68</v>
      </c>
      <c r="D370" s="24"/>
      <c r="E370" s="46">
        <f>($AA$2-O370)*$AB$2+Q370</f>
        <v>0</v>
      </c>
      <c r="F370" s="22">
        <v>8</v>
      </c>
      <c r="G370" s="175"/>
      <c r="H370" s="405"/>
      <c r="I370" s="185"/>
      <c r="J370" s="67"/>
      <c r="K370" s="194"/>
      <c r="L370" s="67"/>
      <c r="M370" s="67"/>
      <c r="N370" s="67"/>
      <c r="O370" s="73"/>
      <c r="P370" s="237"/>
      <c r="Q370" s="255"/>
      <c r="R370" s="175"/>
      <c r="S370" s="411"/>
      <c r="T370" s="190"/>
      <c r="U370" s="22"/>
      <c r="V370" s="233"/>
      <c r="W370" s="239"/>
      <c r="X370" s="403"/>
      <c r="Y370" s="258"/>
    </row>
    <row r="371" spans="1:25" hidden="1" x14ac:dyDescent="0.3">
      <c r="A371" s="47">
        <f>IF(B371="","",SUBTOTAL(3,$B$3:B371)-1)</f>
        <v>5</v>
      </c>
      <c r="B371" s="26" t="s">
        <v>450</v>
      </c>
      <c r="C371" s="26" t="s">
        <v>68</v>
      </c>
      <c r="D371" s="26"/>
      <c r="E371" s="46">
        <f>($AA$2-O371)*$AB$2+Q371</f>
        <v>0</v>
      </c>
      <c r="F371" s="21">
        <v>8</v>
      </c>
      <c r="G371" s="175" t="s">
        <v>415</v>
      </c>
      <c r="H371" s="405" t="s">
        <v>660</v>
      </c>
      <c r="I371" s="185" t="s">
        <v>634</v>
      </c>
      <c r="J371" s="67" t="s">
        <v>661</v>
      </c>
      <c r="K371" s="194"/>
      <c r="L371" s="180"/>
      <c r="M371" s="180"/>
      <c r="N371" s="180"/>
      <c r="O371" s="181"/>
      <c r="P371" s="237"/>
      <c r="Q371" s="255"/>
      <c r="R371" s="175" t="s">
        <v>848</v>
      </c>
      <c r="S371" s="411" t="s">
        <v>0</v>
      </c>
      <c r="T371" s="190" t="s">
        <v>0</v>
      </c>
      <c r="U371" s="22" t="s">
        <v>0</v>
      </c>
      <c r="V371" s="233"/>
      <c r="W371" s="239"/>
      <c r="X371" s="403"/>
      <c r="Y371" s="258"/>
    </row>
    <row r="372" spans="1:25" hidden="1" x14ac:dyDescent="0.3">
      <c r="A372" s="47">
        <f>IF(B372="","",SUBTOTAL(3,$B$3:B372)-1)</f>
        <v>5</v>
      </c>
      <c r="B372" s="26" t="s">
        <v>955</v>
      </c>
      <c r="C372" s="26" t="s">
        <v>68</v>
      </c>
      <c r="D372" s="26"/>
      <c r="E372" s="46"/>
      <c r="F372" s="22">
        <v>8</v>
      </c>
      <c r="G372" s="175"/>
      <c r="H372" s="405"/>
      <c r="I372" s="185"/>
      <c r="J372" s="67"/>
      <c r="K372" s="194"/>
      <c r="L372" s="180"/>
      <c r="M372" s="180"/>
      <c r="N372" s="180"/>
      <c r="O372" s="181"/>
      <c r="P372" s="237"/>
      <c r="Q372" s="255"/>
      <c r="R372" s="175"/>
      <c r="S372" s="411"/>
      <c r="T372" s="190"/>
      <c r="U372" s="22"/>
      <c r="V372" s="233"/>
      <c r="W372" s="239"/>
      <c r="X372" s="403"/>
      <c r="Y372" s="258"/>
    </row>
    <row r="373" spans="1:25" hidden="1" x14ac:dyDescent="0.3">
      <c r="A373" s="47">
        <f>IF(B373="","",SUBTOTAL(3,$B$3:B373)-1)</f>
        <v>5</v>
      </c>
      <c r="B373" s="26">
        <v>1</v>
      </c>
      <c r="C373" s="24" t="s">
        <v>68</v>
      </c>
      <c r="D373" s="26"/>
      <c r="E373" s="46"/>
      <c r="F373" s="21">
        <v>9</v>
      </c>
      <c r="G373" s="175"/>
      <c r="H373" s="409" t="s">
        <v>660</v>
      </c>
      <c r="I373" s="185"/>
      <c r="J373" s="67"/>
      <c r="K373" s="194"/>
      <c r="L373" s="180"/>
      <c r="M373" s="180"/>
      <c r="N373" s="180"/>
      <c r="O373" s="181"/>
      <c r="P373" s="237"/>
      <c r="Q373" s="255"/>
      <c r="R373" s="175"/>
      <c r="S373" s="411" t="s">
        <v>1</v>
      </c>
      <c r="T373" s="190"/>
      <c r="U373" s="22"/>
      <c r="V373" s="233"/>
      <c r="W373" s="239"/>
      <c r="X373" s="403"/>
      <c r="Y373" s="258"/>
    </row>
    <row r="374" spans="1:25" hidden="1" x14ac:dyDescent="0.3">
      <c r="A374" s="47">
        <f>IF(B374="","",SUBTOTAL(3,$B$3:B374)-1)</f>
        <v>5</v>
      </c>
      <c r="B374" s="24" t="s">
        <v>480</v>
      </c>
      <c r="C374" s="24" t="s">
        <v>68</v>
      </c>
      <c r="D374" s="163">
        <v>763990916</v>
      </c>
      <c r="E374" s="46">
        <f>($AA$2-O374)*$AB$2+Q374</f>
        <v>0</v>
      </c>
      <c r="F374" s="22">
        <v>9</v>
      </c>
      <c r="G374" s="175"/>
      <c r="H374" s="409" t="s">
        <v>696</v>
      </c>
      <c r="I374" s="187"/>
      <c r="J374" s="67"/>
      <c r="K374" s="194"/>
      <c r="L374" s="180"/>
      <c r="M374" s="180"/>
      <c r="N374" s="180"/>
      <c r="O374" s="181"/>
      <c r="P374" s="237"/>
      <c r="Q374" s="255"/>
      <c r="R374" s="175"/>
      <c r="S374" s="411" t="s">
        <v>661</v>
      </c>
      <c r="T374" s="190"/>
      <c r="U374" s="22"/>
      <c r="V374" s="233"/>
      <c r="W374" s="239"/>
      <c r="X374" s="403"/>
      <c r="Y374" s="258"/>
    </row>
    <row r="375" spans="1:25" hidden="1" x14ac:dyDescent="0.3">
      <c r="A375" s="47">
        <f>IF(B375="","",SUBTOTAL(3,$B$3:B375)-1)</f>
        <v>5</v>
      </c>
      <c r="B375" s="25" t="s">
        <v>220</v>
      </c>
      <c r="C375" s="25" t="s">
        <v>68</v>
      </c>
      <c r="D375" s="163"/>
      <c r="E375" s="46">
        <f>($AA$2-O375)*$AB$2+Q375</f>
        <v>0</v>
      </c>
      <c r="F375" s="22">
        <v>9</v>
      </c>
      <c r="G375" s="175" t="s">
        <v>415</v>
      </c>
      <c r="H375" s="409"/>
      <c r="I375" s="187" t="s">
        <v>634</v>
      </c>
      <c r="J375" s="67"/>
      <c r="K375" s="194"/>
      <c r="L375" s="180"/>
      <c r="M375" s="180"/>
      <c r="N375" s="180"/>
      <c r="O375" s="181"/>
      <c r="P375" s="237"/>
      <c r="Q375" s="255"/>
      <c r="R375" s="175" t="s">
        <v>0</v>
      </c>
      <c r="S375" s="411"/>
      <c r="T375" s="190" t="s">
        <v>0</v>
      </c>
      <c r="U375" s="22"/>
      <c r="V375" s="233"/>
      <c r="W375" s="239"/>
      <c r="X375" s="403"/>
      <c r="Y375" s="258"/>
    </row>
    <row r="376" spans="1:25" hidden="1" x14ac:dyDescent="0.3">
      <c r="A376" s="47">
        <v>372</v>
      </c>
      <c r="B376" s="143" t="s">
        <v>1403</v>
      </c>
      <c r="C376" s="25" t="s">
        <v>68</v>
      </c>
      <c r="D376" s="143"/>
      <c r="E376" s="46" t="s">
        <v>1356</v>
      </c>
      <c r="F376" s="382">
        <v>3</v>
      </c>
      <c r="G376" s="176"/>
      <c r="H376" s="407"/>
      <c r="I376" s="189"/>
      <c r="J376" s="67"/>
      <c r="K376" s="194"/>
      <c r="L376" s="180"/>
      <c r="M376" s="180"/>
      <c r="N376" s="180"/>
      <c r="O376" s="181"/>
      <c r="P376" s="237"/>
      <c r="Q376" s="255"/>
      <c r="R376" s="175"/>
      <c r="S376" s="411"/>
      <c r="T376" s="190"/>
      <c r="U376" s="22"/>
      <c r="V376" s="233"/>
      <c r="W376" s="239"/>
      <c r="X376" s="403"/>
      <c r="Y376" s="258"/>
    </row>
    <row r="377" spans="1:25" hidden="1" x14ac:dyDescent="0.3">
      <c r="A377" s="47">
        <f>IF(B377="","",SUBTOTAL(3,$B$3:B377)-1)</f>
        <v>5</v>
      </c>
      <c r="B377" s="39" t="s">
        <v>526</v>
      </c>
      <c r="C377" s="24" t="s">
        <v>18</v>
      </c>
      <c r="D377" s="163"/>
      <c r="E377" s="46">
        <f>($AA$2-O377)*$AB$2+Q377</f>
        <v>0</v>
      </c>
      <c r="F377" s="22">
        <v>11</v>
      </c>
      <c r="G377" s="175" t="s">
        <v>415</v>
      </c>
      <c r="H377" s="405" t="s">
        <v>635</v>
      </c>
      <c r="I377" s="185"/>
      <c r="J377" s="67"/>
      <c r="K377" s="194"/>
      <c r="L377" s="180"/>
      <c r="M377" s="180"/>
      <c r="N377" s="180"/>
      <c r="O377" s="181"/>
      <c r="P377" s="237"/>
      <c r="Q377" s="255"/>
      <c r="R377" s="175" t="s">
        <v>661</v>
      </c>
      <c r="S377" s="411" t="s">
        <v>2</v>
      </c>
      <c r="T377" s="190"/>
      <c r="U377" s="22"/>
      <c r="V377" s="233"/>
      <c r="W377" s="239"/>
      <c r="X377" s="403"/>
      <c r="Y377" s="258"/>
    </row>
    <row r="378" spans="1:25" hidden="1" x14ac:dyDescent="0.3">
      <c r="A378" s="47">
        <f>IF(B378="","",SUBTOTAL(3,$B$3:B378)-1)</f>
        <v>5</v>
      </c>
      <c r="B378" s="25" t="s">
        <v>345</v>
      </c>
      <c r="C378" s="25" t="s">
        <v>18</v>
      </c>
      <c r="D378" s="163"/>
      <c r="E378" s="46">
        <f>($AA$2-O378)*$AB$2+Q378</f>
        <v>0</v>
      </c>
      <c r="F378" s="22">
        <v>12</v>
      </c>
      <c r="G378" s="175"/>
      <c r="H378" s="405"/>
      <c r="I378" s="185"/>
      <c r="J378" s="67"/>
      <c r="K378" s="194"/>
      <c r="L378" s="67"/>
      <c r="M378" s="67"/>
      <c r="N378" s="67"/>
      <c r="O378" s="73"/>
      <c r="P378" s="237"/>
      <c r="Q378" s="255"/>
      <c r="R378" s="175" t="s">
        <v>415</v>
      </c>
      <c r="S378" s="411"/>
      <c r="T378" s="190"/>
      <c r="U378" s="22"/>
      <c r="V378" s="233"/>
      <c r="W378" s="239"/>
      <c r="X378" s="403"/>
      <c r="Y378" s="258"/>
    </row>
    <row r="379" spans="1:25" hidden="1" x14ac:dyDescent="0.3">
      <c r="A379" s="47">
        <f>IF(B379="","",SUBTOTAL(3,$B$3:B379)-1)</f>
        <v>5</v>
      </c>
      <c r="B379" s="25" t="s">
        <v>616</v>
      </c>
      <c r="C379" s="241" t="s">
        <v>18</v>
      </c>
      <c r="D379" s="163"/>
      <c r="E379" s="46">
        <f>($AA$2-O379)*$AB$2+Q379</f>
        <v>0</v>
      </c>
      <c r="F379" s="22" t="s">
        <v>1213</v>
      </c>
      <c r="G379" s="175"/>
      <c r="H379" s="405"/>
      <c r="I379" s="185"/>
      <c r="J379" s="67"/>
      <c r="K379" s="194"/>
      <c r="L379" s="67"/>
      <c r="M379" s="67"/>
      <c r="N379" s="67"/>
      <c r="O379" s="73"/>
      <c r="P379" s="237"/>
      <c r="Q379" s="255"/>
      <c r="R379" s="175"/>
      <c r="S379" s="411"/>
      <c r="T379" s="190"/>
      <c r="U379" s="22"/>
      <c r="V379" s="233"/>
      <c r="W379" s="239"/>
      <c r="X379" s="403"/>
      <c r="Y379" s="258"/>
    </row>
    <row r="380" spans="1:25" hidden="1" x14ac:dyDescent="0.3">
      <c r="A380" s="47">
        <f>IF(B380="","",SUBTOTAL(3,$B$3:B380)-1)</f>
        <v>5</v>
      </c>
      <c r="B380" s="143" t="s">
        <v>876</v>
      </c>
      <c r="C380" s="143" t="s">
        <v>18</v>
      </c>
      <c r="D380" s="143">
        <v>399308438</v>
      </c>
      <c r="E380" s="46"/>
      <c r="F380" s="22">
        <v>5</v>
      </c>
      <c r="G380" s="176" t="s">
        <v>660</v>
      </c>
      <c r="H380" s="405"/>
      <c r="I380" s="185"/>
      <c r="J380" s="67"/>
      <c r="K380" s="194"/>
      <c r="L380" s="67"/>
      <c r="M380" s="67"/>
      <c r="N380" s="67"/>
      <c r="O380" s="73"/>
      <c r="P380" s="237" t="s">
        <v>1</v>
      </c>
      <c r="Q380" s="255"/>
      <c r="R380" s="175" t="s">
        <v>1</v>
      </c>
      <c r="S380" s="411"/>
      <c r="T380" s="190"/>
      <c r="U380" s="22"/>
      <c r="V380" s="233"/>
      <c r="W380" s="239" t="s">
        <v>0</v>
      </c>
      <c r="X380" s="403"/>
      <c r="Y380" s="258"/>
    </row>
    <row r="381" spans="1:25" hidden="1" x14ac:dyDescent="0.3">
      <c r="A381" s="47">
        <f>IF(B381="","",SUBTOTAL(3,$B$3:B381)-1)</f>
        <v>5</v>
      </c>
      <c r="B381" s="26" t="s">
        <v>151</v>
      </c>
      <c r="C381" s="26" t="s">
        <v>18</v>
      </c>
      <c r="D381" s="163"/>
      <c r="E381" s="46">
        <f>($AA$2-O381)*$AB$2+Q381</f>
        <v>0</v>
      </c>
      <c r="F381" s="369">
        <v>6</v>
      </c>
      <c r="G381" s="175"/>
      <c r="H381" s="405"/>
      <c r="I381" s="185"/>
      <c r="J381" s="67"/>
      <c r="K381" s="194"/>
      <c r="L381" s="67"/>
      <c r="M381" s="67"/>
      <c r="N381" s="67"/>
      <c r="O381" s="73"/>
      <c r="P381" s="237"/>
      <c r="Q381" s="255"/>
      <c r="R381" s="175"/>
      <c r="S381" s="411"/>
      <c r="T381" s="190"/>
      <c r="U381" s="22"/>
      <c r="V381" s="233"/>
      <c r="W381" s="239"/>
      <c r="X381" s="403"/>
      <c r="Y381" s="258"/>
    </row>
    <row r="382" spans="1:25" hidden="1" x14ac:dyDescent="0.3">
      <c r="A382" s="47">
        <f>IF(B382="","",SUBTOTAL(3,$B$3:B382)-1)</f>
        <v>5</v>
      </c>
      <c r="B382" s="143" t="s">
        <v>148</v>
      </c>
      <c r="C382" s="143" t="s">
        <v>18</v>
      </c>
      <c r="D382" s="143"/>
      <c r="E382" s="46"/>
      <c r="F382" s="142">
        <v>6</v>
      </c>
      <c r="G382" s="176" t="s">
        <v>660</v>
      </c>
      <c r="H382" s="406"/>
      <c r="I382" s="188"/>
      <c r="J382" s="142"/>
      <c r="K382" s="196"/>
      <c r="L382" s="67"/>
      <c r="M382" s="67"/>
      <c r="N382" s="67"/>
      <c r="O382" s="73"/>
      <c r="P382" s="237"/>
      <c r="Q382" s="255"/>
      <c r="R382" s="175" t="s">
        <v>0</v>
      </c>
      <c r="S382" s="411"/>
      <c r="T382" s="190"/>
      <c r="U382" s="22"/>
      <c r="V382" s="233"/>
      <c r="W382" s="239"/>
      <c r="X382" s="403"/>
      <c r="Y382" s="258"/>
    </row>
    <row r="383" spans="1:25" hidden="1" x14ac:dyDescent="0.3">
      <c r="A383" s="47">
        <f>IF(B383="","",SUBTOTAL(3,$B$3:B383)-1)</f>
        <v>5</v>
      </c>
      <c r="B383" s="143" t="s">
        <v>148</v>
      </c>
      <c r="C383" s="143" t="s">
        <v>18</v>
      </c>
      <c r="D383" s="143" t="s">
        <v>980</v>
      </c>
      <c r="E383" s="46"/>
      <c r="F383" s="142">
        <v>6</v>
      </c>
      <c r="G383" s="176" t="s">
        <v>660</v>
      </c>
      <c r="H383" s="406"/>
      <c r="I383" s="188"/>
      <c r="J383" s="142"/>
      <c r="K383" s="196"/>
      <c r="L383" s="67"/>
      <c r="M383" s="67"/>
      <c r="N383" s="67"/>
      <c r="O383" s="73"/>
      <c r="P383" s="237" t="s">
        <v>1</v>
      </c>
      <c r="Q383" s="255"/>
      <c r="R383" s="175" t="s">
        <v>0</v>
      </c>
      <c r="S383" s="411"/>
      <c r="T383" s="190"/>
      <c r="U383" s="22"/>
      <c r="V383" s="233"/>
      <c r="W383" s="239" t="s">
        <v>848</v>
      </c>
      <c r="X383" s="403"/>
      <c r="Y383" s="258"/>
    </row>
    <row r="384" spans="1:25" hidden="1" x14ac:dyDescent="0.3">
      <c r="A384" s="47">
        <f>IF(B384="","",SUBTOTAL(3,$B$3:B384)-1)</f>
        <v>5</v>
      </c>
      <c r="B384" s="288" t="s">
        <v>1288</v>
      </c>
      <c r="C384" s="288" t="s">
        <v>18</v>
      </c>
      <c r="D384" s="307">
        <v>939749761</v>
      </c>
      <c r="E384" s="46" t="s">
        <v>1214</v>
      </c>
      <c r="F384" s="300">
        <v>6</v>
      </c>
      <c r="G384" s="175" t="s">
        <v>1332</v>
      </c>
      <c r="H384" s="405" t="s">
        <v>635</v>
      </c>
      <c r="I384" s="185"/>
      <c r="J384" s="71"/>
      <c r="K384" s="194"/>
      <c r="L384" s="67"/>
      <c r="M384" s="67"/>
      <c r="N384" s="67"/>
      <c r="O384" s="73"/>
      <c r="P384" s="237"/>
      <c r="Q384" s="255"/>
      <c r="R384" s="175" t="s">
        <v>2</v>
      </c>
      <c r="S384" s="411"/>
      <c r="T384" s="190"/>
      <c r="U384" s="22"/>
      <c r="V384" s="233"/>
      <c r="W384" s="239"/>
      <c r="X384" s="403"/>
      <c r="Y384" s="320" t="s">
        <v>1320</v>
      </c>
    </row>
    <row r="385" spans="1:25" hidden="1" x14ac:dyDescent="0.3">
      <c r="A385" s="47">
        <f>IF(B385="","",SUBTOTAL(3,$B$3:B385)-1)</f>
        <v>5</v>
      </c>
      <c r="B385" s="275" t="s">
        <v>148</v>
      </c>
      <c r="C385" s="275" t="s">
        <v>18</v>
      </c>
      <c r="D385" s="299" t="s">
        <v>980</v>
      </c>
      <c r="E385" s="46" t="s">
        <v>1214</v>
      </c>
      <c r="F385" s="22">
        <v>6</v>
      </c>
      <c r="G385" s="175" t="s">
        <v>415</v>
      </c>
      <c r="H385" s="405"/>
      <c r="I385" s="185"/>
      <c r="J385" s="71"/>
      <c r="K385" s="194"/>
      <c r="L385" s="67"/>
      <c r="M385" s="67"/>
      <c r="N385" s="67"/>
      <c r="O385" s="73"/>
      <c r="P385" s="237"/>
      <c r="Q385" s="255"/>
      <c r="R385" s="175" t="s">
        <v>848</v>
      </c>
      <c r="S385" s="408">
        <v>6</v>
      </c>
      <c r="T385" s="190"/>
      <c r="U385" s="22"/>
      <c r="V385" s="233"/>
      <c r="W385" s="239"/>
      <c r="X385" s="403"/>
      <c r="Y385" s="258"/>
    </row>
    <row r="386" spans="1:25" hidden="1" x14ac:dyDescent="0.3">
      <c r="A386" s="47">
        <f>IF(B386="","",SUBTOTAL(3,$B$3:B386)-1)</f>
        <v>5</v>
      </c>
      <c r="B386" s="39" t="s">
        <v>1288</v>
      </c>
      <c r="C386" s="39" t="s">
        <v>18</v>
      </c>
      <c r="D386" s="304">
        <v>939749761</v>
      </c>
      <c r="E386" s="46" t="s">
        <v>1214</v>
      </c>
      <c r="F386" s="22">
        <v>6</v>
      </c>
      <c r="G386" s="175" t="s">
        <v>1332</v>
      </c>
      <c r="H386" s="405"/>
      <c r="I386" s="185"/>
      <c r="J386" s="71"/>
      <c r="K386" s="194"/>
      <c r="L386" s="67"/>
      <c r="M386" s="67"/>
      <c r="N386" s="67"/>
      <c r="O386" s="73"/>
      <c r="P386" s="237"/>
      <c r="Q386" s="255"/>
      <c r="R386" s="318" t="s">
        <v>2</v>
      </c>
      <c r="S386" s="408"/>
      <c r="T386" s="190"/>
      <c r="U386" s="22"/>
      <c r="V386" s="233"/>
      <c r="W386" s="239"/>
      <c r="X386" s="403"/>
      <c r="Y386" s="258"/>
    </row>
    <row r="387" spans="1:25" hidden="1" x14ac:dyDescent="0.3">
      <c r="A387" s="47">
        <f>IF(B387="","",SUBTOTAL(3,$B$3:B387)-1)</f>
        <v>5</v>
      </c>
      <c r="B387" s="26" t="s">
        <v>731</v>
      </c>
      <c r="C387" s="26" t="s">
        <v>18</v>
      </c>
      <c r="D387" s="26"/>
      <c r="E387" s="46">
        <f>($AA$2-O387)*$AB$2+Q387</f>
        <v>0</v>
      </c>
      <c r="F387" s="142">
        <v>7</v>
      </c>
      <c r="G387" s="175"/>
      <c r="H387" s="405" t="s">
        <v>635</v>
      </c>
      <c r="I387" s="185"/>
      <c r="J387" s="67"/>
      <c r="K387" s="194"/>
      <c r="L387" s="67"/>
      <c r="M387" s="67"/>
      <c r="N387" s="67"/>
      <c r="O387" s="73"/>
      <c r="P387" s="237"/>
      <c r="Q387" s="255"/>
      <c r="R387" s="175"/>
      <c r="S387" s="411" t="s">
        <v>2</v>
      </c>
      <c r="T387" s="190"/>
      <c r="U387" s="22"/>
      <c r="V387" s="233"/>
      <c r="W387" s="239"/>
      <c r="X387" s="403"/>
      <c r="Y387" s="258"/>
    </row>
    <row r="388" spans="1:25" hidden="1" x14ac:dyDescent="0.3">
      <c r="A388" s="47">
        <f>IF(B388="","",SUBTOTAL(3,$B$3:B388)-1)</f>
        <v>5</v>
      </c>
      <c r="B388" s="39" t="s">
        <v>1105</v>
      </c>
      <c r="C388" s="24" t="s">
        <v>18</v>
      </c>
      <c r="D388" s="163"/>
      <c r="E388" s="46"/>
      <c r="F388" s="142">
        <v>7</v>
      </c>
      <c r="G388" s="176" t="s">
        <v>415</v>
      </c>
      <c r="H388" s="406" t="s">
        <v>635</v>
      </c>
      <c r="I388" s="185" t="s">
        <v>634</v>
      </c>
      <c r="J388" s="67"/>
      <c r="K388" s="194"/>
      <c r="L388" s="180"/>
      <c r="M388" s="180"/>
      <c r="N388" s="180"/>
      <c r="O388" s="181"/>
      <c r="P388" s="237"/>
      <c r="Q388" s="255"/>
      <c r="R388" s="175" t="s">
        <v>2</v>
      </c>
      <c r="S388" s="411" t="s">
        <v>635</v>
      </c>
      <c r="T388" s="190" t="s">
        <v>0</v>
      </c>
      <c r="U388" s="22"/>
      <c r="V388" s="233"/>
      <c r="W388" s="239"/>
      <c r="X388" s="403"/>
      <c r="Y388" s="258"/>
    </row>
    <row r="389" spans="1:25" hidden="1" x14ac:dyDescent="0.3">
      <c r="A389" s="47">
        <f>IF(B389="","",SUBTOTAL(3,$B$3:B389)-1)</f>
        <v>5</v>
      </c>
      <c r="B389" s="25" t="s">
        <v>176</v>
      </c>
      <c r="C389" s="25" t="s">
        <v>18</v>
      </c>
      <c r="D389" s="163"/>
      <c r="E389" s="46">
        <f>($AA$2-O389)*$AB$2+Q389</f>
        <v>0</v>
      </c>
      <c r="F389" s="22">
        <v>8</v>
      </c>
      <c r="G389" s="175" t="s">
        <v>415</v>
      </c>
      <c r="H389" s="405" t="s">
        <v>635</v>
      </c>
      <c r="I389" s="185"/>
      <c r="J389" s="67" t="s">
        <v>661</v>
      </c>
      <c r="K389" s="194"/>
      <c r="L389" s="180"/>
      <c r="M389" s="180"/>
      <c r="N389" s="180"/>
      <c r="O389" s="181"/>
      <c r="P389" s="237"/>
      <c r="Q389" s="255"/>
      <c r="R389" s="175" t="s">
        <v>0</v>
      </c>
      <c r="S389" s="411" t="s">
        <v>1</v>
      </c>
      <c r="T389" s="190"/>
      <c r="U389" s="22" t="s">
        <v>0</v>
      </c>
      <c r="V389" s="233"/>
      <c r="W389" s="239"/>
      <c r="X389" s="403"/>
      <c r="Y389" s="258"/>
    </row>
    <row r="390" spans="1:25" hidden="1" x14ac:dyDescent="0.3">
      <c r="A390" s="47">
        <f>IF(B390="","",SUBTOTAL(3,$B$3:B390)-1)</f>
        <v>5</v>
      </c>
      <c r="B390" s="380" t="s">
        <v>1288</v>
      </c>
      <c r="C390" s="380" t="s">
        <v>18</v>
      </c>
      <c r="D390" s="380">
        <v>325303877</v>
      </c>
      <c r="E390" s="46" t="s">
        <v>1356</v>
      </c>
      <c r="F390" s="382">
        <v>8</v>
      </c>
      <c r="G390" s="175" t="s">
        <v>415</v>
      </c>
      <c r="H390" s="405" t="s">
        <v>660</v>
      </c>
      <c r="I390" s="185"/>
      <c r="J390" s="71"/>
      <c r="K390" s="194"/>
      <c r="L390" s="67"/>
      <c r="M390" s="67"/>
      <c r="N390" s="67"/>
      <c r="O390" s="73"/>
      <c r="P390" s="237"/>
      <c r="Q390" s="255"/>
      <c r="R390" s="175" t="s">
        <v>2</v>
      </c>
      <c r="S390" s="411" t="s">
        <v>0</v>
      </c>
      <c r="T390" s="190"/>
      <c r="U390" s="22"/>
      <c r="V390" s="233"/>
      <c r="W390" s="239"/>
      <c r="X390" s="403"/>
      <c r="Y390" s="383" t="s">
        <v>1379</v>
      </c>
    </row>
    <row r="391" spans="1:25" hidden="1" x14ac:dyDescent="0.3">
      <c r="A391" s="47">
        <f>IF(B391="","",SUBTOTAL(3,$B$3:B391)-1)</f>
        <v>5</v>
      </c>
      <c r="B391" s="24" t="s">
        <v>479</v>
      </c>
      <c r="C391" s="24" t="s">
        <v>18</v>
      </c>
      <c r="D391" s="163"/>
      <c r="E391" s="46">
        <f>($AA$2-O391)*$AB$2+Q391</f>
        <v>0</v>
      </c>
      <c r="F391" s="22">
        <v>9</v>
      </c>
      <c r="G391" s="175" t="s">
        <v>415</v>
      </c>
      <c r="H391" s="409" t="s">
        <v>660</v>
      </c>
      <c r="I391" s="190"/>
      <c r="J391" s="68"/>
      <c r="K391" s="195"/>
      <c r="L391" s="182"/>
      <c r="M391" s="182"/>
      <c r="N391" s="182"/>
      <c r="O391" s="181"/>
      <c r="P391" s="237"/>
      <c r="Q391" s="255"/>
      <c r="R391" s="175" t="s">
        <v>1</v>
      </c>
      <c r="S391" s="411" t="s">
        <v>1</v>
      </c>
      <c r="T391" s="190"/>
      <c r="U391" s="22"/>
      <c r="V391" s="233"/>
      <c r="W391" s="239"/>
      <c r="X391" s="403"/>
      <c r="Y391" s="258"/>
    </row>
    <row r="392" spans="1:25" hidden="1" x14ac:dyDescent="0.3">
      <c r="A392" s="47">
        <f>IF(B392="","",SUBTOTAL(3,$B$3:B392)-1)</f>
        <v>5</v>
      </c>
      <c r="B392" s="269" t="s">
        <v>1274</v>
      </c>
      <c r="C392" s="269" t="s">
        <v>23</v>
      </c>
      <c r="D392" s="269">
        <v>397502839</v>
      </c>
      <c r="E392" s="46" t="s">
        <v>1214</v>
      </c>
      <c r="F392" s="300">
        <v>3</v>
      </c>
      <c r="G392" s="175" t="s">
        <v>660</v>
      </c>
      <c r="H392" s="405"/>
      <c r="I392" s="185"/>
      <c r="J392" s="71"/>
      <c r="K392" s="194"/>
      <c r="L392" s="67"/>
      <c r="M392" s="67"/>
      <c r="N392" s="67"/>
      <c r="O392" s="73"/>
      <c r="P392" s="237"/>
      <c r="Q392" s="255"/>
      <c r="R392" s="175" t="s">
        <v>0</v>
      </c>
      <c r="S392" s="411"/>
      <c r="T392" s="190"/>
      <c r="U392" s="22"/>
      <c r="V392" s="233"/>
      <c r="W392" s="239"/>
      <c r="X392" s="403"/>
      <c r="Y392" s="323" t="s">
        <v>1023</v>
      </c>
    </row>
    <row r="393" spans="1:25" hidden="1" x14ac:dyDescent="0.3">
      <c r="A393" s="47">
        <f>IF(B393="","",SUBTOTAL(3,$B$3:B393)-1)</f>
        <v>5</v>
      </c>
      <c r="B393" s="26" t="s">
        <v>476</v>
      </c>
      <c r="C393" s="26" t="s">
        <v>23</v>
      </c>
      <c r="D393" s="163">
        <v>325376472</v>
      </c>
      <c r="E393" s="46">
        <f>($AA$2-O393)*$AB$2+Q393</f>
        <v>0</v>
      </c>
      <c r="F393" s="142">
        <v>4</v>
      </c>
      <c r="G393" s="175" t="s">
        <v>826</v>
      </c>
      <c r="H393" s="408" t="s">
        <v>634</v>
      </c>
      <c r="I393" s="186" t="s">
        <v>634</v>
      </c>
      <c r="J393" s="68"/>
      <c r="K393" s="195"/>
      <c r="L393" s="68"/>
      <c r="M393" s="68"/>
      <c r="N393" s="68"/>
      <c r="O393" s="73"/>
      <c r="P393" s="237"/>
      <c r="Q393" s="255"/>
      <c r="R393" s="175" t="s">
        <v>1</v>
      </c>
      <c r="S393" s="411"/>
      <c r="T393" s="190" t="s">
        <v>0</v>
      </c>
      <c r="U393" s="22"/>
      <c r="V393" s="233"/>
      <c r="W393" s="239"/>
      <c r="X393" s="403"/>
      <c r="Y393" s="258"/>
    </row>
    <row r="394" spans="1:25" ht="37.5" hidden="1" x14ac:dyDescent="0.3">
      <c r="A394" s="47">
        <f>IF(B394="","",SUBTOTAL(3,$B$3:B394)-1)</f>
        <v>5</v>
      </c>
      <c r="B394" s="265" t="s">
        <v>996</v>
      </c>
      <c r="C394" s="265" t="s">
        <v>23</v>
      </c>
      <c r="D394" s="265" t="s">
        <v>1312</v>
      </c>
      <c r="E394" s="46" t="s">
        <v>1214</v>
      </c>
      <c r="F394" s="300">
        <v>4</v>
      </c>
      <c r="G394" s="175"/>
      <c r="H394" s="405" t="s">
        <v>634</v>
      </c>
      <c r="I394" s="185"/>
      <c r="J394" s="71"/>
      <c r="K394" s="194"/>
      <c r="L394" s="67"/>
      <c r="M394" s="67"/>
      <c r="N394" s="67"/>
      <c r="O394" s="73"/>
      <c r="P394" s="237"/>
      <c r="Q394" s="255"/>
      <c r="R394" s="175"/>
      <c r="S394" s="411"/>
      <c r="T394" s="190"/>
      <c r="U394" s="22"/>
      <c r="V394" s="233"/>
      <c r="W394" s="239"/>
      <c r="X394" s="403"/>
      <c r="Y394" s="320">
        <v>4</v>
      </c>
    </row>
    <row r="395" spans="1:25" hidden="1" x14ac:dyDescent="0.3">
      <c r="A395" s="47">
        <f>IF(B395="","",SUBTOTAL(3,$B$3:B395)-1)</f>
        <v>5</v>
      </c>
      <c r="B395" s="25" t="s">
        <v>549</v>
      </c>
      <c r="C395" s="25" t="s">
        <v>23</v>
      </c>
      <c r="D395" s="163">
        <v>762681356</v>
      </c>
      <c r="E395" s="46">
        <v>0</v>
      </c>
      <c r="F395" s="22">
        <v>10</v>
      </c>
      <c r="G395" s="175"/>
      <c r="H395" s="405"/>
      <c r="I395" s="185"/>
      <c r="J395" s="71"/>
      <c r="K395" s="194"/>
      <c r="L395" s="67"/>
      <c r="M395" s="67"/>
      <c r="N395" s="67"/>
      <c r="O395" s="73"/>
      <c r="P395" s="237"/>
      <c r="Q395" s="255"/>
      <c r="R395" s="175"/>
      <c r="S395" s="411"/>
      <c r="T395" s="190"/>
      <c r="U395" s="22"/>
      <c r="V395" s="233"/>
      <c r="W395" s="239"/>
      <c r="X395" s="403"/>
      <c r="Y395" s="258"/>
    </row>
    <row r="396" spans="1:25" hidden="1" x14ac:dyDescent="0.3">
      <c r="A396" s="47">
        <f>IF(B396="","",SUBTOTAL(3,$B$3:B396)-1)</f>
        <v>5</v>
      </c>
      <c r="B396" s="24" t="s">
        <v>324</v>
      </c>
      <c r="C396" s="24" t="s">
        <v>23</v>
      </c>
      <c r="D396" s="39"/>
      <c r="E396" s="46">
        <f>($AA$2-O396)*$AB$2+Q396</f>
        <v>0</v>
      </c>
      <c r="F396" s="22">
        <v>11</v>
      </c>
      <c r="G396" s="175"/>
      <c r="H396" s="405" t="s">
        <v>635</v>
      </c>
      <c r="I396" s="185"/>
      <c r="J396" s="67"/>
      <c r="K396" s="194"/>
      <c r="L396" s="67"/>
      <c r="M396" s="67"/>
      <c r="N396" s="67"/>
      <c r="O396" s="73"/>
      <c r="P396" s="237"/>
      <c r="Q396" s="255"/>
      <c r="R396" s="175"/>
      <c r="S396" s="411" t="s">
        <v>0</v>
      </c>
      <c r="T396" s="190"/>
      <c r="U396" s="22"/>
      <c r="V396" s="233"/>
      <c r="W396" s="239"/>
      <c r="X396" s="403"/>
      <c r="Y396" s="258"/>
    </row>
    <row r="397" spans="1:25" hidden="1" x14ac:dyDescent="0.3">
      <c r="A397" s="47">
        <f>IF(B397="","",SUBTOTAL(3,$B$3:B397)-1)</f>
        <v>5</v>
      </c>
      <c r="B397" s="24" t="s">
        <v>553</v>
      </c>
      <c r="C397" s="39" t="s">
        <v>23</v>
      </c>
      <c r="D397" s="24">
        <v>357142043</v>
      </c>
      <c r="E397" s="46">
        <f>($AA$2-O397)*$AB$2+Q397</f>
        <v>0</v>
      </c>
      <c r="F397" s="22">
        <v>11</v>
      </c>
      <c r="G397" s="175" t="s">
        <v>660</v>
      </c>
      <c r="H397" s="405" t="s">
        <v>1</v>
      </c>
      <c r="I397" s="185"/>
      <c r="J397" s="67"/>
      <c r="K397" s="194"/>
      <c r="L397" s="180"/>
      <c r="M397" s="180"/>
      <c r="N397" s="180"/>
      <c r="O397" s="181"/>
      <c r="P397" s="237"/>
      <c r="Q397" s="255"/>
      <c r="R397" s="175" t="s">
        <v>1</v>
      </c>
      <c r="S397" s="411" t="s">
        <v>0</v>
      </c>
      <c r="T397" s="190"/>
      <c r="U397" s="22"/>
      <c r="V397" s="233"/>
      <c r="W397" s="239"/>
      <c r="X397" s="403"/>
      <c r="Y397" s="258"/>
    </row>
    <row r="398" spans="1:25" hidden="1" x14ac:dyDescent="0.3">
      <c r="A398" s="47">
        <f>IF(B398="","",SUBTOTAL(3,$B$3:B398)-1)</f>
        <v>5</v>
      </c>
      <c r="B398" s="24" t="s">
        <v>364</v>
      </c>
      <c r="C398" s="24" t="s">
        <v>23</v>
      </c>
      <c r="D398" s="163"/>
      <c r="E398" s="46">
        <f>($AA$2-O398)*$AB$2+Q398</f>
        <v>0</v>
      </c>
      <c r="F398" s="22">
        <v>12</v>
      </c>
      <c r="G398" s="175"/>
      <c r="H398" s="405"/>
      <c r="I398" s="185"/>
      <c r="J398" s="67"/>
      <c r="K398" s="194"/>
      <c r="L398" s="67"/>
      <c r="M398" s="67"/>
      <c r="N398" s="67"/>
      <c r="O398" s="73"/>
      <c r="P398" s="237"/>
      <c r="Q398" s="255"/>
      <c r="R398" s="175" t="s">
        <v>415</v>
      </c>
      <c r="S398" s="411"/>
      <c r="T398" s="190"/>
      <c r="U398" s="22"/>
      <c r="V398" s="233"/>
      <c r="W398" s="239"/>
      <c r="X398" s="403"/>
      <c r="Y398" s="258"/>
    </row>
    <row r="399" spans="1:25" hidden="1" x14ac:dyDescent="0.3">
      <c r="A399" s="47">
        <f>IF(B399="","",SUBTOTAL(3,$B$3:B399)-1)</f>
        <v>5</v>
      </c>
      <c r="B399" s="25" t="s">
        <v>308</v>
      </c>
      <c r="C399" s="25" t="s">
        <v>23</v>
      </c>
      <c r="D399" s="163"/>
      <c r="E399" s="46">
        <f>($AA$2-O399)*$AB$2+Q399</f>
        <v>0</v>
      </c>
      <c r="F399" s="22">
        <v>11</v>
      </c>
      <c r="G399" s="175" t="s">
        <v>415</v>
      </c>
      <c r="H399" s="405"/>
      <c r="I399" s="185"/>
      <c r="J399" s="67"/>
      <c r="K399" s="194"/>
      <c r="L399" s="180"/>
      <c r="M399" s="180"/>
      <c r="N399" s="180"/>
      <c r="O399" s="181"/>
      <c r="P399" s="237"/>
      <c r="Q399" s="255"/>
      <c r="R399" s="175"/>
      <c r="S399" s="411"/>
      <c r="T399" s="190"/>
      <c r="U399" s="22"/>
      <c r="V399" s="233"/>
      <c r="W399" s="239"/>
      <c r="X399" s="403"/>
      <c r="Y399" s="258"/>
    </row>
    <row r="400" spans="1:25" hidden="1" x14ac:dyDescent="0.3">
      <c r="A400" s="47">
        <f>IF(B400="","",SUBTOTAL(3,$B$3:B400)-1)</f>
        <v>5</v>
      </c>
      <c r="B400" s="25" t="s">
        <v>549</v>
      </c>
      <c r="C400" s="25" t="s">
        <v>23</v>
      </c>
      <c r="D400" s="163"/>
      <c r="E400" s="46"/>
      <c r="F400" s="22">
        <v>10</v>
      </c>
      <c r="G400" s="175" t="s">
        <v>415</v>
      </c>
      <c r="H400" s="405"/>
      <c r="I400" s="185"/>
      <c r="J400" s="71"/>
      <c r="K400" s="194"/>
      <c r="L400" s="67"/>
      <c r="M400" s="67"/>
      <c r="N400" s="67"/>
      <c r="O400" s="73"/>
      <c r="P400" s="237"/>
      <c r="Q400" s="255"/>
      <c r="R400" s="175" t="s">
        <v>1</v>
      </c>
      <c r="S400" s="411"/>
      <c r="T400" s="190"/>
      <c r="U400" s="22"/>
      <c r="V400" s="233"/>
      <c r="W400" s="239"/>
      <c r="X400" s="403"/>
      <c r="Y400" s="258"/>
    </row>
    <row r="401" spans="1:25" x14ac:dyDescent="0.3">
      <c r="A401" s="47">
        <f>IF(B401="","",SUBTOTAL(3,$B$3:B401)-1)</f>
        <v>6</v>
      </c>
      <c r="B401" s="26" t="s">
        <v>158</v>
      </c>
      <c r="C401" s="26" t="s">
        <v>23</v>
      </c>
      <c r="D401" s="164"/>
      <c r="E401" s="46">
        <f>($AA$2-O401)*$AB$2+Q401</f>
        <v>0</v>
      </c>
      <c r="F401" s="142">
        <v>6</v>
      </c>
      <c r="G401" s="175" t="s">
        <v>660</v>
      </c>
      <c r="H401" s="405" t="s">
        <v>634</v>
      </c>
      <c r="I401" s="185" t="s">
        <v>634</v>
      </c>
      <c r="J401" s="67"/>
      <c r="K401" s="194"/>
      <c r="L401" s="67"/>
      <c r="M401" s="67"/>
      <c r="N401" s="67"/>
      <c r="O401" s="73"/>
      <c r="P401" s="237"/>
      <c r="Q401" s="255"/>
      <c r="R401" s="175" t="s">
        <v>0</v>
      </c>
      <c r="S401" s="411"/>
      <c r="T401" s="190" t="s">
        <v>0</v>
      </c>
      <c r="U401" s="22"/>
      <c r="V401" s="233"/>
      <c r="W401" s="239"/>
      <c r="X401" s="403"/>
      <c r="Y401" s="258"/>
    </row>
    <row r="402" spans="1:25" hidden="1" x14ac:dyDescent="0.3">
      <c r="A402" s="47">
        <f>IF(B402="","",SUBTOTAL(3,$B$3:B402)-1)</f>
        <v>6</v>
      </c>
      <c r="B402" s="269" t="s">
        <v>1247</v>
      </c>
      <c r="C402" s="269" t="s">
        <v>23</v>
      </c>
      <c r="D402" s="301">
        <v>363230876</v>
      </c>
      <c r="E402" s="46" t="s">
        <v>1214</v>
      </c>
      <c r="F402" s="22">
        <v>6</v>
      </c>
      <c r="G402" s="175" t="s">
        <v>415</v>
      </c>
      <c r="H402" s="405"/>
      <c r="I402" s="185"/>
      <c r="J402" s="71"/>
      <c r="K402" s="194"/>
      <c r="L402" s="67"/>
      <c r="M402" s="67"/>
      <c r="N402" s="67"/>
      <c r="O402" s="73"/>
      <c r="P402" s="237"/>
      <c r="Q402" s="255"/>
      <c r="R402" s="318" t="s">
        <v>0</v>
      </c>
      <c r="S402" s="408" t="s">
        <v>1</v>
      </c>
      <c r="T402" s="190"/>
      <c r="U402" s="22"/>
      <c r="V402" s="233"/>
      <c r="W402" s="239"/>
      <c r="X402" s="403"/>
      <c r="Y402" s="258"/>
    </row>
    <row r="403" spans="1:25" hidden="1" x14ac:dyDescent="0.3">
      <c r="A403" s="47">
        <f>IF(B403="","",SUBTOTAL(3,$B$3:B403)-1)</f>
        <v>6</v>
      </c>
      <c r="B403" s="39" t="s">
        <v>595</v>
      </c>
      <c r="C403" s="24" t="s">
        <v>23</v>
      </c>
      <c r="D403" s="163"/>
      <c r="E403" s="46"/>
      <c r="F403" s="142">
        <v>7</v>
      </c>
      <c r="G403" s="176"/>
      <c r="H403" s="406"/>
      <c r="I403" s="185"/>
      <c r="J403" s="67"/>
      <c r="K403" s="194"/>
      <c r="L403" s="180"/>
      <c r="M403" s="180"/>
      <c r="N403" s="180"/>
      <c r="O403" s="181"/>
      <c r="P403" s="237"/>
      <c r="Q403" s="255"/>
      <c r="R403" s="175" t="s">
        <v>661</v>
      </c>
      <c r="S403" s="411"/>
      <c r="T403" s="190"/>
      <c r="U403" s="22"/>
      <c r="V403" s="233"/>
      <c r="W403" s="239"/>
      <c r="X403" s="403"/>
      <c r="Y403" s="258"/>
    </row>
    <row r="404" spans="1:25" hidden="1" x14ac:dyDescent="0.3">
      <c r="A404" s="47">
        <f>IF(B404="","",SUBTOTAL(3,$B$3:B404)-1)</f>
        <v>6</v>
      </c>
      <c r="B404" s="26" t="s">
        <v>549</v>
      </c>
      <c r="C404" s="26" t="s">
        <v>23</v>
      </c>
      <c r="D404" s="164"/>
      <c r="E404" s="46"/>
      <c r="F404" s="22">
        <v>8</v>
      </c>
      <c r="G404" s="175"/>
      <c r="H404" s="405" t="s">
        <v>635</v>
      </c>
      <c r="I404" s="185"/>
      <c r="J404" s="67"/>
      <c r="K404" s="194"/>
      <c r="L404" s="67"/>
      <c r="M404" s="67"/>
      <c r="N404" s="67"/>
      <c r="O404" s="73"/>
      <c r="P404" s="237"/>
      <c r="Q404" s="255"/>
      <c r="R404" s="175"/>
      <c r="S404" s="411" t="s">
        <v>2</v>
      </c>
      <c r="T404" s="190"/>
      <c r="U404" s="22"/>
      <c r="V404" s="233"/>
      <c r="W404" s="239"/>
      <c r="X404" s="403"/>
      <c r="Y404" s="258"/>
    </row>
    <row r="405" spans="1:25" hidden="1" x14ac:dyDescent="0.3">
      <c r="A405" s="47">
        <f>IF(B405="","",SUBTOTAL(3,$B$3:B405)-1)</f>
        <v>6</v>
      </c>
      <c r="B405" s="3" t="s">
        <v>996</v>
      </c>
      <c r="C405" s="26" t="s">
        <v>23</v>
      </c>
      <c r="D405" s="26"/>
      <c r="E405" s="46"/>
      <c r="F405" s="22">
        <v>8</v>
      </c>
      <c r="G405" s="175" t="s">
        <v>415</v>
      </c>
      <c r="H405" s="405" t="s">
        <v>660</v>
      </c>
      <c r="I405" s="185"/>
      <c r="J405" s="67"/>
      <c r="K405" s="194"/>
      <c r="L405" s="67"/>
      <c r="M405" s="67"/>
      <c r="N405" s="67"/>
      <c r="O405" s="73"/>
      <c r="P405" s="237"/>
      <c r="Q405" s="255"/>
      <c r="R405" s="175" t="s">
        <v>1</v>
      </c>
      <c r="S405" s="411" t="s">
        <v>0</v>
      </c>
      <c r="T405" s="190"/>
      <c r="U405" s="22"/>
      <c r="V405" s="233"/>
      <c r="W405" s="239"/>
      <c r="X405" s="403"/>
      <c r="Y405" s="258"/>
    </row>
    <row r="406" spans="1:25" hidden="1" x14ac:dyDescent="0.3">
      <c r="A406" s="47">
        <f>IF(B406="","",SUBTOTAL(3,$B$3:B406)-1)</f>
        <v>6</v>
      </c>
      <c r="B406" s="24" t="s">
        <v>833</v>
      </c>
      <c r="C406" s="24" t="s">
        <v>23</v>
      </c>
      <c r="D406" s="25"/>
      <c r="E406" s="46"/>
      <c r="F406" s="22">
        <v>8</v>
      </c>
      <c r="G406" s="175" t="s">
        <v>415</v>
      </c>
      <c r="H406" s="405" t="s">
        <v>660</v>
      </c>
      <c r="I406" s="185" t="s">
        <v>634</v>
      </c>
      <c r="J406" s="71"/>
      <c r="K406" s="194"/>
      <c r="L406" s="67"/>
      <c r="M406" s="67"/>
      <c r="N406" s="67"/>
      <c r="O406" s="73"/>
      <c r="P406" s="237"/>
      <c r="Q406" s="255"/>
      <c r="R406" s="175" t="s">
        <v>0</v>
      </c>
      <c r="S406" s="411" t="s">
        <v>0</v>
      </c>
      <c r="T406" s="190" t="s">
        <v>0</v>
      </c>
      <c r="U406" s="22"/>
      <c r="V406" s="233"/>
      <c r="W406" s="239"/>
      <c r="X406" s="403"/>
      <c r="Y406" s="258"/>
    </row>
    <row r="407" spans="1:25" hidden="1" x14ac:dyDescent="0.3">
      <c r="A407" s="47">
        <f>IF(B407="","",SUBTOTAL(3,$B$3:B407)-1)</f>
        <v>6</v>
      </c>
      <c r="B407" s="269" t="s">
        <v>149</v>
      </c>
      <c r="C407" s="269" t="s">
        <v>23</v>
      </c>
      <c r="D407" s="269">
        <v>976109913</v>
      </c>
      <c r="E407" s="46" t="s">
        <v>1214</v>
      </c>
      <c r="F407" s="301">
        <v>8</v>
      </c>
      <c r="G407" s="175" t="s">
        <v>415</v>
      </c>
      <c r="H407" s="405" t="s">
        <v>635</v>
      </c>
      <c r="I407" s="185"/>
      <c r="J407" s="71"/>
      <c r="K407" s="194"/>
      <c r="L407" s="67"/>
      <c r="M407" s="67"/>
      <c r="N407" s="67"/>
      <c r="O407" s="73"/>
      <c r="P407" s="237"/>
      <c r="Q407" s="255"/>
      <c r="R407" s="175" t="s">
        <v>2</v>
      </c>
      <c r="S407" s="411" t="s">
        <v>2</v>
      </c>
      <c r="T407" s="190"/>
      <c r="U407" s="22"/>
      <c r="V407" s="233"/>
      <c r="W407" s="239"/>
      <c r="X407" s="403"/>
      <c r="Y407" s="323" t="s">
        <v>1324</v>
      </c>
    </row>
    <row r="408" spans="1:25" hidden="1" x14ac:dyDescent="0.3">
      <c r="A408" s="47">
        <f>IF(B408="","",SUBTOTAL(3,$B$3:B408)-1)</f>
        <v>6</v>
      </c>
      <c r="B408" s="24" t="s">
        <v>228</v>
      </c>
      <c r="C408" s="24" t="s">
        <v>23</v>
      </c>
      <c r="D408" s="163"/>
      <c r="E408" s="46">
        <f>($AA$2-O408)*$AB$2+Q408</f>
        <v>0</v>
      </c>
      <c r="F408" s="22">
        <v>9</v>
      </c>
      <c r="G408" s="175"/>
      <c r="H408" s="409" t="s">
        <v>635</v>
      </c>
      <c r="I408" s="187"/>
      <c r="J408" s="67"/>
      <c r="K408" s="194"/>
      <c r="L408" s="67"/>
      <c r="M408" s="67"/>
      <c r="N408" s="67"/>
      <c r="O408" s="73"/>
      <c r="P408" s="237"/>
      <c r="Q408" s="255"/>
      <c r="R408" s="175"/>
      <c r="S408" s="411" t="s">
        <v>2</v>
      </c>
      <c r="T408" s="190"/>
      <c r="U408" s="22"/>
      <c r="V408" s="233"/>
      <c r="W408" s="239"/>
      <c r="X408" s="403"/>
      <c r="Y408" s="258"/>
    </row>
    <row r="409" spans="1:25" hidden="1" x14ac:dyDescent="0.3">
      <c r="A409" s="47">
        <f>IF(B409="","",SUBTOTAL(3,$B$3:B409)-1)</f>
        <v>6</v>
      </c>
      <c r="B409" s="24" t="s">
        <v>503</v>
      </c>
      <c r="C409" s="24" t="s">
        <v>23</v>
      </c>
      <c r="D409" s="163"/>
      <c r="E409" s="46">
        <f>($AA$2-O409)*$AB$2+Q409</f>
        <v>0</v>
      </c>
      <c r="F409" s="22">
        <v>9</v>
      </c>
      <c r="G409" s="175" t="s">
        <v>415</v>
      </c>
      <c r="H409" s="409"/>
      <c r="I409" s="187"/>
      <c r="J409" s="67"/>
      <c r="K409" s="194"/>
      <c r="L409" s="180"/>
      <c r="M409" s="180"/>
      <c r="N409" s="180"/>
      <c r="O409" s="181"/>
      <c r="P409" s="237"/>
      <c r="Q409" s="255"/>
      <c r="R409" s="175" t="s">
        <v>2</v>
      </c>
      <c r="S409" s="411"/>
      <c r="T409" s="190"/>
      <c r="U409" s="22"/>
      <c r="V409" s="233"/>
      <c r="W409" s="239"/>
      <c r="X409" s="403"/>
      <c r="Y409" s="258"/>
    </row>
    <row r="410" spans="1:25" hidden="1" x14ac:dyDescent="0.3">
      <c r="A410" s="47">
        <f>IF(B410="","",SUBTOTAL(3,$B$3:B410)-1)</f>
        <v>6</v>
      </c>
      <c r="B410" s="265" t="s">
        <v>1311</v>
      </c>
      <c r="C410" s="265" t="s">
        <v>113</v>
      </c>
      <c r="D410" s="265">
        <v>977296422</v>
      </c>
      <c r="E410" s="46" t="s">
        <v>1214</v>
      </c>
      <c r="F410" s="301">
        <v>1</v>
      </c>
      <c r="G410" s="175" t="s">
        <v>826</v>
      </c>
      <c r="H410" s="405"/>
      <c r="I410" s="185"/>
      <c r="J410" s="71"/>
      <c r="K410" s="194"/>
      <c r="L410" s="67"/>
      <c r="M410" s="67"/>
      <c r="N410" s="67"/>
      <c r="O410" s="73"/>
      <c r="P410" s="237"/>
      <c r="Q410" s="255"/>
      <c r="R410" s="175" t="s">
        <v>0</v>
      </c>
      <c r="S410" s="411"/>
      <c r="T410" s="190"/>
      <c r="U410" s="22"/>
      <c r="V410" s="233"/>
      <c r="W410" s="239"/>
      <c r="X410" s="403"/>
      <c r="Y410" s="320" t="s">
        <v>1331</v>
      </c>
    </row>
    <row r="411" spans="1:25" hidden="1" x14ac:dyDescent="0.3">
      <c r="A411" s="47">
        <f>IF(B411="","",SUBTOTAL(3,$B$3:B411)-1)</f>
        <v>6</v>
      </c>
      <c r="B411" s="26" t="s">
        <v>13</v>
      </c>
      <c r="C411" s="26" t="s">
        <v>113</v>
      </c>
      <c r="D411" s="26">
        <v>392698573</v>
      </c>
      <c r="E411" s="46"/>
      <c r="F411" s="22">
        <v>2</v>
      </c>
      <c r="G411" s="175"/>
      <c r="H411" s="405" t="s">
        <v>860</v>
      </c>
      <c r="I411" s="185" t="s">
        <v>860</v>
      </c>
      <c r="J411" s="67"/>
      <c r="K411" s="194" t="s">
        <v>721</v>
      </c>
      <c r="L411" s="180"/>
      <c r="M411" s="180"/>
      <c r="N411" s="180"/>
      <c r="O411" s="181"/>
      <c r="P411" s="237"/>
      <c r="Q411" s="255"/>
      <c r="R411" s="175"/>
      <c r="S411" s="411"/>
      <c r="T411" s="190" t="s">
        <v>1</v>
      </c>
      <c r="U411" s="22"/>
      <c r="V411" s="233"/>
      <c r="W411" s="239"/>
      <c r="X411" s="403"/>
      <c r="Y411" s="258"/>
    </row>
    <row r="412" spans="1:25" hidden="1" x14ac:dyDescent="0.3">
      <c r="A412" s="47">
        <f>IF(B412="","",SUBTOTAL(3,$B$3:B412)-1)</f>
        <v>6</v>
      </c>
      <c r="B412" s="26" t="s">
        <v>13</v>
      </c>
      <c r="C412" s="26" t="s">
        <v>113</v>
      </c>
      <c r="D412" s="26">
        <v>911826518</v>
      </c>
      <c r="E412" s="46"/>
      <c r="F412" s="22">
        <v>2</v>
      </c>
      <c r="G412" s="175"/>
      <c r="H412" s="405" t="s">
        <v>860</v>
      </c>
      <c r="I412" s="185" t="s">
        <v>860</v>
      </c>
      <c r="J412" s="67"/>
      <c r="K412" s="194" t="s">
        <v>721</v>
      </c>
      <c r="L412" s="180"/>
      <c r="M412" s="180"/>
      <c r="N412" s="180"/>
      <c r="O412" s="181"/>
      <c r="P412" s="237"/>
      <c r="Q412" s="255"/>
      <c r="R412" s="175"/>
      <c r="S412" s="411"/>
      <c r="T412" s="190" t="s">
        <v>1</v>
      </c>
      <c r="U412" s="22"/>
      <c r="V412" s="233"/>
      <c r="W412" s="239"/>
      <c r="X412" s="403"/>
      <c r="Y412" s="258"/>
    </row>
    <row r="413" spans="1:25" hidden="1" x14ac:dyDescent="0.3">
      <c r="A413" s="47">
        <f>IF(B413="","",SUBTOTAL(3,$B$3:B413)-1)</f>
        <v>6</v>
      </c>
      <c r="B413" s="24" t="s">
        <v>1155</v>
      </c>
      <c r="C413" s="24" t="s">
        <v>113</v>
      </c>
      <c r="D413" s="163"/>
      <c r="E413" s="46">
        <f>($AA$2-O413)*$AB$2+Q413</f>
        <v>0</v>
      </c>
      <c r="F413" s="22">
        <v>11</v>
      </c>
      <c r="G413" s="175" t="s">
        <v>660</v>
      </c>
      <c r="H413" s="405" t="s">
        <v>1</v>
      </c>
      <c r="I413" s="185" t="s">
        <v>661</v>
      </c>
      <c r="J413" s="67"/>
      <c r="K413" s="194" t="s">
        <v>660</v>
      </c>
      <c r="L413" s="180"/>
      <c r="M413" s="180"/>
      <c r="N413" s="180"/>
      <c r="O413" s="181"/>
      <c r="P413" s="237"/>
      <c r="Q413" s="255"/>
      <c r="R413" s="175" t="s">
        <v>1</v>
      </c>
      <c r="S413" s="411"/>
      <c r="T413" s="190">
        <v>2</v>
      </c>
      <c r="U413" s="22"/>
      <c r="V413" s="233" t="s">
        <v>848</v>
      </c>
      <c r="W413" s="239"/>
      <c r="X413" s="403"/>
      <c r="Y413" s="258"/>
    </row>
    <row r="414" spans="1:25" hidden="1" x14ac:dyDescent="0.3">
      <c r="A414" s="47">
        <f>IF(B414="","",SUBTOTAL(3,$B$3:B414)-1)</f>
        <v>6</v>
      </c>
      <c r="B414" s="25" t="s">
        <v>324</v>
      </c>
      <c r="C414" s="24" t="s">
        <v>113</v>
      </c>
      <c r="D414" s="163"/>
      <c r="E414" s="46"/>
      <c r="F414" s="22">
        <v>11</v>
      </c>
      <c r="G414" s="175" t="s">
        <v>660</v>
      </c>
      <c r="H414" s="405" t="s">
        <v>1</v>
      </c>
      <c r="I414" s="185"/>
      <c r="J414" s="71"/>
      <c r="K414" s="194"/>
      <c r="L414" s="67"/>
      <c r="M414" s="67"/>
      <c r="N414" s="67"/>
      <c r="O414" s="73"/>
      <c r="P414" s="237"/>
      <c r="Q414" s="255"/>
      <c r="R414" s="175" t="s">
        <v>0</v>
      </c>
      <c r="S414" s="411"/>
      <c r="T414" s="190"/>
      <c r="U414" s="22"/>
      <c r="V414" s="233"/>
      <c r="W414" s="239"/>
      <c r="X414" s="403"/>
      <c r="Y414" s="258"/>
    </row>
    <row r="415" spans="1:25" hidden="1" x14ac:dyDescent="0.3">
      <c r="A415" s="47">
        <f>IF(B415="","",SUBTOTAL(3,$B$3:B415)-1)</f>
        <v>6</v>
      </c>
      <c r="B415" s="24" t="s">
        <v>999</v>
      </c>
      <c r="C415" s="24" t="s">
        <v>113</v>
      </c>
      <c r="D415" s="163"/>
      <c r="E415" s="46"/>
      <c r="F415" s="22">
        <v>9</v>
      </c>
      <c r="G415" s="175"/>
      <c r="H415" s="405"/>
      <c r="I415" s="186" t="s">
        <v>634</v>
      </c>
      <c r="J415" s="22" t="s">
        <v>661</v>
      </c>
      <c r="K415" s="195"/>
      <c r="L415" s="68"/>
      <c r="M415" s="68"/>
      <c r="N415" s="68"/>
      <c r="O415" s="73"/>
      <c r="P415" s="237"/>
      <c r="Q415" s="255"/>
      <c r="R415" s="175"/>
      <c r="S415" s="411"/>
      <c r="T415" s="190" t="s">
        <v>0</v>
      </c>
      <c r="U415" s="22" t="s">
        <v>1</v>
      </c>
      <c r="V415" s="233"/>
      <c r="W415" s="239"/>
      <c r="X415" s="403"/>
      <c r="Y415" s="258"/>
    </row>
    <row r="416" spans="1:25" hidden="1" x14ac:dyDescent="0.3">
      <c r="A416" s="47">
        <f>IF(B416="","",SUBTOTAL(3,$B$3:B416)-1)</f>
        <v>6</v>
      </c>
      <c r="B416" s="24" t="s">
        <v>13</v>
      </c>
      <c r="C416" s="24" t="s">
        <v>113</v>
      </c>
      <c r="D416" s="163"/>
      <c r="E416" s="46"/>
      <c r="F416" s="22">
        <v>9</v>
      </c>
      <c r="G416" s="175"/>
      <c r="H416" s="409"/>
      <c r="I416" s="187"/>
      <c r="J416" s="67"/>
      <c r="K416" s="194"/>
      <c r="L416" s="67"/>
      <c r="M416" s="67"/>
      <c r="N416" s="67"/>
      <c r="O416" s="73"/>
      <c r="P416" s="237"/>
      <c r="Q416" s="255"/>
      <c r="R416" s="175"/>
      <c r="S416" s="411"/>
      <c r="T416" s="190"/>
      <c r="U416" s="22"/>
      <c r="V416" s="233"/>
      <c r="W416" s="239"/>
      <c r="X416" s="403"/>
      <c r="Y416" s="258"/>
    </row>
    <row r="417" spans="1:25" hidden="1" x14ac:dyDescent="0.3">
      <c r="A417" s="47">
        <f>IF(B417="","",SUBTOTAL(3,$B$3:B417)-1)</f>
        <v>6</v>
      </c>
      <c r="B417" s="143" t="s">
        <v>171</v>
      </c>
      <c r="C417" s="143" t="s">
        <v>820</v>
      </c>
      <c r="D417" s="143">
        <v>844447752</v>
      </c>
      <c r="E417" s="46"/>
      <c r="F417" s="142">
        <v>3</v>
      </c>
      <c r="G417" s="176"/>
      <c r="H417" s="406"/>
      <c r="I417" s="188"/>
      <c r="J417" s="142"/>
      <c r="K417" s="196" t="s">
        <v>721</v>
      </c>
      <c r="L417" s="67"/>
      <c r="M417" s="67"/>
      <c r="N417" s="67"/>
      <c r="O417" s="73"/>
      <c r="P417" s="237"/>
      <c r="Q417" s="255"/>
      <c r="R417" s="175"/>
      <c r="S417" s="411"/>
      <c r="T417" s="190"/>
      <c r="U417" s="22"/>
      <c r="V417" s="233"/>
      <c r="W417" s="239"/>
      <c r="X417" s="403"/>
      <c r="Y417" s="258"/>
    </row>
    <row r="418" spans="1:25" hidden="1" x14ac:dyDescent="0.3">
      <c r="A418" s="47">
        <f>IF(B418="","",SUBTOTAL(3,$B$3:B418)-1)</f>
        <v>6</v>
      </c>
      <c r="B418" s="265" t="s">
        <v>1248</v>
      </c>
      <c r="C418" s="265" t="s">
        <v>820</v>
      </c>
      <c r="D418" s="300">
        <v>939314184</v>
      </c>
      <c r="E418" s="46" t="s">
        <v>1214</v>
      </c>
      <c r="F418" s="22">
        <v>6</v>
      </c>
      <c r="G418" s="175" t="s">
        <v>1332</v>
      </c>
      <c r="H418" s="405"/>
      <c r="I418" s="185"/>
      <c r="J418" s="71"/>
      <c r="K418" s="194"/>
      <c r="L418" s="67"/>
      <c r="M418" s="67"/>
      <c r="N418" s="67"/>
      <c r="O418" s="73"/>
      <c r="P418" s="237"/>
      <c r="Q418" s="255"/>
      <c r="R418" s="318" t="s">
        <v>1</v>
      </c>
      <c r="S418" s="408" t="s">
        <v>0</v>
      </c>
      <c r="T418" s="190"/>
      <c r="U418" s="22"/>
      <c r="V418" s="233"/>
      <c r="W418" s="239"/>
      <c r="X418" s="403"/>
      <c r="Y418" s="258"/>
    </row>
    <row r="419" spans="1:25" hidden="1" x14ac:dyDescent="0.3">
      <c r="A419" s="47">
        <f>IF(B419="","",SUBTOTAL(3,$B$3:B419)-1)</f>
        <v>6</v>
      </c>
      <c r="B419" s="269" t="s">
        <v>485</v>
      </c>
      <c r="C419" s="269" t="s">
        <v>1404</v>
      </c>
      <c r="D419" s="269"/>
      <c r="E419" s="46" t="s">
        <v>1214</v>
      </c>
      <c r="F419" s="300">
        <v>5</v>
      </c>
      <c r="G419" s="175" t="s">
        <v>660</v>
      </c>
      <c r="H419" s="405"/>
      <c r="I419" s="185"/>
      <c r="J419" s="71"/>
      <c r="K419" s="194"/>
      <c r="L419" s="67"/>
      <c r="M419" s="67"/>
      <c r="N419" s="67"/>
      <c r="O419" s="73"/>
      <c r="P419" s="237"/>
      <c r="Q419" s="255"/>
      <c r="R419" s="175" t="s">
        <v>1</v>
      </c>
      <c r="S419" s="411"/>
      <c r="T419" s="190"/>
      <c r="U419" s="22"/>
      <c r="V419" s="233"/>
      <c r="W419" s="239"/>
      <c r="X419" s="403"/>
      <c r="Y419" s="323" t="s">
        <v>1162</v>
      </c>
    </row>
    <row r="420" spans="1:25" hidden="1" x14ac:dyDescent="0.3">
      <c r="A420" s="47">
        <f>IF(B420="","",SUBTOTAL(3,$B$3:B420)-1)</f>
        <v>6</v>
      </c>
      <c r="B420" s="24" t="s">
        <v>931</v>
      </c>
      <c r="C420" s="24" t="s">
        <v>932</v>
      </c>
      <c r="D420" s="163"/>
      <c r="E420" s="46"/>
      <c r="F420" s="22">
        <v>9</v>
      </c>
      <c r="G420" s="175" t="s">
        <v>415</v>
      </c>
      <c r="H420" s="409" t="s">
        <v>696</v>
      </c>
      <c r="I420" s="187"/>
      <c r="J420" s="67"/>
      <c r="K420" s="194"/>
      <c r="L420" s="67"/>
      <c r="M420" s="67"/>
      <c r="N420" s="67"/>
      <c r="O420" s="73"/>
      <c r="P420" s="237"/>
      <c r="Q420" s="255"/>
      <c r="R420" s="175" t="s">
        <v>2</v>
      </c>
      <c r="S420" s="411" t="s">
        <v>661</v>
      </c>
      <c r="T420" s="190"/>
      <c r="U420" s="22"/>
      <c r="V420" s="233"/>
      <c r="W420" s="239"/>
      <c r="X420" s="403"/>
      <c r="Y420" s="258"/>
    </row>
    <row r="421" spans="1:25" hidden="1" x14ac:dyDescent="0.3">
      <c r="A421" s="47">
        <f>IF(B421="","",SUBTOTAL(3,$B$3:B421)-1)</f>
        <v>6</v>
      </c>
      <c r="B421" s="269" t="s">
        <v>817</v>
      </c>
      <c r="C421" s="269" t="s">
        <v>64</v>
      </c>
      <c r="D421" s="269">
        <v>907634631</v>
      </c>
      <c r="E421" s="46" t="s">
        <v>1214</v>
      </c>
      <c r="F421" s="301">
        <v>4</v>
      </c>
      <c r="G421" s="175"/>
      <c r="H421" s="405" t="s">
        <v>634</v>
      </c>
      <c r="I421" s="185"/>
      <c r="J421" s="71"/>
      <c r="K421" s="194"/>
      <c r="L421" s="67"/>
      <c r="M421" s="67"/>
      <c r="N421" s="67"/>
      <c r="O421" s="73"/>
      <c r="P421" s="237"/>
      <c r="Q421" s="255"/>
      <c r="R421" s="175"/>
      <c r="S421" s="411"/>
      <c r="T421" s="190"/>
      <c r="U421" s="22"/>
      <c r="V421" s="233"/>
      <c r="W421" s="239"/>
      <c r="X421" s="403"/>
      <c r="Y421" s="323">
        <v>4</v>
      </c>
    </row>
    <row r="422" spans="1:25" hidden="1" x14ac:dyDescent="0.3">
      <c r="A422" s="47">
        <f>IF(B422="","",SUBTOTAL(3,$B$3:B422)-1)</f>
        <v>6</v>
      </c>
      <c r="B422" s="265" t="s">
        <v>817</v>
      </c>
      <c r="C422" s="265" t="s">
        <v>64</v>
      </c>
      <c r="D422" s="265">
        <v>907634631</v>
      </c>
      <c r="E422" s="46" t="s">
        <v>1214</v>
      </c>
      <c r="F422" s="300">
        <v>4</v>
      </c>
      <c r="G422" s="175" t="s">
        <v>660</v>
      </c>
      <c r="H422" s="405"/>
      <c r="I422" s="185"/>
      <c r="J422" s="71"/>
      <c r="K422" s="194"/>
      <c r="L422" s="67"/>
      <c r="M422" s="67"/>
      <c r="N422" s="67"/>
      <c r="O422" s="73"/>
      <c r="P422" s="237"/>
      <c r="Q422" s="255"/>
      <c r="R422" s="175" t="s">
        <v>0</v>
      </c>
      <c r="S422" s="411"/>
      <c r="T422" s="190"/>
      <c r="U422" s="22"/>
      <c r="V422" s="233"/>
      <c r="W422" s="239"/>
      <c r="X422" s="403"/>
      <c r="Y422" s="320" t="s">
        <v>1025</v>
      </c>
    </row>
    <row r="423" spans="1:25" hidden="1" x14ac:dyDescent="0.3">
      <c r="A423" s="47">
        <f>IF(B423="","",SUBTOTAL(3,$B$3:B423)-1)</f>
        <v>6</v>
      </c>
      <c r="B423" s="26" t="s">
        <v>708</v>
      </c>
      <c r="C423" s="26" t="s">
        <v>64</v>
      </c>
      <c r="D423" s="26"/>
      <c r="E423" s="46">
        <f>($AA$2-O423)*$AB$2+Q423</f>
        <v>0</v>
      </c>
      <c r="F423" s="22">
        <v>10</v>
      </c>
      <c r="G423" s="175" t="s">
        <v>415</v>
      </c>
      <c r="H423" s="405" t="s">
        <v>635</v>
      </c>
      <c r="I423" s="185" t="s">
        <v>661</v>
      </c>
      <c r="J423" s="67"/>
      <c r="K423" s="194"/>
      <c r="L423" s="67"/>
      <c r="M423" s="67"/>
      <c r="N423" s="67"/>
      <c r="O423" s="73"/>
      <c r="P423" s="237"/>
      <c r="Q423" s="255"/>
      <c r="R423" s="175" t="s">
        <v>1</v>
      </c>
      <c r="S423" s="411" t="s">
        <v>848</v>
      </c>
      <c r="T423" s="190" t="s">
        <v>1</v>
      </c>
      <c r="U423" s="22"/>
      <c r="V423" s="233"/>
      <c r="W423" s="239"/>
      <c r="X423" s="403"/>
      <c r="Y423" s="258"/>
    </row>
    <row r="424" spans="1:25" hidden="1" x14ac:dyDescent="0.3">
      <c r="A424" s="47">
        <f>IF(B424="","",SUBTOTAL(3,$B$3:B424)-1)</f>
        <v>6</v>
      </c>
      <c r="B424" s="24" t="s">
        <v>536</v>
      </c>
      <c r="C424" s="24" t="s">
        <v>64</v>
      </c>
      <c r="D424" s="24">
        <v>334468974</v>
      </c>
      <c r="E424" s="46">
        <f>($AA$2-O424)*$AB$2+Q424</f>
        <v>0</v>
      </c>
      <c r="F424" s="22">
        <v>10</v>
      </c>
      <c r="G424" s="175"/>
      <c r="H424" s="405" t="s">
        <v>635</v>
      </c>
      <c r="I424" s="185"/>
      <c r="J424" s="71"/>
      <c r="K424" s="194"/>
      <c r="L424" s="180"/>
      <c r="M424" s="180"/>
      <c r="N424" s="180"/>
      <c r="O424" s="181"/>
      <c r="P424" s="237"/>
      <c r="Q424" s="255"/>
      <c r="R424" s="175"/>
      <c r="S424" s="411" t="s">
        <v>0</v>
      </c>
      <c r="T424" s="190"/>
      <c r="U424" s="22"/>
      <c r="V424" s="233"/>
      <c r="W424" s="239"/>
      <c r="X424" s="403"/>
      <c r="Y424" s="258"/>
    </row>
    <row r="425" spans="1:25" hidden="1" x14ac:dyDescent="0.3">
      <c r="A425" s="47">
        <f>IF(B425="","",SUBTOTAL(3,$B$3:B425)-1)</f>
        <v>6</v>
      </c>
      <c r="B425" s="25" t="s">
        <v>278</v>
      </c>
      <c r="C425" s="243" t="s">
        <v>64</v>
      </c>
      <c r="D425" s="26">
        <v>388107183</v>
      </c>
      <c r="E425" s="46">
        <f>($AA$2-O425)*$AB$2+Q425</f>
        <v>0</v>
      </c>
      <c r="F425" s="22" t="s">
        <v>1213</v>
      </c>
      <c r="G425" s="175" t="s">
        <v>660</v>
      </c>
      <c r="H425" s="405"/>
      <c r="I425" s="185"/>
      <c r="J425" s="67"/>
      <c r="K425" s="194"/>
      <c r="L425" s="67"/>
      <c r="M425" s="67"/>
      <c r="N425" s="67"/>
      <c r="O425" s="73"/>
      <c r="P425" s="237"/>
      <c r="Q425" s="255"/>
      <c r="R425" s="175" t="s">
        <v>0</v>
      </c>
      <c r="S425" s="411"/>
      <c r="T425" s="190"/>
      <c r="U425" s="22"/>
      <c r="V425" s="233"/>
      <c r="W425" s="239"/>
      <c r="X425" s="403"/>
      <c r="Y425" s="258"/>
    </row>
    <row r="426" spans="1:25" hidden="1" x14ac:dyDescent="0.3">
      <c r="A426" s="47">
        <f>IF(B426="","",SUBTOTAL(3,$B$3:B426)-1)</f>
        <v>6</v>
      </c>
      <c r="B426" s="143" t="s">
        <v>1145</v>
      </c>
      <c r="C426" s="143" t="s">
        <v>64</v>
      </c>
      <c r="D426" s="143"/>
      <c r="E426" s="46"/>
      <c r="F426" s="22">
        <v>5</v>
      </c>
      <c r="G426" s="176" t="s">
        <v>660</v>
      </c>
      <c r="H426" s="406"/>
      <c r="I426" s="188"/>
      <c r="J426" s="142"/>
      <c r="K426" s="196"/>
      <c r="L426" s="67"/>
      <c r="M426" s="67"/>
      <c r="N426" s="67"/>
      <c r="O426" s="73"/>
      <c r="P426" s="237"/>
      <c r="Q426" s="255"/>
      <c r="R426" s="175" t="s">
        <v>1</v>
      </c>
      <c r="S426" s="411"/>
      <c r="T426" s="190"/>
      <c r="U426" s="22"/>
      <c r="V426" s="233"/>
      <c r="W426" s="239"/>
      <c r="X426" s="403"/>
      <c r="Y426" s="258"/>
    </row>
    <row r="427" spans="1:25" hidden="1" x14ac:dyDescent="0.3">
      <c r="A427" s="47">
        <f>IF(B427="","",SUBTOTAL(3,$B$3:B427)-1)</f>
        <v>6</v>
      </c>
      <c r="B427" s="143" t="s">
        <v>1101</v>
      </c>
      <c r="C427" s="143" t="s">
        <v>64</v>
      </c>
      <c r="D427" s="143"/>
      <c r="E427" s="46"/>
      <c r="F427" s="22">
        <v>5</v>
      </c>
      <c r="G427" s="176"/>
      <c r="H427" s="407"/>
      <c r="I427" s="189" t="s">
        <v>634</v>
      </c>
      <c r="J427" s="142"/>
      <c r="K427" s="196"/>
      <c r="L427" s="67"/>
      <c r="M427" s="67"/>
      <c r="N427" s="67"/>
      <c r="O427" s="73"/>
      <c r="P427" s="237"/>
      <c r="Q427" s="255"/>
      <c r="R427" s="175"/>
      <c r="S427" s="411"/>
      <c r="T427" s="190" t="s">
        <v>0</v>
      </c>
      <c r="U427" s="22"/>
      <c r="V427" s="233"/>
      <c r="W427" s="239"/>
      <c r="X427" s="403"/>
      <c r="Y427" s="258"/>
    </row>
    <row r="428" spans="1:25" hidden="1" x14ac:dyDescent="0.3">
      <c r="A428" s="47">
        <f>IF(B428="","",SUBTOTAL(3,$B$3:B428)-1)</f>
        <v>6</v>
      </c>
      <c r="B428" s="143" t="s">
        <v>738</v>
      </c>
      <c r="C428" s="143" t="s">
        <v>64</v>
      </c>
      <c r="D428" s="143">
        <v>382438118</v>
      </c>
      <c r="E428" s="46"/>
      <c r="F428" s="142">
        <v>7</v>
      </c>
      <c r="G428" s="175" t="s">
        <v>415</v>
      </c>
      <c r="H428" s="406" t="s">
        <v>696</v>
      </c>
      <c r="I428" s="188" t="s">
        <v>634</v>
      </c>
      <c r="J428" s="142"/>
      <c r="K428" s="196" t="s">
        <v>721</v>
      </c>
      <c r="L428" s="67"/>
      <c r="M428" s="67"/>
      <c r="N428" s="67"/>
      <c r="O428" s="73"/>
      <c r="P428" s="237" t="s">
        <v>1</v>
      </c>
      <c r="Q428" s="255"/>
      <c r="R428" s="175" t="s">
        <v>848</v>
      </c>
      <c r="S428" s="411" t="s">
        <v>848</v>
      </c>
      <c r="T428" s="190" t="s">
        <v>0</v>
      </c>
      <c r="U428" s="22"/>
      <c r="V428" s="233"/>
      <c r="W428" s="239"/>
      <c r="X428" s="403"/>
      <c r="Y428" s="258"/>
    </row>
    <row r="429" spans="1:25" hidden="1" x14ac:dyDescent="0.3">
      <c r="A429" s="47">
        <f>IF(B429="","",SUBTOTAL(3,$B$3:B429)-1)</f>
        <v>6</v>
      </c>
      <c r="B429" s="39" t="s">
        <v>1107</v>
      </c>
      <c r="C429" s="24" t="s">
        <v>64</v>
      </c>
      <c r="D429" s="163"/>
      <c r="E429" s="46"/>
      <c r="F429" s="142">
        <v>7</v>
      </c>
      <c r="G429" s="176" t="s">
        <v>415</v>
      </c>
      <c r="H429" s="406"/>
      <c r="I429" s="185"/>
      <c r="J429" s="67"/>
      <c r="K429" s="194"/>
      <c r="L429" s="180"/>
      <c r="M429" s="180"/>
      <c r="N429" s="180"/>
      <c r="O429" s="181"/>
      <c r="P429" s="237"/>
      <c r="Q429" s="255"/>
      <c r="R429" s="175" t="s">
        <v>2</v>
      </c>
      <c r="S429" s="411"/>
      <c r="T429" s="190"/>
      <c r="U429" s="22"/>
      <c r="V429" s="233"/>
      <c r="W429" s="239"/>
      <c r="X429" s="403"/>
      <c r="Y429" s="258"/>
    </row>
    <row r="430" spans="1:25" hidden="1" x14ac:dyDescent="0.3">
      <c r="A430" s="47">
        <f>IF(B430="","",SUBTOTAL(3,$B$3:B430)-1)</f>
        <v>6</v>
      </c>
      <c r="B430" s="26" t="s">
        <v>237</v>
      </c>
      <c r="C430" s="26" t="s">
        <v>64</v>
      </c>
      <c r="D430" s="26"/>
      <c r="E430" s="46"/>
      <c r="F430" s="22">
        <v>9</v>
      </c>
      <c r="G430" s="175"/>
      <c r="H430" s="409" t="s">
        <v>660</v>
      </c>
      <c r="I430" s="185" t="s">
        <v>661</v>
      </c>
      <c r="J430" s="67"/>
      <c r="K430" s="194"/>
      <c r="L430" s="180"/>
      <c r="M430" s="180"/>
      <c r="N430" s="180"/>
      <c r="O430" s="181"/>
      <c r="P430" s="237"/>
      <c r="Q430" s="255"/>
      <c r="R430" s="175"/>
      <c r="S430" s="411" t="s">
        <v>1</v>
      </c>
      <c r="T430" s="190" t="s">
        <v>1</v>
      </c>
      <c r="U430" s="22"/>
      <c r="V430" s="233"/>
      <c r="W430" s="239"/>
      <c r="X430" s="403"/>
      <c r="Y430" s="258"/>
    </row>
    <row r="431" spans="1:25" hidden="1" x14ac:dyDescent="0.3">
      <c r="A431" s="47">
        <f>IF(B431="","",SUBTOTAL(3,$B$3:B431)-1)</f>
        <v>6</v>
      </c>
      <c r="B431" s="24" t="s">
        <v>148</v>
      </c>
      <c r="C431" s="24" t="s">
        <v>64</v>
      </c>
      <c r="D431" s="163"/>
      <c r="E431" s="46">
        <f>($AA$2-O431)*$AB$2+Q431</f>
        <v>0</v>
      </c>
      <c r="F431" s="22">
        <v>9</v>
      </c>
      <c r="G431" s="175"/>
      <c r="H431" s="409" t="s">
        <v>635</v>
      </c>
      <c r="I431" s="187"/>
      <c r="J431" s="67"/>
      <c r="K431" s="194"/>
      <c r="L431" s="67"/>
      <c r="M431" s="67"/>
      <c r="N431" s="67"/>
      <c r="O431" s="73"/>
      <c r="P431" s="237"/>
      <c r="Q431" s="255"/>
      <c r="R431" s="175"/>
      <c r="S431" s="411" t="s">
        <v>2</v>
      </c>
      <c r="T431" s="190"/>
      <c r="U431" s="22"/>
      <c r="V431" s="233"/>
      <c r="W431" s="239"/>
      <c r="X431" s="403"/>
      <c r="Y431" s="258"/>
    </row>
    <row r="432" spans="1:25" hidden="1" x14ac:dyDescent="0.3">
      <c r="A432" s="47">
        <f>IF(B432="","",SUBTOTAL(3,$B$3:B432)-1)</f>
        <v>6</v>
      </c>
      <c r="B432" s="24" t="s">
        <v>237</v>
      </c>
      <c r="C432" s="24" t="s">
        <v>64</v>
      </c>
      <c r="D432" s="163"/>
      <c r="E432" s="46">
        <f>($AA$2-O432)*$AB$2+Q432</f>
        <v>0</v>
      </c>
      <c r="F432" s="22">
        <v>9</v>
      </c>
      <c r="G432" s="175" t="s">
        <v>415</v>
      </c>
      <c r="H432" s="409"/>
      <c r="I432" s="187"/>
      <c r="J432" s="67"/>
      <c r="K432" s="194"/>
      <c r="L432" s="180"/>
      <c r="M432" s="180"/>
      <c r="N432" s="180"/>
      <c r="O432" s="181"/>
      <c r="P432" s="237"/>
      <c r="Q432" s="255"/>
      <c r="R432" s="175" t="s">
        <v>2</v>
      </c>
      <c r="S432" s="411"/>
      <c r="T432" s="190"/>
      <c r="U432" s="22"/>
      <c r="V432" s="233"/>
      <c r="W432" s="239"/>
      <c r="X432" s="403"/>
      <c r="Y432" s="258"/>
    </row>
    <row r="433" spans="1:25" hidden="1" x14ac:dyDescent="0.3">
      <c r="A433" s="47">
        <f>IF(B433="","",SUBTOTAL(3,$B$3:B433)-1)</f>
        <v>6</v>
      </c>
      <c r="B433" s="24" t="s">
        <v>211</v>
      </c>
      <c r="C433" s="24" t="s">
        <v>64</v>
      </c>
      <c r="D433" s="26"/>
      <c r="E433" s="46">
        <f>($AA$2-O433)*$AB$2+Q433</f>
        <v>0</v>
      </c>
      <c r="F433" s="22">
        <v>9</v>
      </c>
      <c r="G433" s="175" t="s">
        <v>415</v>
      </c>
      <c r="H433" s="409"/>
      <c r="I433" s="187"/>
      <c r="J433" s="67"/>
      <c r="K433" s="194"/>
      <c r="L433" s="180"/>
      <c r="M433" s="180"/>
      <c r="N433" s="180"/>
      <c r="O433" s="181"/>
      <c r="P433" s="237"/>
      <c r="Q433" s="255"/>
      <c r="R433" s="175" t="s">
        <v>0</v>
      </c>
      <c r="S433" s="411"/>
      <c r="T433" s="190"/>
      <c r="U433" s="22"/>
      <c r="V433" s="233"/>
      <c r="W433" s="239"/>
      <c r="X433" s="403"/>
      <c r="Y433" s="258"/>
    </row>
    <row r="434" spans="1:25" hidden="1" x14ac:dyDescent="0.3">
      <c r="A434" s="47">
        <f>IF(B434="","",SUBTOTAL(3,$B$3:B434)-1)</f>
        <v>6</v>
      </c>
      <c r="B434" s="24" t="s">
        <v>159</v>
      </c>
      <c r="C434" s="24" t="s">
        <v>601</v>
      </c>
      <c r="D434" s="163"/>
      <c r="E434" s="46"/>
      <c r="F434" s="22">
        <v>10</v>
      </c>
      <c r="G434" s="175"/>
      <c r="H434" s="405" t="s">
        <v>660</v>
      </c>
      <c r="I434" s="187"/>
      <c r="J434" s="67"/>
      <c r="K434" s="194"/>
      <c r="L434" s="67"/>
      <c r="M434" s="67"/>
      <c r="N434" s="67"/>
      <c r="O434" s="73"/>
      <c r="P434" s="237"/>
      <c r="Q434" s="255"/>
      <c r="R434" s="175"/>
      <c r="S434" s="411" t="s">
        <v>2</v>
      </c>
      <c r="T434" s="190"/>
      <c r="U434" s="22"/>
      <c r="V434" s="233"/>
      <c r="W434" s="239"/>
      <c r="X434" s="403"/>
      <c r="Y434" s="258"/>
    </row>
    <row r="435" spans="1:25" hidden="1" x14ac:dyDescent="0.3">
      <c r="A435" s="47">
        <f>IF(B435="","",SUBTOTAL(3,$B$3:B435)-1)</f>
        <v>6</v>
      </c>
      <c r="B435" s="24" t="s">
        <v>159</v>
      </c>
      <c r="C435" s="24" t="s">
        <v>601</v>
      </c>
      <c r="D435" s="26"/>
      <c r="E435" s="46">
        <f>($AA$2-O435)*$AB$2+Q435</f>
        <v>0</v>
      </c>
      <c r="F435" s="21">
        <v>10</v>
      </c>
      <c r="G435" s="175" t="s">
        <v>415</v>
      </c>
      <c r="H435" s="405"/>
      <c r="I435" s="185"/>
      <c r="J435" s="71"/>
      <c r="K435" s="194"/>
      <c r="L435" s="180"/>
      <c r="M435" s="180"/>
      <c r="N435" s="180"/>
      <c r="O435" s="181"/>
      <c r="P435" s="237"/>
      <c r="Q435" s="255"/>
      <c r="R435" s="175" t="s">
        <v>2</v>
      </c>
      <c r="S435" s="411"/>
      <c r="T435" s="190"/>
      <c r="U435" s="22"/>
      <c r="V435" s="233"/>
      <c r="W435" s="239"/>
      <c r="X435" s="403"/>
      <c r="Y435" s="258"/>
    </row>
    <row r="436" spans="1:25" hidden="1" x14ac:dyDescent="0.3">
      <c r="A436" s="47">
        <f>IF(B436="","",SUBTOTAL(3,$B$3:B436)-1)</f>
        <v>6</v>
      </c>
      <c r="B436" s="39" t="s">
        <v>986</v>
      </c>
      <c r="C436" s="24" t="s">
        <v>601</v>
      </c>
      <c r="D436" s="163"/>
      <c r="E436" s="46"/>
      <c r="F436" s="142">
        <v>7</v>
      </c>
      <c r="G436" s="175" t="s">
        <v>415</v>
      </c>
      <c r="H436" s="406" t="s">
        <v>635</v>
      </c>
      <c r="I436" s="185"/>
      <c r="J436" s="67"/>
      <c r="K436" s="194"/>
      <c r="L436" s="180"/>
      <c r="M436" s="180"/>
      <c r="N436" s="180"/>
      <c r="O436" s="181"/>
      <c r="P436" s="237"/>
      <c r="Q436" s="255"/>
      <c r="R436" s="175" t="s">
        <v>0</v>
      </c>
      <c r="S436" s="411" t="s">
        <v>1</v>
      </c>
      <c r="T436" s="190"/>
      <c r="U436" s="22"/>
      <c r="V436" s="233"/>
      <c r="W436" s="239"/>
      <c r="X436" s="403"/>
      <c r="Y436" s="258"/>
    </row>
    <row r="437" spans="1:25" hidden="1" x14ac:dyDescent="0.3">
      <c r="A437" s="47">
        <f>IF(B437="","",SUBTOTAL(3,$B$3:B437)-1)</f>
        <v>6</v>
      </c>
      <c r="B437" s="143" t="s">
        <v>782</v>
      </c>
      <c r="C437" s="143" t="s">
        <v>29</v>
      </c>
      <c r="D437" s="143">
        <v>984964443</v>
      </c>
      <c r="E437" s="46"/>
      <c r="F437" s="22">
        <v>5</v>
      </c>
      <c r="G437" s="176" t="s">
        <v>660</v>
      </c>
      <c r="H437" s="406"/>
      <c r="I437" s="188"/>
      <c r="J437" s="142"/>
      <c r="K437" s="196" t="s">
        <v>721</v>
      </c>
      <c r="L437" s="67"/>
      <c r="M437" s="67"/>
      <c r="N437" s="67"/>
      <c r="O437" s="73"/>
      <c r="P437" s="237"/>
      <c r="Q437" s="255"/>
      <c r="R437" s="175" t="s">
        <v>1</v>
      </c>
      <c r="S437" s="411"/>
      <c r="T437" s="190"/>
      <c r="U437" s="22"/>
      <c r="V437" s="233"/>
      <c r="W437" s="239"/>
      <c r="X437" s="403"/>
      <c r="Y437" s="258"/>
    </row>
    <row r="438" spans="1:25" hidden="1" x14ac:dyDescent="0.3">
      <c r="A438" s="47">
        <f>IF(B438="","",SUBTOTAL(3,$B$3:B438)-1)</f>
        <v>6</v>
      </c>
      <c r="B438" s="25" t="s">
        <v>472</v>
      </c>
      <c r="C438" s="25" t="s">
        <v>29</v>
      </c>
      <c r="D438" s="163"/>
      <c r="E438" s="46">
        <f>($AA$2-O438)*$AB$2+Q438</f>
        <v>0</v>
      </c>
      <c r="F438" s="22">
        <v>10</v>
      </c>
      <c r="G438" s="175"/>
      <c r="H438" s="405"/>
      <c r="I438" s="185"/>
      <c r="J438" s="71"/>
      <c r="K438" s="194"/>
      <c r="L438" s="67"/>
      <c r="M438" s="67"/>
      <c r="N438" s="67"/>
      <c r="O438" s="73"/>
      <c r="P438" s="237"/>
      <c r="Q438" s="255"/>
      <c r="R438" s="175"/>
      <c r="S438" s="411"/>
      <c r="T438" s="190"/>
      <c r="U438" s="22"/>
      <c r="V438" s="233"/>
      <c r="W438" s="239"/>
      <c r="X438" s="403"/>
      <c r="Y438" s="258"/>
    </row>
    <row r="439" spans="1:25" hidden="1" x14ac:dyDescent="0.3">
      <c r="A439" s="47">
        <f>IF(B439="","",SUBTOTAL(3,$B$3:B439)-1)</f>
        <v>6</v>
      </c>
      <c r="B439" s="24" t="s">
        <v>523</v>
      </c>
      <c r="C439" s="24" t="s">
        <v>29</v>
      </c>
      <c r="D439" s="24">
        <v>334468974</v>
      </c>
      <c r="E439" s="46">
        <f>($AA$2-O439)*$AB$2+Q439</f>
        <v>0</v>
      </c>
      <c r="F439" s="22">
        <v>11</v>
      </c>
      <c r="G439" s="175"/>
      <c r="H439" s="405"/>
      <c r="I439" s="185"/>
      <c r="J439" s="67"/>
      <c r="K439" s="194"/>
      <c r="L439" s="67"/>
      <c r="M439" s="67"/>
      <c r="N439" s="67"/>
      <c r="O439" s="73"/>
      <c r="P439" s="237"/>
      <c r="Q439" s="255"/>
      <c r="R439" s="175"/>
      <c r="S439" s="411"/>
      <c r="T439" s="190"/>
      <c r="U439" s="22"/>
      <c r="V439" s="233"/>
      <c r="W439" s="239"/>
      <c r="X439" s="403"/>
      <c r="Y439" s="258"/>
    </row>
    <row r="440" spans="1:25" hidden="1" x14ac:dyDescent="0.3">
      <c r="A440" s="47">
        <f>IF(B440="","",SUBTOTAL(3,$B$3:B440)-1)</f>
        <v>6</v>
      </c>
      <c r="B440" s="25" t="s">
        <v>617</v>
      </c>
      <c r="C440" s="25" t="s">
        <v>29</v>
      </c>
      <c r="D440" s="163"/>
      <c r="E440" s="46">
        <f>($AA$2-O440)*$AB$2+Q440</f>
        <v>0</v>
      </c>
      <c r="F440" s="22" t="s">
        <v>1213</v>
      </c>
      <c r="G440" s="175"/>
      <c r="H440" s="405"/>
      <c r="I440" s="185"/>
      <c r="J440" s="67"/>
      <c r="K440" s="194"/>
      <c r="L440" s="67"/>
      <c r="M440" s="67"/>
      <c r="N440" s="67"/>
      <c r="O440" s="73"/>
      <c r="P440" s="237"/>
      <c r="Q440" s="255"/>
      <c r="R440" s="175"/>
      <c r="S440" s="411"/>
      <c r="T440" s="190"/>
      <c r="U440" s="22"/>
      <c r="V440" s="233"/>
      <c r="W440" s="239"/>
      <c r="X440" s="403"/>
      <c r="Y440" s="258"/>
    </row>
    <row r="441" spans="1:25" hidden="1" x14ac:dyDescent="0.3">
      <c r="A441" s="47">
        <f>IF(B441="","",SUBTOTAL(3,$B$3:B441)-1)</f>
        <v>6</v>
      </c>
      <c r="B441" s="26" t="s">
        <v>168</v>
      </c>
      <c r="C441" s="26" t="s">
        <v>29</v>
      </c>
      <c r="D441" s="26"/>
      <c r="E441" s="46">
        <f>($AA$2-O441)*$AB$2+Q441</f>
        <v>0</v>
      </c>
      <c r="F441" s="142">
        <v>7</v>
      </c>
      <c r="G441" s="175" t="s">
        <v>415</v>
      </c>
      <c r="H441" s="405" t="s">
        <v>696</v>
      </c>
      <c r="I441" s="185"/>
      <c r="J441" s="67"/>
      <c r="K441" s="194"/>
      <c r="L441" s="180"/>
      <c r="M441" s="180"/>
      <c r="N441" s="180"/>
      <c r="O441" s="181"/>
      <c r="P441" s="237" t="s">
        <v>1</v>
      </c>
      <c r="Q441" s="255"/>
      <c r="R441" s="175" t="s">
        <v>848</v>
      </c>
      <c r="S441" s="411" t="s">
        <v>848</v>
      </c>
      <c r="T441" s="190"/>
      <c r="U441" s="22"/>
      <c r="V441" s="233"/>
      <c r="W441" s="239"/>
      <c r="X441" s="403"/>
      <c r="Y441" s="258"/>
    </row>
    <row r="442" spans="1:25" hidden="1" x14ac:dyDescent="0.3">
      <c r="A442" s="47">
        <f>IF(B442="","",SUBTOTAL(3,$B$3:B442)-1)</f>
        <v>6</v>
      </c>
      <c r="B442" s="27" t="s">
        <v>531</v>
      </c>
      <c r="C442" s="27" t="s">
        <v>29</v>
      </c>
      <c r="D442" s="26">
        <v>907367501</v>
      </c>
      <c r="E442" s="46">
        <f>($AA$2-O442)*$AB$2+Q442</f>
        <v>0</v>
      </c>
      <c r="F442" s="142">
        <v>7</v>
      </c>
      <c r="G442" s="175" t="s">
        <v>415</v>
      </c>
      <c r="H442" s="405"/>
      <c r="I442" s="185"/>
      <c r="J442" s="67"/>
      <c r="K442" s="194"/>
      <c r="L442" s="180"/>
      <c r="M442" s="180"/>
      <c r="N442" s="180"/>
      <c r="O442" s="181"/>
      <c r="P442" s="237" t="s">
        <v>1</v>
      </c>
      <c r="Q442" s="255"/>
      <c r="R442" s="175" t="s">
        <v>0</v>
      </c>
      <c r="S442" s="411"/>
      <c r="T442" s="190"/>
      <c r="U442" s="22"/>
      <c r="V442" s="233"/>
      <c r="W442" s="239" t="s">
        <v>0</v>
      </c>
      <c r="X442" s="403"/>
      <c r="Y442" s="258"/>
    </row>
    <row r="443" spans="1:25" hidden="1" x14ac:dyDescent="0.3">
      <c r="A443" s="47">
        <f>IF(B443="","",SUBTOTAL(3,$B$3:B443)-1)</f>
        <v>6</v>
      </c>
      <c r="B443" s="26" t="s">
        <v>420</v>
      </c>
      <c r="C443" s="26" t="s">
        <v>29</v>
      </c>
      <c r="D443" s="26"/>
      <c r="E443" s="46"/>
      <c r="F443" s="22">
        <v>9</v>
      </c>
      <c r="G443" s="175"/>
      <c r="H443" s="405" t="s">
        <v>660</v>
      </c>
      <c r="I443" s="185"/>
      <c r="J443" s="67"/>
      <c r="K443" s="194"/>
      <c r="L443" s="180"/>
      <c r="M443" s="180"/>
      <c r="N443" s="180"/>
      <c r="O443" s="181"/>
      <c r="P443" s="237"/>
      <c r="Q443" s="255"/>
      <c r="R443" s="175"/>
      <c r="S443" s="411" t="s">
        <v>0</v>
      </c>
      <c r="T443" s="190"/>
      <c r="U443" s="22"/>
      <c r="V443" s="233"/>
      <c r="W443" s="239"/>
      <c r="X443" s="403"/>
      <c r="Y443" s="258"/>
    </row>
    <row r="444" spans="1:25" hidden="1" x14ac:dyDescent="0.3">
      <c r="A444" s="47">
        <f>IF(B444="","",SUBTOTAL(3,$B$3:B444)-1)</f>
        <v>6</v>
      </c>
      <c r="B444" s="265" t="s">
        <v>781</v>
      </c>
      <c r="C444" s="265" t="s">
        <v>29</v>
      </c>
      <c r="D444" s="305"/>
      <c r="E444" s="46" t="s">
        <v>1214</v>
      </c>
      <c r="F444" s="301">
        <v>9</v>
      </c>
      <c r="G444" s="175" t="s">
        <v>415</v>
      </c>
      <c r="H444" s="405"/>
      <c r="I444" s="185"/>
      <c r="J444" s="71"/>
      <c r="K444" s="194"/>
      <c r="L444" s="67"/>
      <c r="M444" s="67"/>
      <c r="N444" s="67"/>
      <c r="O444" s="73"/>
      <c r="P444" s="237"/>
      <c r="Q444" s="255"/>
      <c r="R444" s="175" t="s">
        <v>661</v>
      </c>
      <c r="S444" s="411"/>
      <c r="T444" s="190"/>
      <c r="U444" s="22"/>
      <c r="V444" s="233"/>
      <c r="W444" s="239"/>
      <c r="X444" s="403"/>
      <c r="Y444" s="320" t="s">
        <v>1046</v>
      </c>
    </row>
    <row r="445" spans="1:25" hidden="1" x14ac:dyDescent="0.3">
      <c r="A445" s="47">
        <f>IF(B445="","",SUBTOTAL(3,$B$3:B445)-1)</f>
        <v>6</v>
      </c>
      <c r="B445" s="39" t="s">
        <v>1137</v>
      </c>
      <c r="C445" s="24" t="s">
        <v>590</v>
      </c>
      <c r="D445" s="163"/>
      <c r="E445" s="46"/>
      <c r="F445" s="142">
        <v>3</v>
      </c>
      <c r="G445" s="175"/>
      <c r="H445" s="405"/>
      <c r="I445" s="185"/>
      <c r="J445" s="67"/>
      <c r="K445" s="194"/>
      <c r="L445" s="67"/>
      <c r="M445" s="67"/>
      <c r="N445" s="67"/>
      <c r="O445" s="73"/>
      <c r="P445" s="237"/>
      <c r="Q445" s="255"/>
      <c r="R445" s="175"/>
      <c r="S445" s="411"/>
      <c r="T445" s="190"/>
      <c r="U445" s="22"/>
      <c r="V445" s="233"/>
      <c r="W445" s="239"/>
      <c r="X445" s="403"/>
      <c r="Y445" s="258"/>
    </row>
    <row r="446" spans="1:25" hidden="1" x14ac:dyDescent="0.3">
      <c r="A446" s="47">
        <f>IF(B446="","",SUBTOTAL(3,$B$3:B446)-1)</f>
        <v>6</v>
      </c>
      <c r="B446" s="143" t="s">
        <v>830</v>
      </c>
      <c r="C446" s="143" t="s">
        <v>590</v>
      </c>
      <c r="D446" s="143">
        <v>912542829</v>
      </c>
      <c r="E446" s="46"/>
      <c r="F446" s="21">
        <v>5</v>
      </c>
      <c r="G446" s="176" t="s">
        <v>660</v>
      </c>
      <c r="H446" s="406"/>
      <c r="I446" s="188"/>
      <c r="J446" s="142"/>
      <c r="K446" s="196" t="s">
        <v>721</v>
      </c>
      <c r="L446" s="67"/>
      <c r="M446" s="67"/>
      <c r="N446" s="67"/>
      <c r="O446" s="73"/>
      <c r="P446" s="237"/>
      <c r="Q446" s="255"/>
      <c r="R446" s="175" t="s">
        <v>1</v>
      </c>
      <c r="S446" s="411"/>
      <c r="T446" s="190"/>
      <c r="U446" s="22"/>
      <c r="V446" s="233"/>
      <c r="W446" s="239"/>
      <c r="X446" s="403"/>
      <c r="Y446" s="258"/>
    </row>
    <row r="447" spans="1:25" hidden="1" x14ac:dyDescent="0.3">
      <c r="A447" s="47">
        <f>IF(B447="","",SUBTOTAL(3,$B$3:B447)-1)</f>
        <v>6</v>
      </c>
      <c r="B447" s="26" t="s">
        <v>589</v>
      </c>
      <c r="C447" s="26" t="s">
        <v>590</v>
      </c>
      <c r="D447" s="26"/>
      <c r="E447" s="46">
        <f>($AA$2-O447)*$AB$2+Q447</f>
        <v>0</v>
      </c>
      <c r="F447" s="21">
        <v>8</v>
      </c>
      <c r="G447" s="175"/>
      <c r="H447" s="405"/>
      <c r="I447" s="185"/>
      <c r="J447" s="67"/>
      <c r="K447" s="194"/>
      <c r="L447" s="180"/>
      <c r="M447" s="180"/>
      <c r="N447" s="180"/>
      <c r="O447" s="181"/>
      <c r="P447" s="237"/>
      <c r="Q447" s="255"/>
      <c r="R447" s="175"/>
      <c r="S447" s="411"/>
      <c r="T447" s="190"/>
      <c r="U447" s="22"/>
      <c r="V447" s="233"/>
      <c r="W447" s="239"/>
      <c r="X447" s="403"/>
      <c r="Y447" s="258"/>
    </row>
    <row r="448" spans="1:25" hidden="1" x14ac:dyDescent="0.3">
      <c r="A448" s="47">
        <f>IF(B448="","",SUBTOTAL(3,$B$3:B448)-1)</f>
        <v>6</v>
      </c>
      <c r="B448" s="174" t="s">
        <v>954</v>
      </c>
      <c r="C448" s="24" t="s">
        <v>590</v>
      </c>
      <c r="D448" s="163"/>
      <c r="E448" s="46"/>
      <c r="F448" s="21">
        <v>8</v>
      </c>
      <c r="G448" s="175"/>
      <c r="H448" s="409"/>
      <c r="I448" s="187"/>
      <c r="J448" s="67"/>
      <c r="K448" s="194"/>
      <c r="L448" s="67"/>
      <c r="M448" s="67"/>
      <c r="N448" s="67"/>
      <c r="O448" s="73"/>
      <c r="P448" s="237"/>
      <c r="Q448" s="255"/>
      <c r="R448" s="175"/>
      <c r="S448" s="411"/>
      <c r="T448" s="190"/>
      <c r="U448" s="22"/>
      <c r="V448" s="233"/>
      <c r="W448" s="239"/>
      <c r="X448" s="403"/>
      <c r="Y448" s="258"/>
    </row>
    <row r="449" spans="1:25" hidden="1" x14ac:dyDescent="0.3">
      <c r="A449" s="47">
        <f>IF(B449="","",SUBTOTAL(3,$B$3:B449)-1)</f>
        <v>6</v>
      </c>
      <c r="B449" s="240" t="s">
        <v>1070</v>
      </c>
      <c r="C449" s="24" t="s">
        <v>590</v>
      </c>
      <c r="D449" s="163"/>
      <c r="E449" s="46"/>
      <c r="F449" s="22">
        <v>8</v>
      </c>
      <c r="G449" s="175"/>
      <c r="H449" s="406" t="s">
        <v>635</v>
      </c>
      <c r="I449" s="188"/>
      <c r="J449" s="142"/>
      <c r="K449" s="196"/>
      <c r="L449" s="67"/>
      <c r="M449" s="67"/>
      <c r="N449" s="67"/>
      <c r="O449" s="73"/>
      <c r="P449" s="237"/>
      <c r="Q449" s="255"/>
      <c r="R449" s="175"/>
      <c r="S449" s="411" t="s">
        <v>2</v>
      </c>
      <c r="T449" s="190"/>
      <c r="U449" s="22"/>
      <c r="V449" s="233"/>
      <c r="W449" s="239"/>
      <c r="X449" s="403"/>
      <c r="Y449" s="258"/>
    </row>
    <row r="450" spans="1:25" hidden="1" x14ac:dyDescent="0.3">
      <c r="A450" s="47">
        <f>IF(B450="","",SUBTOTAL(3,$B$3:B450)-1)</f>
        <v>6</v>
      </c>
      <c r="B450" s="24" t="s">
        <v>656</v>
      </c>
      <c r="C450" s="24" t="s">
        <v>655</v>
      </c>
      <c r="D450" s="24"/>
      <c r="E450" s="46">
        <f>($AA$2-O450)*$AB$2+Q450</f>
        <v>0</v>
      </c>
      <c r="F450" s="22">
        <v>11</v>
      </c>
      <c r="G450" s="175"/>
      <c r="H450" s="405" t="s">
        <v>635</v>
      </c>
      <c r="I450" s="185"/>
      <c r="J450" s="67"/>
      <c r="K450" s="194"/>
      <c r="L450" s="180"/>
      <c r="M450" s="180"/>
      <c r="N450" s="180"/>
      <c r="O450" s="181"/>
      <c r="P450" s="237"/>
      <c r="Q450" s="255"/>
      <c r="R450" s="175"/>
      <c r="S450" s="411" t="s">
        <v>0</v>
      </c>
      <c r="T450" s="190"/>
      <c r="U450" s="22"/>
      <c r="V450" s="233"/>
      <c r="W450" s="239"/>
      <c r="X450" s="403"/>
      <c r="Y450" s="258"/>
    </row>
    <row r="451" spans="1:25" hidden="1" x14ac:dyDescent="0.3">
      <c r="A451" s="47">
        <f>IF(B451="","",SUBTOTAL(3,$B$3:B451)-1)</f>
        <v>6</v>
      </c>
      <c r="B451" s="143" t="s">
        <v>16</v>
      </c>
      <c r="C451" s="143" t="s">
        <v>704</v>
      </c>
      <c r="D451" s="143"/>
      <c r="E451" s="46"/>
      <c r="F451" s="22">
        <v>5</v>
      </c>
      <c r="G451" s="176"/>
      <c r="H451" s="406"/>
      <c r="I451" s="188"/>
      <c r="J451" s="142"/>
      <c r="K451" s="196" t="s">
        <v>721</v>
      </c>
      <c r="L451" s="67"/>
      <c r="M451" s="67"/>
      <c r="N451" s="67"/>
      <c r="O451" s="73"/>
      <c r="P451" s="237" t="s">
        <v>1</v>
      </c>
      <c r="Q451" s="255"/>
      <c r="R451" s="175"/>
      <c r="S451" s="411"/>
      <c r="T451" s="190"/>
      <c r="U451" s="22"/>
      <c r="V451" s="233"/>
      <c r="W451" s="239" t="s">
        <v>0</v>
      </c>
      <c r="X451" s="403"/>
      <c r="Y451" s="258"/>
    </row>
    <row r="452" spans="1:25" hidden="1" x14ac:dyDescent="0.3">
      <c r="A452" s="47">
        <f>IF(B452="","",SUBTOTAL(3,$B$3:B452)-1)</f>
        <v>6</v>
      </c>
      <c r="B452" s="25" t="s">
        <v>703</v>
      </c>
      <c r="C452" s="25" t="s">
        <v>704</v>
      </c>
      <c r="D452" s="163">
        <v>986556606</v>
      </c>
      <c r="E452" s="46">
        <f>($AA$2-O452)*$AB$2+Q452</f>
        <v>0</v>
      </c>
      <c r="F452" s="22">
        <v>11</v>
      </c>
      <c r="G452" s="175"/>
      <c r="H452" s="405"/>
      <c r="I452" s="185" t="s">
        <v>661</v>
      </c>
      <c r="J452" s="67"/>
      <c r="K452" s="194"/>
      <c r="L452" s="67"/>
      <c r="M452" s="67"/>
      <c r="N452" s="67"/>
      <c r="O452" s="73"/>
      <c r="P452" s="237"/>
      <c r="Q452" s="255"/>
      <c r="R452" s="175"/>
      <c r="S452" s="411" t="s">
        <v>0</v>
      </c>
      <c r="T452" s="190">
        <v>1</v>
      </c>
      <c r="U452" s="22"/>
      <c r="V452" s="233"/>
      <c r="W452" s="239"/>
      <c r="X452" s="403"/>
      <c r="Y452" s="258"/>
    </row>
    <row r="453" spans="1:25" hidden="1" x14ac:dyDescent="0.3">
      <c r="A453" s="47">
        <f>IF(B453="","",SUBTOTAL(3,$B$3:B453)-1)</f>
        <v>6</v>
      </c>
      <c r="B453" s="143" t="s">
        <v>211</v>
      </c>
      <c r="C453" s="146" t="s">
        <v>704</v>
      </c>
      <c r="D453" s="143"/>
      <c r="E453" s="46"/>
      <c r="F453" s="22" t="s">
        <v>1213</v>
      </c>
      <c r="G453" s="175"/>
      <c r="H453" s="406"/>
      <c r="I453" s="188"/>
      <c r="J453" s="142"/>
      <c r="K453" s="196"/>
      <c r="L453" s="67"/>
      <c r="M453" s="67"/>
      <c r="N453" s="67"/>
      <c r="O453" s="73"/>
      <c r="P453" s="237"/>
      <c r="Q453" s="255"/>
      <c r="R453" s="175"/>
      <c r="S453" s="411"/>
      <c r="T453" s="190"/>
      <c r="U453" s="22"/>
      <c r="V453" s="233"/>
      <c r="W453" s="239"/>
      <c r="X453" s="403"/>
      <c r="Y453" s="258"/>
    </row>
    <row r="454" spans="1:25" hidden="1" x14ac:dyDescent="0.3">
      <c r="A454" s="47">
        <f>IF(B454="","",SUBTOTAL(3,$B$3:B454)-1)</f>
        <v>6</v>
      </c>
      <c r="B454" s="24" t="s">
        <v>803</v>
      </c>
      <c r="C454" s="24" t="s">
        <v>704</v>
      </c>
      <c r="D454" s="163"/>
      <c r="E454" s="46"/>
      <c r="F454" s="22">
        <v>9</v>
      </c>
      <c r="G454" s="175"/>
      <c r="H454" s="409"/>
      <c r="I454" s="187" t="s">
        <v>661</v>
      </c>
      <c r="J454" s="67"/>
      <c r="K454" s="194"/>
      <c r="L454" s="180"/>
      <c r="M454" s="180"/>
      <c r="N454" s="180"/>
      <c r="O454" s="181"/>
      <c r="P454" s="237"/>
      <c r="Q454" s="255"/>
      <c r="R454" s="175"/>
      <c r="S454" s="411"/>
      <c r="T454" s="190" t="s">
        <v>1</v>
      </c>
      <c r="U454" s="22"/>
      <c r="V454" s="233"/>
      <c r="W454" s="239"/>
      <c r="X454" s="403"/>
      <c r="Y454" s="258"/>
    </row>
    <row r="455" spans="1:25" hidden="1" x14ac:dyDescent="0.3">
      <c r="A455" s="47">
        <f>IF(B455="","",SUBTOTAL(3,$B$3:B455)-1)</f>
        <v>6</v>
      </c>
      <c r="B455" s="269" t="s">
        <v>1302</v>
      </c>
      <c r="C455" s="269" t="s">
        <v>704</v>
      </c>
      <c r="D455" s="269">
        <v>704959454</v>
      </c>
      <c r="E455" s="46" t="s">
        <v>1214</v>
      </c>
      <c r="F455" s="371">
        <v>9</v>
      </c>
      <c r="G455" s="175" t="s">
        <v>415</v>
      </c>
      <c r="H455" s="405"/>
      <c r="I455" s="185"/>
      <c r="J455" s="71"/>
      <c r="K455" s="194"/>
      <c r="L455" s="67"/>
      <c r="M455" s="67"/>
      <c r="N455" s="67"/>
      <c r="O455" s="73"/>
      <c r="P455" s="237"/>
      <c r="Q455" s="255"/>
      <c r="R455" s="175" t="s">
        <v>661</v>
      </c>
      <c r="S455" s="411"/>
      <c r="T455" s="190"/>
      <c r="U455" s="22"/>
      <c r="V455" s="233"/>
      <c r="W455" s="239"/>
      <c r="X455" s="403"/>
      <c r="Y455" s="323" t="s">
        <v>1046</v>
      </c>
    </row>
    <row r="456" spans="1:25" hidden="1" x14ac:dyDescent="0.3">
      <c r="A456" s="47">
        <f>IF(B456="","",SUBTOTAL(3,$B$3:B456)-1)</f>
        <v>6</v>
      </c>
      <c r="B456" s="282" t="s">
        <v>1285</v>
      </c>
      <c r="C456" s="282" t="s">
        <v>463</v>
      </c>
      <c r="D456" s="302">
        <v>794357360</v>
      </c>
      <c r="E456" s="46" t="s">
        <v>1214</v>
      </c>
      <c r="F456" s="300">
        <v>4</v>
      </c>
      <c r="G456" s="175" t="s">
        <v>826</v>
      </c>
      <c r="H456" s="405"/>
      <c r="I456" s="185"/>
      <c r="J456" s="71"/>
      <c r="K456" s="194"/>
      <c r="L456" s="67"/>
      <c r="M456" s="67"/>
      <c r="N456" s="67"/>
      <c r="O456" s="73"/>
      <c r="P456" s="237"/>
      <c r="Q456" s="255"/>
      <c r="R456" s="175" t="s">
        <v>1</v>
      </c>
      <c r="S456" s="411"/>
      <c r="T456" s="190"/>
      <c r="U456" s="22"/>
      <c r="V456" s="233"/>
      <c r="W456" s="239"/>
      <c r="X456" s="403"/>
      <c r="Y456" s="323" t="s">
        <v>1026</v>
      </c>
    </row>
    <row r="457" spans="1:25" hidden="1" x14ac:dyDescent="0.3">
      <c r="A457" s="47">
        <f>IF(B457="","",SUBTOTAL(3,$B$3:B457)-1)</f>
        <v>6</v>
      </c>
      <c r="B457" s="26" t="s">
        <v>471</v>
      </c>
      <c r="C457" s="26" t="s">
        <v>463</v>
      </c>
      <c r="D457" s="163">
        <v>901277048</v>
      </c>
      <c r="E457" s="46">
        <f>($AA$2-O457)*$AB$2+Q457</f>
        <v>0</v>
      </c>
      <c r="F457" s="22">
        <v>5</v>
      </c>
      <c r="G457" s="175"/>
      <c r="H457" s="408"/>
      <c r="I457" s="186"/>
      <c r="J457" s="68"/>
      <c r="K457" s="195"/>
      <c r="L457" s="68"/>
      <c r="M457" s="68"/>
      <c r="N457" s="68"/>
      <c r="O457" s="73"/>
      <c r="P457" s="237"/>
      <c r="Q457" s="255"/>
      <c r="R457" s="175"/>
      <c r="S457" s="411"/>
      <c r="T457" s="190"/>
      <c r="U457" s="22"/>
      <c r="V457" s="233"/>
      <c r="W457" s="239"/>
      <c r="X457" s="403"/>
      <c r="Y457" s="258"/>
    </row>
    <row r="458" spans="1:25" hidden="1" x14ac:dyDescent="0.3">
      <c r="A458" s="47">
        <f>IF(B458="","",SUBTOTAL(3,$B$3:B458)-1)</f>
        <v>6</v>
      </c>
      <c r="B458" s="143" t="s">
        <v>269</v>
      </c>
      <c r="C458" s="143" t="s">
        <v>463</v>
      </c>
      <c r="D458" s="143">
        <v>333988666</v>
      </c>
      <c r="E458" s="46"/>
      <c r="F458" s="22">
        <v>5</v>
      </c>
      <c r="G458" s="176"/>
      <c r="H458" s="406"/>
      <c r="I458" s="188"/>
      <c r="J458" s="142"/>
      <c r="K458" s="196" t="s">
        <v>721</v>
      </c>
      <c r="L458" s="67"/>
      <c r="M458" s="67"/>
      <c r="N458" s="67"/>
      <c r="O458" s="73"/>
      <c r="P458" s="237"/>
      <c r="Q458" s="255"/>
      <c r="R458" s="175"/>
      <c r="S458" s="411"/>
      <c r="T458" s="190"/>
      <c r="U458" s="22"/>
      <c r="V458" s="233"/>
      <c r="W458" s="239"/>
      <c r="X458" s="403"/>
      <c r="Y458" s="258"/>
    </row>
    <row r="459" spans="1:25" hidden="1" x14ac:dyDescent="0.3">
      <c r="A459" s="47">
        <f>IF(B459="","",SUBTOTAL(3,$B$3:B459)-1)</f>
        <v>6</v>
      </c>
      <c r="B459" s="26" t="s">
        <v>462</v>
      </c>
      <c r="C459" s="26" t="s">
        <v>463</v>
      </c>
      <c r="D459" s="25">
        <v>901277048</v>
      </c>
      <c r="E459" s="46">
        <f>($AA$2-O459)*$AB$2+Q459</f>
        <v>0</v>
      </c>
      <c r="F459" s="142">
        <v>6</v>
      </c>
      <c r="G459" s="175"/>
      <c r="H459" s="405"/>
      <c r="I459" s="185"/>
      <c r="J459" s="67"/>
      <c r="K459" s="194"/>
      <c r="L459" s="67"/>
      <c r="M459" s="67"/>
      <c r="N459" s="67"/>
      <c r="O459" s="73"/>
      <c r="P459" s="237"/>
      <c r="Q459" s="255"/>
      <c r="R459" s="175"/>
      <c r="S459" s="411"/>
      <c r="T459" s="190"/>
      <c r="U459" s="22"/>
      <c r="V459" s="233"/>
      <c r="W459" s="239"/>
      <c r="X459" s="403"/>
      <c r="Y459" s="258"/>
    </row>
    <row r="460" spans="1:25" hidden="1" x14ac:dyDescent="0.3">
      <c r="A460" s="47">
        <f>IF(B460="","",SUBTOTAL(3,$B$3:B460)-1)</f>
        <v>6</v>
      </c>
      <c r="B460" s="25" t="s">
        <v>1124</v>
      </c>
      <c r="C460" s="25" t="s">
        <v>463</v>
      </c>
      <c r="D460" s="163"/>
      <c r="E460" s="46"/>
      <c r="F460" s="22">
        <v>9</v>
      </c>
      <c r="G460" s="175" t="s">
        <v>415</v>
      </c>
      <c r="H460" s="405"/>
      <c r="I460" s="185"/>
      <c r="J460" s="67"/>
      <c r="K460" s="194"/>
      <c r="L460" s="180"/>
      <c r="M460" s="180"/>
      <c r="N460" s="180"/>
      <c r="O460" s="181"/>
      <c r="P460" s="237"/>
      <c r="Q460" s="255"/>
      <c r="R460" s="175" t="s">
        <v>1</v>
      </c>
      <c r="S460" s="411"/>
      <c r="T460" s="190"/>
      <c r="U460" s="22"/>
      <c r="V460" s="233"/>
      <c r="W460" s="239"/>
      <c r="X460" s="403"/>
      <c r="Y460" s="258"/>
    </row>
    <row r="461" spans="1:25" hidden="1" x14ac:dyDescent="0.3">
      <c r="A461" s="47">
        <f>IF(B461="","",SUBTOTAL(3,$B$3:B461)-1)</f>
        <v>6</v>
      </c>
      <c r="B461" s="25" t="s">
        <v>509</v>
      </c>
      <c r="C461" s="25" t="s">
        <v>124</v>
      </c>
      <c r="D461" s="163">
        <v>384929256</v>
      </c>
      <c r="E461" s="46">
        <f>($AA$2-O461)*$AB$2+Q461</f>
        <v>0</v>
      </c>
      <c r="F461" s="22">
        <v>10</v>
      </c>
      <c r="G461" s="175" t="s">
        <v>415</v>
      </c>
      <c r="H461" s="405"/>
      <c r="I461" s="185"/>
      <c r="J461" s="71"/>
      <c r="K461" s="194"/>
      <c r="L461" s="67"/>
      <c r="M461" s="67"/>
      <c r="N461" s="67"/>
      <c r="O461" s="73"/>
      <c r="P461" s="237"/>
      <c r="Q461" s="255"/>
      <c r="R461" s="175" t="s">
        <v>2</v>
      </c>
      <c r="S461" s="411"/>
      <c r="T461" s="190"/>
      <c r="U461" s="22"/>
      <c r="V461" s="233"/>
      <c r="W461" s="239"/>
      <c r="X461" s="403"/>
      <c r="Y461" s="258"/>
    </row>
    <row r="462" spans="1:25" hidden="1" x14ac:dyDescent="0.3">
      <c r="A462" s="47">
        <f>IF(B462="","",SUBTOTAL(3,$B$3:B462)-1)</f>
        <v>6</v>
      </c>
      <c r="B462" s="24" t="s">
        <v>740</v>
      </c>
      <c r="C462" s="24" t="s">
        <v>124</v>
      </c>
      <c r="D462" s="24"/>
      <c r="E462" s="46">
        <f>($AA$2-O462)*$AB$2+Q462</f>
        <v>0</v>
      </c>
      <c r="F462" s="22">
        <v>11</v>
      </c>
      <c r="G462" s="175"/>
      <c r="H462" s="405"/>
      <c r="I462" s="185" t="s">
        <v>634</v>
      </c>
      <c r="J462" s="71"/>
      <c r="K462" s="194"/>
      <c r="L462" s="67"/>
      <c r="M462" s="67"/>
      <c r="N462" s="67"/>
      <c r="O462" s="73"/>
      <c r="P462" s="237"/>
      <c r="Q462" s="255"/>
      <c r="R462" s="175"/>
      <c r="S462" s="411"/>
      <c r="T462" s="190" t="s">
        <v>661</v>
      </c>
      <c r="U462" s="22"/>
      <c r="V462" s="233"/>
      <c r="W462" s="239"/>
      <c r="X462" s="403"/>
      <c r="Y462" s="258"/>
    </row>
    <row r="463" spans="1:25" hidden="1" x14ac:dyDescent="0.3">
      <c r="A463" s="47">
        <f>IF(B463="","",SUBTOTAL(3,$B$3:B463)-1)</f>
        <v>6</v>
      </c>
      <c r="B463" s="25" t="s">
        <v>34</v>
      </c>
      <c r="C463" s="25" t="s">
        <v>124</v>
      </c>
      <c r="D463" s="25"/>
      <c r="E463" s="46">
        <f>($AA$2-O463)*$AB$2+Q463</f>
        <v>0</v>
      </c>
      <c r="F463" s="22" t="s">
        <v>1213</v>
      </c>
      <c r="G463" s="175"/>
      <c r="H463" s="405"/>
      <c r="I463" s="185"/>
      <c r="J463" s="67"/>
      <c r="K463" s="194"/>
      <c r="L463" s="67"/>
      <c r="M463" s="67"/>
      <c r="N463" s="67"/>
      <c r="O463" s="73"/>
      <c r="P463" s="237"/>
      <c r="Q463" s="255"/>
      <c r="R463" s="175"/>
      <c r="S463" s="411"/>
      <c r="T463" s="190"/>
      <c r="U463" s="22"/>
      <c r="V463" s="233"/>
      <c r="W463" s="239"/>
      <c r="X463" s="403"/>
      <c r="Y463" s="258"/>
    </row>
    <row r="464" spans="1:25" hidden="1" x14ac:dyDescent="0.3">
      <c r="A464" s="47">
        <f>IF(B464="","",SUBTOTAL(3,$B$3:B464)-1)</f>
        <v>6</v>
      </c>
      <c r="B464" s="24" t="s">
        <v>270</v>
      </c>
      <c r="C464" s="244" t="s">
        <v>124</v>
      </c>
      <c r="D464" s="163"/>
      <c r="E464" s="46">
        <f>($AA$2-O464)*$AB$2+Q464</f>
        <v>0</v>
      </c>
      <c r="F464" s="22" t="s">
        <v>1213</v>
      </c>
      <c r="G464" s="175" t="s">
        <v>660</v>
      </c>
      <c r="H464" s="405"/>
      <c r="I464" s="185"/>
      <c r="J464" s="67"/>
      <c r="K464" s="194"/>
      <c r="L464" s="67"/>
      <c r="M464" s="67"/>
      <c r="N464" s="67"/>
      <c r="O464" s="73"/>
      <c r="P464" s="237"/>
      <c r="Q464" s="255"/>
      <c r="R464" s="175" t="s">
        <v>1</v>
      </c>
      <c r="S464" s="411"/>
      <c r="T464" s="190"/>
      <c r="U464" s="22"/>
      <c r="V464" s="233"/>
      <c r="W464" s="239"/>
      <c r="X464" s="403"/>
      <c r="Y464" s="258"/>
    </row>
    <row r="465" spans="1:25" hidden="1" x14ac:dyDescent="0.3">
      <c r="A465" s="47">
        <f>IF(B465="","",SUBTOTAL(3,$B$3:B465)-1)</f>
        <v>6</v>
      </c>
      <c r="B465" s="24" t="s">
        <v>354</v>
      </c>
      <c r="C465" s="24" t="s">
        <v>124</v>
      </c>
      <c r="D465" s="163"/>
      <c r="E465" s="46">
        <f>($AA$2-O465)*$AB$2+Q465</f>
        <v>0</v>
      </c>
      <c r="F465" s="21">
        <v>12</v>
      </c>
      <c r="G465" s="175"/>
      <c r="H465" s="405"/>
      <c r="I465" s="185"/>
      <c r="J465" s="67"/>
      <c r="K465" s="194"/>
      <c r="L465" s="67"/>
      <c r="M465" s="67"/>
      <c r="N465" s="67"/>
      <c r="O465" s="73"/>
      <c r="P465" s="237"/>
      <c r="Q465" s="255"/>
      <c r="R465" s="175" t="s">
        <v>0</v>
      </c>
      <c r="S465" s="411"/>
      <c r="T465" s="190"/>
      <c r="U465" s="22"/>
      <c r="V465" s="233"/>
      <c r="W465" s="239"/>
      <c r="X465" s="403"/>
      <c r="Y465" s="258"/>
    </row>
    <row r="466" spans="1:25" hidden="1" x14ac:dyDescent="0.3">
      <c r="A466" s="47">
        <f>IF(B466="","",SUBTOTAL(3,$B$3:B466)-1)</f>
        <v>6</v>
      </c>
      <c r="B466" s="24" t="s">
        <v>930</v>
      </c>
      <c r="C466" s="24" t="s">
        <v>929</v>
      </c>
      <c r="D466" s="163"/>
      <c r="E466" s="46"/>
      <c r="F466" s="22">
        <v>9</v>
      </c>
      <c r="G466" s="175"/>
      <c r="H466" s="409" t="s">
        <v>696</v>
      </c>
      <c r="I466" s="187"/>
      <c r="J466" s="67"/>
      <c r="K466" s="194"/>
      <c r="L466" s="67"/>
      <c r="M466" s="67"/>
      <c r="N466" s="67"/>
      <c r="O466" s="73"/>
      <c r="P466" s="237"/>
      <c r="Q466" s="255"/>
      <c r="R466" s="175"/>
      <c r="S466" s="411" t="s">
        <v>661</v>
      </c>
      <c r="T466" s="190"/>
      <c r="U466" s="22"/>
      <c r="V466" s="233"/>
      <c r="W466" s="239"/>
      <c r="X466" s="403"/>
      <c r="Y466" s="258"/>
    </row>
    <row r="467" spans="1:25" hidden="1" x14ac:dyDescent="0.3">
      <c r="A467" s="47">
        <f>IF(B467="","",SUBTOTAL(3,$B$3:B467)-1)</f>
        <v>6</v>
      </c>
      <c r="B467" s="26" t="s">
        <v>429</v>
      </c>
      <c r="C467" s="26" t="s">
        <v>430</v>
      </c>
      <c r="D467" s="26"/>
      <c r="E467" s="46">
        <f>($AA$2-O467)*$AB$2+Q467</f>
        <v>0</v>
      </c>
      <c r="F467" s="22">
        <v>8</v>
      </c>
      <c r="G467" s="175" t="s">
        <v>415</v>
      </c>
      <c r="H467" s="405" t="s">
        <v>635</v>
      </c>
      <c r="I467" s="185" t="s">
        <v>634</v>
      </c>
      <c r="J467" s="67"/>
      <c r="K467" s="194"/>
      <c r="L467" s="180"/>
      <c r="M467" s="180"/>
      <c r="N467" s="180"/>
      <c r="O467" s="181"/>
      <c r="P467" s="237" t="s">
        <v>0</v>
      </c>
      <c r="Q467" s="255"/>
      <c r="R467" s="175" t="s">
        <v>848</v>
      </c>
      <c r="S467" s="411" t="s">
        <v>1</v>
      </c>
      <c r="T467" s="190" t="s">
        <v>0</v>
      </c>
      <c r="U467" s="22"/>
      <c r="V467" s="233"/>
      <c r="W467" s="239"/>
      <c r="X467" s="403"/>
      <c r="Y467" s="258"/>
    </row>
    <row r="468" spans="1:25" hidden="1" x14ac:dyDescent="0.3">
      <c r="A468" s="47">
        <f>IF(B468="","",SUBTOTAL(3,$B$3:B468)-1)</f>
        <v>6</v>
      </c>
      <c r="B468" s="269" t="s">
        <v>1227</v>
      </c>
      <c r="C468" s="269" t="s">
        <v>119</v>
      </c>
      <c r="D468" s="269">
        <v>907959370</v>
      </c>
      <c r="E468" s="46" t="s">
        <v>1214</v>
      </c>
      <c r="F468" s="301">
        <v>2</v>
      </c>
      <c r="G468" s="175" t="s">
        <v>826</v>
      </c>
      <c r="H468" s="405" t="s">
        <v>634</v>
      </c>
      <c r="I468" s="185" t="s">
        <v>634</v>
      </c>
      <c r="J468" s="71"/>
      <c r="K468" s="194"/>
      <c r="L468" s="67"/>
      <c r="M468" s="67"/>
      <c r="N468" s="67"/>
      <c r="O468" s="73"/>
      <c r="P468" s="237"/>
      <c r="Q468" s="255"/>
      <c r="R468" s="175" t="s">
        <v>0</v>
      </c>
      <c r="S468" s="411"/>
      <c r="T468" s="190" t="s">
        <v>0</v>
      </c>
      <c r="U468" s="22"/>
      <c r="V468" s="233"/>
      <c r="W468" s="239"/>
      <c r="X468" s="403"/>
      <c r="Y468" s="323">
        <v>2</v>
      </c>
    </row>
    <row r="469" spans="1:25" hidden="1" x14ac:dyDescent="0.3">
      <c r="A469" s="47">
        <f>IF(B469="","",SUBTOTAL(3,$B$3:B469)-1)</f>
        <v>6</v>
      </c>
      <c r="B469" s="24" t="s">
        <v>335</v>
      </c>
      <c r="C469" s="24" t="s">
        <v>119</v>
      </c>
      <c r="D469" s="163"/>
      <c r="E469" s="46">
        <f>($AA$2-O469)*$AB$2+Q469</f>
        <v>0</v>
      </c>
      <c r="F469" s="22">
        <v>12</v>
      </c>
      <c r="G469" s="175"/>
      <c r="H469" s="405"/>
      <c r="I469" s="185"/>
      <c r="J469" s="67"/>
      <c r="K469" s="194"/>
      <c r="L469" s="67"/>
      <c r="M469" s="67"/>
      <c r="N469" s="67"/>
      <c r="O469" s="73"/>
      <c r="P469" s="237"/>
      <c r="Q469" s="255"/>
      <c r="R469" s="175" t="s">
        <v>415</v>
      </c>
      <c r="S469" s="411"/>
      <c r="T469" s="190"/>
      <c r="U469" s="22"/>
      <c r="V469" s="233"/>
      <c r="W469" s="239"/>
      <c r="X469" s="403"/>
      <c r="Y469" s="258"/>
    </row>
    <row r="470" spans="1:25" hidden="1" x14ac:dyDescent="0.3">
      <c r="A470" s="47">
        <f>IF(B470="","",SUBTOTAL(3,$B$3:B470)-1)</f>
        <v>6</v>
      </c>
      <c r="B470" s="24" t="s">
        <v>360</v>
      </c>
      <c r="C470" s="24" t="s">
        <v>41</v>
      </c>
      <c r="D470" s="163"/>
      <c r="E470" s="46">
        <f>($AA$2-O470)*$AB$2+Q470</f>
        <v>0</v>
      </c>
      <c r="F470" s="22">
        <v>12</v>
      </c>
      <c r="G470" s="175"/>
      <c r="H470" s="405"/>
      <c r="I470" s="185"/>
      <c r="J470" s="67"/>
      <c r="K470" s="194"/>
      <c r="L470" s="67"/>
      <c r="M470" s="67"/>
      <c r="N470" s="67"/>
      <c r="O470" s="73"/>
      <c r="P470" s="237"/>
      <c r="Q470" s="255"/>
      <c r="R470" s="175" t="s">
        <v>415</v>
      </c>
      <c r="S470" s="411"/>
      <c r="T470" s="190"/>
      <c r="U470" s="22"/>
      <c r="V470" s="233"/>
      <c r="W470" s="239"/>
      <c r="X470" s="403"/>
      <c r="Y470" s="258"/>
    </row>
    <row r="471" spans="1:25" hidden="1" x14ac:dyDescent="0.3">
      <c r="A471" s="47">
        <f>IF(B471="","",SUBTOTAL(3,$B$3:B471)-1)</f>
        <v>6</v>
      </c>
      <c r="B471" s="24" t="s">
        <v>1078</v>
      </c>
      <c r="C471" s="24" t="s">
        <v>41</v>
      </c>
      <c r="D471" s="24"/>
      <c r="E471" s="46"/>
      <c r="F471" s="142">
        <v>6</v>
      </c>
      <c r="G471" s="175" t="s">
        <v>660</v>
      </c>
      <c r="H471" s="405"/>
      <c r="I471" s="185"/>
      <c r="J471" s="67"/>
      <c r="K471" s="194"/>
      <c r="L471" s="67"/>
      <c r="M471" s="67"/>
      <c r="N471" s="67"/>
      <c r="O471" s="73"/>
      <c r="P471" s="237"/>
      <c r="Q471" s="255"/>
      <c r="R471" s="175" t="s">
        <v>1</v>
      </c>
      <c r="S471" s="411"/>
      <c r="T471" s="190"/>
      <c r="U471" s="22"/>
      <c r="V471" s="233"/>
      <c r="W471" s="239"/>
      <c r="X471" s="403"/>
      <c r="Y471" s="258"/>
    </row>
    <row r="472" spans="1:25" hidden="1" x14ac:dyDescent="0.3">
      <c r="A472" s="47">
        <f>IF(B472="","",SUBTOTAL(3,$B$3:B472)-1)</f>
        <v>6</v>
      </c>
      <c r="B472" s="174" t="s">
        <v>1078</v>
      </c>
      <c r="C472" s="174" t="s">
        <v>41</v>
      </c>
      <c r="D472" s="17"/>
      <c r="E472" s="46" t="s">
        <v>1214</v>
      </c>
      <c r="F472" s="22">
        <v>6</v>
      </c>
      <c r="G472" s="175" t="s">
        <v>1332</v>
      </c>
      <c r="H472" s="405"/>
      <c r="I472" s="185"/>
      <c r="J472" s="71"/>
      <c r="K472" s="194"/>
      <c r="L472" s="67"/>
      <c r="M472" s="67"/>
      <c r="N472" s="67"/>
      <c r="O472" s="73"/>
      <c r="P472" s="237"/>
      <c r="Q472" s="255"/>
      <c r="R472" s="175" t="s">
        <v>1</v>
      </c>
      <c r="S472" s="408" t="s">
        <v>1</v>
      </c>
      <c r="T472" s="190"/>
      <c r="U472" s="22"/>
      <c r="V472" s="233"/>
      <c r="W472" s="239"/>
      <c r="X472" s="403"/>
      <c r="Y472" s="258"/>
    </row>
    <row r="473" spans="1:25" hidden="1" x14ac:dyDescent="0.3">
      <c r="A473" s="47">
        <f>IF(B473="","",SUBTOTAL(3,$B$3:B473)-1)</f>
        <v>6</v>
      </c>
      <c r="B473" s="24" t="s">
        <v>455</v>
      </c>
      <c r="C473" s="24" t="s">
        <v>41</v>
      </c>
      <c r="D473" s="163"/>
      <c r="E473" s="46">
        <f>($AA$2-O473)*$AB$2+Q473</f>
        <v>0</v>
      </c>
      <c r="F473" s="142">
        <v>7</v>
      </c>
      <c r="G473" s="175"/>
      <c r="H473" s="405"/>
      <c r="I473" s="185"/>
      <c r="J473" s="67"/>
      <c r="K473" s="194"/>
      <c r="L473" s="67"/>
      <c r="M473" s="67"/>
      <c r="N473" s="67"/>
      <c r="O473" s="73"/>
      <c r="P473" s="237"/>
      <c r="Q473" s="255"/>
      <c r="R473" s="175"/>
      <c r="S473" s="411"/>
      <c r="T473" s="190"/>
      <c r="U473" s="22"/>
      <c r="V473" s="233"/>
      <c r="W473" s="239"/>
      <c r="X473" s="403"/>
      <c r="Y473" s="258"/>
    </row>
    <row r="474" spans="1:25" hidden="1" x14ac:dyDescent="0.3">
      <c r="A474" s="47">
        <f>IF(B474="","",SUBTOTAL(3,$B$3:B474)-1)</f>
        <v>6</v>
      </c>
      <c r="B474" s="39" t="s">
        <v>1108</v>
      </c>
      <c r="C474" s="24" t="s">
        <v>41</v>
      </c>
      <c r="D474" s="163"/>
      <c r="E474" s="46"/>
      <c r="F474" s="142">
        <v>7</v>
      </c>
      <c r="G474" s="176"/>
      <c r="H474" s="406"/>
      <c r="I474" s="185"/>
      <c r="J474" s="67"/>
      <c r="K474" s="194"/>
      <c r="L474" s="180"/>
      <c r="M474" s="180"/>
      <c r="N474" s="180"/>
      <c r="O474" s="181"/>
      <c r="P474" s="237"/>
      <c r="Q474" s="255"/>
      <c r="R474" s="175"/>
      <c r="S474" s="411"/>
      <c r="T474" s="190"/>
      <c r="U474" s="22"/>
      <c r="V474" s="233"/>
      <c r="W474" s="239"/>
      <c r="X474" s="403"/>
      <c r="Y474" s="258"/>
    </row>
    <row r="475" spans="1:25" hidden="1" x14ac:dyDescent="0.3">
      <c r="A475" s="47">
        <f>IF(B475="","",SUBTOTAL(3,$B$3:B475)-1)</f>
        <v>6</v>
      </c>
      <c r="B475" s="25" t="s">
        <v>182</v>
      </c>
      <c r="C475" s="25" t="s">
        <v>41</v>
      </c>
      <c r="D475" s="24"/>
      <c r="E475" s="46">
        <f>($AA$2-O475)*$AB$2+Q475</f>
        <v>0</v>
      </c>
      <c r="F475" s="22">
        <v>8</v>
      </c>
      <c r="G475" s="175" t="s">
        <v>415</v>
      </c>
      <c r="H475" s="405" t="s">
        <v>2</v>
      </c>
      <c r="I475" s="185"/>
      <c r="J475" s="67"/>
      <c r="K475" s="194"/>
      <c r="L475" s="180"/>
      <c r="M475" s="180"/>
      <c r="N475" s="180"/>
      <c r="O475" s="181"/>
      <c r="P475" s="237"/>
      <c r="Q475" s="255"/>
      <c r="R475" s="175" t="s">
        <v>848</v>
      </c>
      <c r="S475" s="411" t="s">
        <v>848</v>
      </c>
      <c r="T475" s="190"/>
      <c r="U475" s="22"/>
      <c r="V475" s="233"/>
      <c r="W475" s="239"/>
      <c r="X475" s="403"/>
      <c r="Y475" s="258"/>
    </row>
    <row r="476" spans="1:25" hidden="1" x14ac:dyDescent="0.3">
      <c r="A476" s="47">
        <f>IF(B476="","",SUBTOTAL(3,$B$3:B476)-1)</f>
        <v>6</v>
      </c>
      <c r="B476" s="24" t="s">
        <v>671</v>
      </c>
      <c r="C476" s="24" t="s">
        <v>41</v>
      </c>
      <c r="D476" s="163"/>
      <c r="E476" s="46">
        <f>($AA$2-O476)*$AB$2+Q476</f>
        <v>0</v>
      </c>
      <c r="F476" s="22">
        <v>9</v>
      </c>
      <c r="G476" s="175"/>
      <c r="H476" s="409"/>
      <c r="I476" s="185"/>
      <c r="J476" s="67"/>
      <c r="K476" s="194"/>
      <c r="L476" s="67"/>
      <c r="M476" s="67"/>
      <c r="N476" s="67"/>
      <c r="O476" s="73"/>
      <c r="P476" s="237"/>
      <c r="Q476" s="255"/>
      <c r="R476" s="175"/>
      <c r="S476" s="411"/>
      <c r="T476" s="190"/>
      <c r="U476" s="22"/>
      <c r="V476" s="233"/>
      <c r="W476" s="239"/>
      <c r="X476" s="403"/>
      <c r="Y476" s="258"/>
    </row>
    <row r="477" spans="1:25" hidden="1" x14ac:dyDescent="0.3">
      <c r="A477" s="47">
        <f>IF(B477="","",SUBTOTAL(3,$B$3:B477)-1)</f>
        <v>6</v>
      </c>
      <c r="B477" s="26" t="s">
        <v>863</v>
      </c>
      <c r="C477" s="26" t="s">
        <v>861</v>
      </c>
      <c r="D477" s="26">
        <v>964419173</v>
      </c>
      <c r="E477" s="46"/>
      <c r="F477" s="21">
        <v>2</v>
      </c>
      <c r="G477" s="175"/>
      <c r="H477" s="405" t="s">
        <v>860</v>
      </c>
      <c r="I477" s="185" t="s">
        <v>860</v>
      </c>
      <c r="J477" s="67"/>
      <c r="K477" s="194" t="s">
        <v>721</v>
      </c>
      <c r="L477" s="180"/>
      <c r="M477" s="180"/>
      <c r="N477" s="180"/>
      <c r="O477" s="181"/>
      <c r="P477" s="237"/>
      <c r="Q477" s="255"/>
      <c r="R477" s="175"/>
      <c r="S477" s="411"/>
      <c r="T477" s="190" t="s">
        <v>1</v>
      </c>
      <c r="U477" s="22"/>
      <c r="V477" s="233"/>
      <c r="W477" s="239"/>
      <c r="X477" s="403"/>
      <c r="Y477" s="258"/>
    </row>
    <row r="478" spans="1:25" hidden="1" x14ac:dyDescent="0.3">
      <c r="A478" s="47">
        <f>IF(B478="","",SUBTOTAL(3,$B$3:B478)-1)</f>
        <v>6</v>
      </c>
      <c r="B478" s="26" t="s">
        <v>190</v>
      </c>
      <c r="C478" s="26" t="s">
        <v>99</v>
      </c>
      <c r="D478" s="26">
        <v>937315103</v>
      </c>
      <c r="E478" s="46"/>
      <c r="F478" s="142">
        <v>4</v>
      </c>
      <c r="G478" s="175"/>
      <c r="H478" s="408" t="s">
        <v>634</v>
      </c>
      <c r="I478" s="186"/>
      <c r="J478" s="142"/>
      <c r="K478" s="196" t="s">
        <v>721</v>
      </c>
      <c r="L478" s="180"/>
      <c r="M478" s="180"/>
      <c r="N478" s="180"/>
      <c r="O478" s="181"/>
      <c r="P478" s="237"/>
      <c r="Q478" s="255"/>
      <c r="R478" s="175"/>
      <c r="S478" s="411"/>
      <c r="T478" s="190"/>
      <c r="U478" s="22"/>
      <c r="V478" s="233"/>
      <c r="W478" s="239" t="s">
        <v>848</v>
      </c>
      <c r="X478" s="403"/>
      <c r="Y478" s="258"/>
    </row>
    <row r="479" spans="1:25" hidden="1" x14ac:dyDescent="0.3">
      <c r="A479" s="47">
        <f>IF(B479="","",SUBTOTAL(3,$B$3:B479)-1)</f>
        <v>6</v>
      </c>
      <c r="B479" s="24" t="s">
        <v>210</v>
      </c>
      <c r="C479" s="24" t="s">
        <v>99</v>
      </c>
      <c r="D479" s="26"/>
      <c r="E479" s="46">
        <f>($AA$2-O479)*$AB$2+Q479</f>
        <v>0</v>
      </c>
      <c r="F479" s="22">
        <v>10</v>
      </c>
      <c r="G479" s="175"/>
      <c r="H479" s="405" t="s">
        <v>635</v>
      </c>
      <c r="I479" s="185"/>
      <c r="J479" s="71"/>
      <c r="K479" s="194"/>
      <c r="L479" s="67"/>
      <c r="M479" s="67"/>
      <c r="N479" s="67"/>
      <c r="O479" s="73"/>
      <c r="P479" s="237"/>
      <c r="Q479" s="255"/>
      <c r="R479" s="175"/>
      <c r="S479" s="411" t="s">
        <v>1</v>
      </c>
      <c r="T479" s="190"/>
      <c r="U479" s="22"/>
      <c r="V479" s="233"/>
      <c r="W479" s="239"/>
      <c r="X479" s="403"/>
      <c r="Y479" s="258"/>
    </row>
    <row r="480" spans="1:25" hidden="1" x14ac:dyDescent="0.3">
      <c r="A480" s="47">
        <f>IF(B480="","",SUBTOTAL(3,$B$3:B480)-1)</f>
        <v>6</v>
      </c>
      <c r="B480" s="24" t="s">
        <v>302</v>
      </c>
      <c r="C480" s="24" t="s">
        <v>99</v>
      </c>
      <c r="D480" s="163"/>
      <c r="E480" s="46">
        <f>($AA$2-O480)*$AB$2+Q480</f>
        <v>0</v>
      </c>
      <c r="F480" s="22">
        <v>10</v>
      </c>
      <c r="G480" s="175" t="s">
        <v>415</v>
      </c>
      <c r="H480" s="405" t="s">
        <v>635</v>
      </c>
      <c r="I480" s="185"/>
      <c r="J480" s="71"/>
      <c r="K480" s="194"/>
      <c r="L480" s="180"/>
      <c r="M480" s="180"/>
      <c r="N480" s="180"/>
      <c r="O480" s="181"/>
      <c r="P480" s="237"/>
      <c r="Q480" s="255"/>
      <c r="R480" s="175" t="s">
        <v>0</v>
      </c>
      <c r="S480" s="411" t="s">
        <v>0</v>
      </c>
      <c r="T480" s="190"/>
      <c r="U480" s="22"/>
      <c r="V480" s="233"/>
      <c r="W480" s="239"/>
      <c r="X480" s="403"/>
      <c r="Y480" s="258"/>
    </row>
    <row r="481" spans="1:25" hidden="1" x14ac:dyDescent="0.3">
      <c r="A481" s="47">
        <f>IF(B481="","",SUBTOTAL(3,$B$3:B481)-1)</f>
        <v>6</v>
      </c>
      <c r="B481" s="25" t="s">
        <v>420</v>
      </c>
      <c r="C481" s="243" t="s">
        <v>99</v>
      </c>
      <c r="D481" s="244"/>
      <c r="E481" s="46">
        <f>($AA$2-O481)*$AB$2+Q481</f>
        <v>0</v>
      </c>
      <c r="F481" s="22" t="s">
        <v>1213</v>
      </c>
      <c r="G481" s="175" t="s">
        <v>660</v>
      </c>
      <c r="H481" s="405"/>
      <c r="I481" s="185"/>
      <c r="J481" s="67"/>
      <c r="K481" s="194"/>
      <c r="L481" s="67"/>
      <c r="M481" s="67"/>
      <c r="N481" s="67"/>
      <c r="O481" s="73"/>
      <c r="P481" s="237"/>
      <c r="Q481" s="255"/>
      <c r="R481" s="175" t="s">
        <v>1</v>
      </c>
      <c r="S481" s="411"/>
      <c r="T481" s="190"/>
      <c r="U481" s="22"/>
      <c r="V481" s="233"/>
      <c r="W481" s="239"/>
      <c r="X481" s="403"/>
      <c r="Y481" s="258"/>
    </row>
    <row r="482" spans="1:25" hidden="1" x14ac:dyDescent="0.3">
      <c r="A482" s="47">
        <f>IF(B482="","",SUBTOTAL(3,$B$3:B482)-1)</f>
        <v>6</v>
      </c>
      <c r="B482" s="269" t="s">
        <v>566</v>
      </c>
      <c r="C482" s="269" t="s">
        <v>99</v>
      </c>
      <c r="D482" s="301">
        <v>906319621</v>
      </c>
      <c r="E482" s="46" t="s">
        <v>1214</v>
      </c>
      <c r="F482" s="22">
        <v>6</v>
      </c>
      <c r="G482" s="175" t="s">
        <v>1332</v>
      </c>
      <c r="H482" s="405"/>
      <c r="I482" s="185"/>
      <c r="J482" s="71"/>
      <c r="K482" s="194"/>
      <c r="L482" s="67"/>
      <c r="M482" s="67"/>
      <c r="N482" s="67"/>
      <c r="O482" s="73"/>
      <c r="P482" s="237"/>
      <c r="Q482" s="255"/>
      <c r="R482" s="318" t="s">
        <v>2</v>
      </c>
      <c r="S482" s="408" t="s">
        <v>0</v>
      </c>
      <c r="T482" s="190"/>
      <c r="U482" s="22"/>
      <c r="V482" s="233"/>
      <c r="W482" s="239"/>
      <c r="X482" s="403"/>
      <c r="Y482" s="258"/>
    </row>
    <row r="483" spans="1:25" hidden="1" x14ac:dyDescent="0.3">
      <c r="A483" s="47">
        <f>IF(B483="","",SUBTOTAL(3,$B$3:B483)-1)</f>
        <v>6</v>
      </c>
      <c r="B483" s="265" t="s">
        <v>1283</v>
      </c>
      <c r="C483" s="265" t="s">
        <v>44</v>
      </c>
      <c r="D483" s="265" t="s">
        <v>1316</v>
      </c>
      <c r="E483" s="46" t="s">
        <v>1214</v>
      </c>
      <c r="F483" s="300">
        <v>4</v>
      </c>
      <c r="G483" s="175" t="s">
        <v>826</v>
      </c>
      <c r="H483" s="405"/>
      <c r="I483" s="185"/>
      <c r="J483" s="71"/>
      <c r="K483" s="194"/>
      <c r="L483" s="67"/>
      <c r="M483" s="67"/>
      <c r="N483" s="67"/>
      <c r="O483" s="73"/>
      <c r="P483" s="237"/>
      <c r="Q483" s="255"/>
      <c r="R483" s="175" t="s">
        <v>1</v>
      </c>
      <c r="S483" s="411"/>
      <c r="T483" s="190"/>
      <c r="U483" s="22"/>
      <c r="V483" s="233"/>
      <c r="W483" s="239"/>
      <c r="X483" s="403"/>
      <c r="Y483" s="320" t="s">
        <v>1026</v>
      </c>
    </row>
    <row r="484" spans="1:25" hidden="1" x14ac:dyDescent="0.3">
      <c r="A484" s="47">
        <f>IF(B484="","",SUBTOTAL(3,$B$3:B484)-1)</f>
        <v>6</v>
      </c>
      <c r="B484" s="26" t="s">
        <v>285</v>
      </c>
      <c r="C484" s="26" t="s">
        <v>44</v>
      </c>
      <c r="D484" s="163">
        <v>364718599</v>
      </c>
      <c r="E484" s="46">
        <f>($AA$2-O484)*$AB$2+Q484</f>
        <v>0</v>
      </c>
      <c r="F484" s="21">
        <v>5</v>
      </c>
      <c r="G484" s="175"/>
      <c r="H484" s="408"/>
      <c r="I484" s="186"/>
      <c r="J484" s="68"/>
      <c r="K484" s="195"/>
      <c r="L484" s="68"/>
      <c r="M484" s="68"/>
      <c r="N484" s="68"/>
      <c r="O484" s="73"/>
      <c r="P484" s="237"/>
      <c r="Q484" s="255"/>
      <c r="R484" s="175"/>
      <c r="S484" s="411"/>
      <c r="T484" s="190"/>
      <c r="U484" s="22"/>
      <c r="V484" s="233"/>
      <c r="W484" s="239"/>
      <c r="X484" s="403"/>
      <c r="Y484" s="258"/>
    </row>
    <row r="485" spans="1:25" hidden="1" x14ac:dyDescent="0.3">
      <c r="A485" s="47">
        <f>IF(B485="","",SUBTOTAL(3,$B$3:B485)-1)</f>
        <v>6</v>
      </c>
      <c r="B485" s="143" t="s">
        <v>1146</v>
      </c>
      <c r="C485" s="143" t="s">
        <v>44</v>
      </c>
      <c r="D485" s="143"/>
      <c r="E485" s="46"/>
      <c r="F485" s="142">
        <v>6</v>
      </c>
      <c r="G485" s="176" t="s">
        <v>660</v>
      </c>
      <c r="H485" s="406"/>
      <c r="I485" s="188"/>
      <c r="J485" s="142"/>
      <c r="K485" s="196" t="s">
        <v>721</v>
      </c>
      <c r="L485" s="67"/>
      <c r="M485" s="67"/>
      <c r="N485" s="67"/>
      <c r="O485" s="73"/>
      <c r="P485" s="237"/>
      <c r="Q485" s="255"/>
      <c r="R485" s="175" t="s">
        <v>0</v>
      </c>
      <c r="S485" s="411"/>
      <c r="T485" s="190"/>
      <c r="U485" s="22"/>
      <c r="V485" s="233"/>
      <c r="W485" s="239"/>
      <c r="X485" s="403"/>
      <c r="Y485" s="258"/>
    </row>
    <row r="486" spans="1:25" hidden="1" x14ac:dyDescent="0.3">
      <c r="A486" s="47">
        <f>IF(B486="","",SUBTOTAL(3,$B$3:B486)-1)</f>
        <v>6</v>
      </c>
      <c r="B486" s="143" t="s">
        <v>824</v>
      </c>
      <c r="C486" s="143" t="s">
        <v>44</v>
      </c>
      <c r="D486" s="143"/>
      <c r="E486" s="46"/>
      <c r="F486" s="142">
        <v>6</v>
      </c>
      <c r="G486" s="176"/>
      <c r="H486" s="406"/>
      <c r="I486" s="188"/>
      <c r="J486" s="142"/>
      <c r="K486" s="196" t="s">
        <v>721</v>
      </c>
      <c r="L486" s="67"/>
      <c r="M486" s="67"/>
      <c r="N486" s="67"/>
      <c r="O486" s="73"/>
      <c r="P486" s="237"/>
      <c r="Q486" s="255"/>
      <c r="R486" s="175"/>
      <c r="S486" s="411"/>
      <c r="T486" s="190"/>
      <c r="U486" s="22"/>
      <c r="V486" s="233"/>
      <c r="W486" s="239"/>
      <c r="X486" s="403"/>
      <c r="Y486" s="258"/>
    </row>
    <row r="487" spans="1:25" hidden="1" x14ac:dyDescent="0.3">
      <c r="A487" s="47">
        <f>IF(B487="","",SUBTOTAL(3,$B$3:B487)-1)</f>
        <v>6</v>
      </c>
      <c r="B487" s="24" t="s">
        <v>187</v>
      </c>
      <c r="C487" s="24" t="s">
        <v>44</v>
      </c>
      <c r="D487" s="163"/>
      <c r="E487" s="46">
        <f>($AA$2-O487)*$AB$2+Q487</f>
        <v>0</v>
      </c>
      <c r="F487" s="22">
        <v>9</v>
      </c>
      <c r="G487" s="175" t="s">
        <v>415</v>
      </c>
      <c r="H487" s="409" t="s">
        <v>2</v>
      </c>
      <c r="I487" s="187"/>
      <c r="J487" s="67"/>
      <c r="K487" s="194"/>
      <c r="L487" s="180"/>
      <c r="M487" s="180"/>
      <c r="N487" s="180"/>
      <c r="O487" s="181"/>
      <c r="P487" s="237"/>
      <c r="Q487" s="255"/>
      <c r="R487" s="175" t="s">
        <v>848</v>
      </c>
      <c r="S487" s="411" t="s">
        <v>848</v>
      </c>
      <c r="T487" s="190"/>
      <c r="U487" s="22"/>
      <c r="V487" s="233"/>
      <c r="W487" s="239"/>
      <c r="X487" s="403"/>
      <c r="Y487" s="258"/>
    </row>
    <row r="488" spans="1:25" hidden="1" x14ac:dyDescent="0.3">
      <c r="A488" s="47">
        <f>IF(B488="","",SUBTOTAL(3,$B$3:B488)-1)</f>
        <v>6</v>
      </c>
      <c r="B488" s="26" t="s">
        <v>468</v>
      </c>
      <c r="C488" s="26" t="s">
        <v>469</v>
      </c>
      <c r="D488" s="163">
        <v>964313208</v>
      </c>
      <c r="E488" s="46"/>
      <c r="F488" s="22">
        <v>5</v>
      </c>
      <c r="G488" s="176" t="s">
        <v>660</v>
      </c>
      <c r="H488" s="408"/>
      <c r="I488" s="186"/>
      <c r="J488" s="68"/>
      <c r="K488" s="195"/>
      <c r="L488" s="68"/>
      <c r="M488" s="68"/>
      <c r="N488" s="68"/>
      <c r="O488" s="73"/>
      <c r="P488" s="237"/>
      <c r="Q488" s="255"/>
      <c r="R488" s="175" t="s">
        <v>0</v>
      </c>
      <c r="S488" s="411"/>
      <c r="T488" s="190"/>
      <c r="U488" s="22"/>
      <c r="V488" s="233"/>
      <c r="W488" s="239" t="s">
        <v>0</v>
      </c>
      <c r="X488" s="403"/>
      <c r="Y488" s="258"/>
    </row>
    <row r="489" spans="1:25" hidden="1" x14ac:dyDescent="0.3">
      <c r="A489" s="47">
        <f>IF(B489="","",SUBTOTAL(3,$B$3:B489)-1)</f>
        <v>6</v>
      </c>
      <c r="B489" s="143" t="s">
        <v>793</v>
      </c>
      <c r="C489" s="143" t="s">
        <v>469</v>
      </c>
      <c r="D489" s="143">
        <v>938345215</v>
      </c>
      <c r="E489" s="46"/>
      <c r="F489" s="142">
        <v>7</v>
      </c>
      <c r="G489" s="175" t="s">
        <v>415</v>
      </c>
      <c r="H489" s="406" t="s">
        <v>696</v>
      </c>
      <c r="I489" s="188" t="s">
        <v>661</v>
      </c>
      <c r="J489" s="142"/>
      <c r="K489" s="196" t="s">
        <v>721</v>
      </c>
      <c r="L489" s="67"/>
      <c r="M489" s="67"/>
      <c r="N489" s="67"/>
      <c r="O489" s="73"/>
      <c r="P489" s="237" t="s">
        <v>1</v>
      </c>
      <c r="Q489" s="255"/>
      <c r="R489" s="175" t="s">
        <v>0</v>
      </c>
      <c r="S489" s="411" t="s">
        <v>848</v>
      </c>
      <c r="T489" s="190" t="s">
        <v>1</v>
      </c>
      <c r="U489" s="22"/>
      <c r="V489" s="233"/>
      <c r="W489" s="239" t="s">
        <v>0</v>
      </c>
      <c r="X489" s="403"/>
      <c r="Y489" s="258"/>
    </row>
    <row r="490" spans="1:25" hidden="1" x14ac:dyDescent="0.3">
      <c r="A490" s="47">
        <f>IF(B490="","",SUBTOTAL(3,$B$3:B490)-1)</f>
        <v>6</v>
      </c>
      <c r="B490" s="143" t="s">
        <v>801</v>
      </c>
      <c r="C490" s="143" t="s">
        <v>802</v>
      </c>
      <c r="D490" s="143">
        <v>399180595</v>
      </c>
      <c r="E490" s="46"/>
      <c r="F490" s="369">
        <v>4</v>
      </c>
      <c r="G490" s="176"/>
      <c r="H490" s="406"/>
      <c r="I490" s="188"/>
      <c r="J490" s="142"/>
      <c r="K490" s="196" t="s">
        <v>721</v>
      </c>
      <c r="L490" s="67"/>
      <c r="M490" s="67"/>
      <c r="N490" s="67"/>
      <c r="O490" s="73"/>
      <c r="P490" s="237"/>
      <c r="Q490" s="255"/>
      <c r="R490" s="175"/>
      <c r="S490" s="411"/>
      <c r="T490" s="190"/>
      <c r="U490" s="22"/>
      <c r="V490" s="233"/>
      <c r="W490" s="239"/>
      <c r="X490" s="403"/>
      <c r="Y490" s="258"/>
    </row>
    <row r="491" spans="1:25" hidden="1" x14ac:dyDescent="0.3">
      <c r="A491" s="47">
        <f>IF(B491="","",SUBTOTAL(3,$B$3:B491)-1)</f>
        <v>6</v>
      </c>
      <c r="B491" s="25" t="s">
        <v>217</v>
      </c>
      <c r="C491" s="25" t="s">
        <v>67</v>
      </c>
      <c r="D491" s="25"/>
      <c r="E491" s="46">
        <f>($AA$2-O491)*$AB$2+Q491</f>
        <v>0</v>
      </c>
      <c r="F491" s="22">
        <v>9</v>
      </c>
      <c r="G491" s="175" t="s">
        <v>415</v>
      </c>
      <c r="H491" s="409" t="s">
        <v>660</v>
      </c>
      <c r="I491" s="187"/>
      <c r="J491" s="67" t="s">
        <v>661</v>
      </c>
      <c r="K491" s="194"/>
      <c r="L491" s="180"/>
      <c r="M491" s="180"/>
      <c r="N491" s="180"/>
      <c r="O491" s="181"/>
      <c r="P491" s="237"/>
      <c r="Q491" s="255"/>
      <c r="R491" s="175" t="s">
        <v>0</v>
      </c>
      <c r="S491" s="411" t="s">
        <v>0</v>
      </c>
      <c r="T491" s="190"/>
      <c r="U491" s="22" t="s">
        <v>1</v>
      </c>
      <c r="V491" s="233"/>
      <c r="W491" s="239"/>
      <c r="X491" s="403"/>
      <c r="Y491" s="258"/>
    </row>
    <row r="492" spans="1:25" hidden="1" x14ac:dyDescent="0.3">
      <c r="A492" s="47">
        <f>IF(B492="","",SUBTOTAL(3,$B$3:B492)-1)</f>
        <v>6</v>
      </c>
      <c r="B492" s="26" t="s">
        <v>162</v>
      </c>
      <c r="C492" s="26" t="s">
        <v>25</v>
      </c>
      <c r="D492" s="24"/>
      <c r="E492" s="46">
        <f>($AA$2-O492)*$AB$2+Q492</f>
        <v>0</v>
      </c>
      <c r="F492" s="142">
        <v>6</v>
      </c>
      <c r="G492" s="175"/>
      <c r="H492" s="405"/>
      <c r="I492" s="185"/>
      <c r="J492" s="67"/>
      <c r="K492" s="194"/>
      <c r="L492" s="67"/>
      <c r="M492" s="67"/>
      <c r="N492" s="67"/>
      <c r="O492" s="73"/>
      <c r="P492" s="237"/>
      <c r="Q492" s="255"/>
      <c r="R492" s="175"/>
      <c r="S492" s="411"/>
      <c r="T492" s="190"/>
      <c r="U492" s="22"/>
      <c r="V492" s="233"/>
      <c r="W492" s="239"/>
      <c r="X492" s="403"/>
      <c r="Y492" s="258"/>
    </row>
    <row r="493" spans="1:25" hidden="1" x14ac:dyDescent="0.3">
      <c r="A493" s="47">
        <f>IF(B493="","",SUBTOTAL(3,$B$3:B493)-1)</f>
        <v>6</v>
      </c>
      <c r="B493" s="269" t="s">
        <v>162</v>
      </c>
      <c r="C493" s="269" t="s">
        <v>25</v>
      </c>
      <c r="D493" s="269">
        <v>948178308</v>
      </c>
      <c r="E493" s="46" t="s">
        <v>1214</v>
      </c>
      <c r="F493" s="301">
        <v>7</v>
      </c>
      <c r="G493" s="175" t="s">
        <v>1332</v>
      </c>
      <c r="H493" s="405"/>
      <c r="I493" s="185"/>
      <c r="J493" s="71"/>
      <c r="K493" s="194"/>
      <c r="L493" s="67"/>
      <c r="M493" s="67"/>
      <c r="N493" s="67"/>
      <c r="O493" s="73"/>
      <c r="P493" s="237"/>
      <c r="Q493" s="255"/>
      <c r="R493" s="175" t="s">
        <v>1</v>
      </c>
      <c r="S493" s="411"/>
      <c r="T493" s="190"/>
      <c r="U493" s="22"/>
      <c r="V493" s="233"/>
      <c r="W493" s="239"/>
      <c r="X493" s="403"/>
      <c r="Y493" s="323" t="s">
        <v>1031</v>
      </c>
    </row>
    <row r="494" spans="1:25" hidden="1" x14ac:dyDescent="0.3">
      <c r="A494" s="47">
        <f>IF(B494="","",SUBTOTAL(3,$B$3:B494)-1)</f>
        <v>6</v>
      </c>
      <c r="B494" s="265" t="s">
        <v>1300</v>
      </c>
      <c r="C494" s="265" t="s">
        <v>25</v>
      </c>
      <c r="D494" s="265">
        <v>343247005</v>
      </c>
      <c r="E494" s="46" t="s">
        <v>1214</v>
      </c>
      <c r="F494" s="301">
        <v>9</v>
      </c>
      <c r="G494" s="175" t="s">
        <v>415</v>
      </c>
      <c r="H494" s="405"/>
      <c r="I494" s="185"/>
      <c r="J494" s="71"/>
      <c r="K494" s="194"/>
      <c r="L494" s="67"/>
      <c r="M494" s="67"/>
      <c r="N494" s="67"/>
      <c r="O494" s="73"/>
      <c r="P494" s="237"/>
      <c r="Q494" s="255"/>
      <c r="R494" s="175" t="s">
        <v>661</v>
      </c>
      <c r="S494" s="411"/>
      <c r="T494" s="190"/>
      <c r="U494" s="22"/>
      <c r="V494" s="233"/>
      <c r="W494" s="239"/>
      <c r="X494" s="403"/>
      <c r="Y494" s="320" t="s">
        <v>1046</v>
      </c>
    </row>
    <row r="495" spans="1:25" hidden="1" x14ac:dyDescent="0.3">
      <c r="A495" s="47">
        <f>IF(B495="","",SUBTOTAL(3,$B$3:B495)-1)</f>
        <v>6</v>
      </c>
      <c r="B495" s="24" t="s">
        <v>1072</v>
      </c>
      <c r="C495" s="24" t="s">
        <v>1073</v>
      </c>
      <c r="D495" s="163"/>
      <c r="E495" s="46"/>
      <c r="F495" s="22">
        <v>9</v>
      </c>
      <c r="G495" s="175" t="s">
        <v>415</v>
      </c>
      <c r="H495" s="409" t="s">
        <v>696</v>
      </c>
      <c r="I495" s="187"/>
      <c r="J495" s="67"/>
      <c r="K495" s="194"/>
      <c r="L495" s="180"/>
      <c r="M495" s="180"/>
      <c r="N495" s="180"/>
      <c r="O495" s="181"/>
      <c r="P495" s="237"/>
      <c r="Q495" s="255"/>
      <c r="R495" s="175" t="s">
        <v>2</v>
      </c>
      <c r="S495" s="411" t="s">
        <v>661</v>
      </c>
      <c r="T495" s="190"/>
      <c r="U495" s="22"/>
      <c r="V495" s="233"/>
      <c r="W495" s="239"/>
      <c r="X495" s="403"/>
      <c r="Y495" s="258"/>
    </row>
    <row r="496" spans="1:25" hidden="1" x14ac:dyDescent="0.3">
      <c r="A496" s="47">
        <f>IF(B496="","",SUBTOTAL(3,$B$3:B496)-1)</f>
        <v>6</v>
      </c>
      <c r="B496" s="143" t="s">
        <v>765</v>
      </c>
      <c r="C496" s="143" t="s">
        <v>82</v>
      </c>
      <c r="D496" s="143">
        <v>349598291</v>
      </c>
      <c r="E496" s="46"/>
      <c r="F496" s="22">
        <v>10</v>
      </c>
      <c r="G496" s="176"/>
      <c r="H496" s="406" t="s">
        <v>635</v>
      </c>
      <c r="I496" s="188"/>
      <c r="J496" s="142"/>
      <c r="K496" s="196" t="s">
        <v>721</v>
      </c>
      <c r="L496" s="67"/>
      <c r="M496" s="67"/>
      <c r="N496" s="67"/>
      <c r="O496" s="73"/>
      <c r="P496" s="237"/>
      <c r="Q496" s="255"/>
      <c r="R496" s="175"/>
      <c r="S496" s="411" t="s">
        <v>0</v>
      </c>
      <c r="T496" s="190"/>
      <c r="U496" s="22"/>
      <c r="V496" s="233"/>
      <c r="W496" s="239"/>
      <c r="X496" s="403"/>
      <c r="Y496" s="258"/>
    </row>
    <row r="497" spans="1:25" hidden="1" x14ac:dyDescent="0.3">
      <c r="A497" s="47">
        <f>IF(B497="","",SUBTOTAL(3,$B$3:B497)-1)</f>
        <v>6</v>
      </c>
      <c r="B497" s="24" t="s">
        <v>411</v>
      </c>
      <c r="C497" s="24" t="s">
        <v>82</v>
      </c>
      <c r="D497" s="26">
        <v>859677211</v>
      </c>
      <c r="E497" s="46">
        <f>($AA$2-O497)*$AB$2+Q497</f>
        <v>0</v>
      </c>
      <c r="F497" s="22" t="s">
        <v>1213</v>
      </c>
      <c r="G497" s="175"/>
      <c r="H497" s="405"/>
      <c r="I497" s="185"/>
      <c r="J497" s="67"/>
      <c r="K497" s="194"/>
      <c r="L497" s="67"/>
      <c r="M497" s="67"/>
      <c r="N497" s="67"/>
      <c r="O497" s="73"/>
      <c r="P497" s="237"/>
      <c r="Q497" s="255"/>
      <c r="R497" s="175"/>
      <c r="S497" s="411"/>
      <c r="T497" s="190"/>
      <c r="U497" s="22"/>
      <c r="V497" s="233"/>
      <c r="W497" s="239"/>
      <c r="X497" s="403"/>
      <c r="Y497" s="258"/>
    </row>
    <row r="498" spans="1:25" hidden="1" x14ac:dyDescent="0.3">
      <c r="A498" s="47">
        <f>IF(B498="","",SUBTOTAL(3,$B$3:B498)-1)</f>
        <v>6</v>
      </c>
      <c r="B498" s="25" t="s">
        <v>618</v>
      </c>
      <c r="C498" s="243" t="s">
        <v>82</v>
      </c>
      <c r="D498" s="25"/>
      <c r="E498" s="46">
        <f>($AA$2-O498)*$AB$2+Q498</f>
        <v>0</v>
      </c>
      <c r="F498" s="22" t="s">
        <v>1213</v>
      </c>
      <c r="G498" s="175" t="s">
        <v>660</v>
      </c>
      <c r="H498" s="405"/>
      <c r="I498" s="185"/>
      <c r="J498" s="67"/>
      <c r="K498" s="194"/>
      <c r="L498" s="67"/>
      <c r="M498" s="67"/>
      <c r="N498" s="67"/>
      <c r="O498" s="73"/>
      <c r="P498" s="237"/>
      <c r="Q498" s="255"/>
      <c r="R498" s="175" t="s">
        <v>0</v>
      </c>
      <c r="S498" s="411"/>
      <c r="T498" s="190"/>
      <c r="U498" s="22"/>
      <c r="V498" s="233"/>
      <c r="W498" s="239"/>
      <c r="X498" s="403"/>
      <c r="Y498" s="258"/>
    </row>
    <row r="499" spans="1:25" hidden="1" x14ac:dyDescent="0.3">
      <c r="A499" s="47">
        <f>IF(B499="","",SUBTOTAL(3,$B$3:B499)-1)</f>
        <v>6</v>
      </c>
      <c r="B499" s="380" t="s">
        <v>1357</v>
      </c>
      <c r="C499" s="380" t="s">
        <v>82</v>
      </c>
      <c r="D499" s="380">
        <v>399645667</v>
      </c>
      <c r="E499" s="46" t="s">
        <v>1356</v>
      </c>
      <c r="F499" s="382">
        <v>5</v>
      </c>
      <c r="G499" s="175" t="s">
        <v>826</v>
      </c>
      <c r="H499" s="405"/>
      <c r="I499" s="185"/>
      <c r="J499" s="71"/>
      <c r="K499" s="194"/>
      <c r="L499" s="67"/>
      <c r="M499" s="67"/>
      <c r="N499" s="67"/>
      <c r="O499" s="73"/>
      <c r="P499" s="237"/>
      <c r="Q499" s="255"/>
      <c r="R499" s="175" t="s">
        <v>2</v>
      </c>
      <c r="S499" s="411"/>
      <c r="T499" s="190"/>
      <c r="U499" s="22"/>
      <c r="V499" s="233"/>
      <c r="W499" s="239"/>
      <c r="X499" s="403"/>
      <c r="Y499" s="383" t="s">
        <v>1376</v>
      </c>
    </row>
    <row r="500" spans="1:25" hidden="1" x14ac:dyDescent="0.3">
      <c r="A500" s="47">
        <f>IF(B500="","",SUBTOTAL(3,$B$3:B500)-1)</f>
        <v>6</v>
      </c>
      <c r="B500" s="24" t="s">
        <v>241</v>
      </c>
      <c r="C500" s="24" t="s">
        <v>1210</v>
      </c>
      <c r="D500" s="163"/>
      <c r="E500" s="46">
        <f>($AA$2-O500)*$AB$2+Q500</f>
        <v>0</v>
      </c>
      <c r="F500" s="22">
        <v>10</v>
      </c>
      <c r="G500" s="175" t="s">
        <v>415</v>
      </c>
      <c r="H500" s="405" t="s">
        <v>635</v>
      </c>
      <c r="I500" s="185" t="s">
        <v>661</v>
      </c>
      <c r="J500" s="71"/>
      <c r="K500" s="194"/>
      <c r="L500" s="180"/>
      <c r="M500" s="180"/>
      <c r="N500" s="180"/>
      <c r="O500" s="181"/>
      <c r="P500" s="237"/>
      <c r="Q500" s="255"/>
      <c r="R500" s="175" t="s">
        <v>0</v>
      </c>
      <c r="S500" s="411" t="s">
        <v>848</v>
      </c>
      <c r="T500" s="190" t="s">
        <v>1</v>
      </c>
      <c r="U500" s="22"/>
      <c r="V500" s="233"/>
      <c r="W500" s="239"/>
      <c r="X500" s="403"/>
      <c r="Y500" s="258"/>
    </row>
    <row r="501" spans="1:25" hidden="1" x14ac:dyDescent="0.3">
      <c r="A501" s="47">
        <f>IF(B501="","",SUBTOTAL(3,$B$3:B501)-1)</f>
        <v>6</v>
      </c>
      <c r="B501" s="25" t="s">
        <v>241</v>
      </c>
      <c r="C501" s="25" t="s">
        <v>1211</v>
      </c>
      <c r="D501" s="163"/>
      <c r="E501" s="46">
        <f>($AA$2-O501)*$AB$2+Q501</f>
        <v>0</v>
      </c>
      <c r="F501" s="21">
        <v>10</v>
      </c>
      <c r="G501" s="175" t="s">
        <v>415</v>
      </c>
      <c r="H501" s="405" t="s">
        <v>696</v>
      </c>
      <c r="I501" s="186" t="s">
        <v>661</v>
      </c>
      <c r="J501" s="22"/>
      <c r="K501" s="195"/>
      <c r="L501" s="182"/>
      <c r="M501" s="182"/>
      <c r="N501" s="182"/>
      <c r="O501" s="181"/>
      <c r="P501" s="237"/>
      <c r="Q501" s="255"/>
      <c r="R501" s="175" t="s">
        <v>0</v>
      </c>
      <c r="S501" s="411" t="s">
        <v>661</v>
      </c>
      <c r="T501" s="190" t="s">
        <v>1</v>
      </c>
      <c r="U501" s="22" t="s">
        <v>0</v>
      </c>
      <c r="V501" s="233"/>
      <c r="W501" s="239"/>
      <c r="X501" s="403"/>
      <c r="Y501" s="258"/>
    </row>
    <row r="502" spans="1:25" hidden="1" x14ac:dyDescent="0.3">
      <c r="A502" s="47">
        <f>IF(B502="","",SUBTOTAL(3,$B$3:B502)-1)</f>
        <v>6</v>
      </c>
      <c r="B502" s="143" t="s">
        <v>812</v>
      </c>
      <c r="C502" s="143" t="s">
        <v>133</v>
      </c>
      <c r="D502" s="143">
        <v>775861629</v>
      </c>
      <c r="E502" s="46"/>
      <c r="F502" s="22">
        <v>5</v>
      </c>
      <c r="G502" s="176"/>
      <c r="H502" s="406"/>
      <c r="I502" s="188"/>
      <c r="J502" s="142"/>
      <c r="K502" s="196" t="s">
        <v>721</v>
      </c>
      <c r="L502" s="67"/>
      <c r="M502" s="67"/>
      <c r="N502" s="67"/>
      <c r="O502" s="73"/>
      <c r="P502" s="237"/>
      <c r="Q502" s="255"/>
      <c r="R502" s="175"/>
      <c r="S502" s="411"/>
      <c r="T502" s="190"/>
      <c r="U502" s="22"/>
      <c r="V502" s="233"/>
      <c r="W502" s="239"/>
      <c r="X502" s="403"/>
      <c r="Y502" s="258"/>
    </row>
    <row r="503" spans="1:25" hidden="1" x14ac:dyDescent="0.3">
      <c r="A503" s="47">
        <f>IF(B503="","",SUBTOTAL(3,$B$3:B503)-1)</f>
        <v>6</v>
      </c>
      <c r="B503" s="143" t="s">
        <v>766</v>
      </c>
      <c r="C503" s="143" t="s">
        <v>133</v>
      </c>
      <c r="D503" s="143">
        <v>377446278</v>
      </c>
      <c r="E503" s="46"/>
      <c r="F503" s="22">
        <v>10</v>
      </c>
      <c r="G503" s="176"/>
      <c r="H503" s="406" t="s">
        <v>635</v>
      </c>
      <c r="I503" s="188"/>
      <c r="J503" s="142"/>
      <c r="K503" s="196" t="s">
        <v>721</v>
      </c>
      <c r="L503" s="67"/>
      <c r="M503" s="67"/>
      <c r="N503" s="67"/>
      <c r="O503" s="73"/>
      <c r="P503" s="237"/>
      <c r="Q503" s="255"/>
      <c r="R503" s="175"/>
      <c r="S503" s="411" t="s">
        <v>0</v>
      </c>
      <c r="T503" s="190"/>
      <c r="U503" s="22"/>
      <c r="V503" s="233"/>
      <c r="W503" s="239"/>
      <c r="X503" s="403"/>
      <c r="Y503" s="258"/>
    </row>
    <row r="504" spans="1:25" hidden="1" x14ac:dyDescent="0.3">
      <c r="A504" s="47">
        <f>IF(B504="","",SUBTOTAL(3,$B$3:B504)-1)</f>
        <v>6</v>
      </c>
      <c r="B504" s="24" t="s">
        <v>255</v>
      </c>
      <c r="C504" s="24" t="s">
        <v>133</v>
      </c>
      <c r="D504" s="163"/>
      <c r="E504" s="46">
        <f>($AA$2-O504)*$AB$2+Q504</f>
        <v>0</v>
      </c>
      <c r="F504" s="21" t="s">
        <v>1213</v>
      </c>
      <c r="G504" s="175"/>
      <c r="H504" s="405"/>
      <c r="I504" s="185"/>
      <c r="J504" s="67"/>
      <c r="K504" s="194"/>
      <c r="L504" s="67"/>
      <c r="M504" s="67"/>
      <c r="N504" s="67"/>
      <c r="O504" s="73"/>
      <c r="P504" s="237"/>
      <c r="Q504" s="255"/>
      <c r="R504" s="175"/>
      <c r="S504" s="411"/>
      <c r="T504" s="190"/>
      <c r="U504" s="22"/>
      <c r="V504" s="233"/>
      <c r="W504" s="239"/>
      <c r="X504" s="403"/>
      <c r="Y504" s="258"/>
    </row>
    <row r="505" spans="1:25" hidden="1" x14ac:dyDescent="0.3">
      <c r="A505" s="47">
        <f>IF(B505="","",SUBTOTAL(3,$B$3:B505)-1)</f>
        <v>6</v>
      </c>
      <c r="B505" s="25" t="s">
        <v>208</v>
      </c>
      <c r="C505" s="25" t="s">
        <v>133</v>
      </c>
      <c r="D505" s="163"/>
      <c r="E505" s="46">
        <f>($AA$2-O505)*$AB$2+Q505</f>
        <v>0</v>
      </c>
      <c r="F505" s="142">
        <v>7</v>
      </c>
      <c r="G505" s="175" t="s">
        <v>415</v>
      </c>
      <c r="H505" s="405" t="s">
        <v>696</v>
      </c>
      <c r="I505" s="185" t="s">
        <v>634</v>
      </c>
      <c r="J505" s="67"/>
      <c r="K505" s="194"/>
      <c r="L505" s="180"/>
      <c r="M505" s="180"/>
      <c r="N505" s="180"/>
      <c r="O505" s="181"/>
      <c r="P505" s="237" t="s">
        <v>1</v>
      </c>
      <c r="Q505" s="255"/>
      <c r="R505" s="175" t="s">
        <v>848</v>
      </c>
      <c r="S505" s="411" t="s">
        <v>848</v>
      </c>
      <c r="T505" s="190" t="s">
        <v>0</v>
      </c>
      <c r="U505" s="22"/>
      <c r="V505" s="233"/>
      <c r="W505" s="239" t="s">
        <v>0</v>
      </c>
      <c r="X505" s="403"/>
      <c r="Y505" s="258"/>
    </row>
    <row r="506" spans="1:25" hidden="1" x14ac:dyDescent="0.3">
      <c r="A506" s="47">
        <f>IF(B506="","",SUBTOTAL(3,$B$3:B506)-1)</f>
        <v>6</v>
      </c>
      <c r="B506" s="39" t="s">
        <v>293</v>
      </c>
      <c r="C506" s="24" t="s">
        <v>133</v>
      </c>
      <c r="D506" s="163"/>
      <c r="E506" s="46"/>
      <c r="F506" s="142">
        <v>7</v>
      </c>
      <c r="G506" s="176" t="s">
        <v>415</v>
      </c>
      <c r="H506" s="406"/>
      <c r="I506" s="185"/>
      <c r="J506" s="67"/>
      <c r="K506" s="194"/>
      <c r="L506" s="180"/>
      <c r="M506" s="180"/>
      <c r="N506" s="180"/>
      <c r="O506" s="181"/>
      <c r="P506" s="237"/>
      <c r="Q506" s="255"/>
      <c r="R506" s="175" t="s">
        <v>2</v>
      </c>
      <c r="S506" s="411"/>
      <c r="T506" s="190"/>
      <c r="U506" s="22"/>
      <c r="V506" s="233"/>
      <c r="W506" s="239"/>
      <c r="X506" s="403"/>
      <c r="Y506" s="258"/>
    </row>
    <row r="507" spans="1:25" hidden="1" x14ac:dyDescent="0.3">
      <c r="A507" s="47">
        <f>IF(B507="","",SUBTOTAL(3,$B$3:B507)-1)</f>
        <v>6</v>
      </c>
      <c r="B507" s="24" t="s">
        <v>1112</v>
      </c>
      <c r="C507" s="24" t="s">
        <v>133</v>
      </c>
      <c r="D507" s="25"/>
      <c r="E507" s="46"/>
      <c r="F507" s="22">
        <v>8</v>
      </c>
      <c r="G507" s="175" t="s">
        <v>415</v>
      </c>
      <c r="H507" s="405"/>
      <c r="I507" s="185"/>
      <c r="J507" s="71"/>
      <c r="K507" s="194"/>
      <c r="L507" s="67"/>
      <c r="M507" s="67"/>
      <c r="N507" s="67"/>
      <c r="O507" s="73"/>
      <c r="P507" s="237" t="s">
        <v>0</v>
      </c>
      <c r="Q507" s="255"/>
      <c r="R507" s="175" t="s">
        <v>0</v>
      </c>
      <c r="S507" s="411"/>
      <c r="T507" s="190"/>
      <c r="U507" s="22"/>
      <c r="V507" s="233"/>
      <c r="W507" s="239"/>
      <c r="X507" s="403"/>
      <c r="Y507" s="258"/>
    </row>
    <row r="508" spans="1:25" hidden="1" x14ac:dyDescent="0.3">
      <c r="A508" s="47">
        <f>IF(B508="","",SUBTOTAL(3,$B$3:B508)-1)</f>
        <v>6</v>
      </c>
      <c r="B508" s="24" t="s">
        <v>672</v>
      </c>
      <c r="C508" s="24" t="s">
        <v>133</v>
      </c>
      <c r="D508" s="163"/>
      <c r="E508" s="46">
        <f>($AA$2-O508)*$AB$2+Q508</f>
        <v>0</v>
      </c>
      <c r="F508" s="22">
        <v>9</v>
      </c>
      <c r="G508" s="175"/>
      <c r="H508" s="409"/>
      <c r="I508" s="185"/>
      <c r="J508" s="67"/>
      <c r="K508" s="194"/>
      <c r="L508" s="67"/>
      <c r="M508" s="67"/>
      <c r="N508" s="67"/>
      <c r="O508" s="73"/>
      <c r="P508" s="237"/>
      <c r="Q508" s="255"/>
      <c r="R508" s="175"/>
      <c r="S508" s="411"/>
      <c r="T508" s="190"/>
      <c r="U508" s="22"/>
      <c r="V508" s="233"/>
      <c r="W508" s="239"/>
      <c r="X508" s="403"/>
      <c r="Y508" s="258"/>
    </row>
    <row r="509" spans="1:25" ht="37.5" hidden="1" x14ac:dyDescent="0.3">
      <c r="A509" s="47">
        <f>IF(B509="","",SUBTOTAL(3,$B$3:B509)-1)</f>
        <v>6</v>
      </c>
      <c r="B509" s="265" t="s">
        <v>1352</v>
      </c>
      <c r="C509" s="265" t="s">
        <v>1353</v>
      </c>
      <c r="D509" s="265" t="s">
        <v>1317</v>
      </c>
      <c r="E509" s="46" t="s">
        <v>1214</v>
      </c>
      <c r="F509" s="301">
        <v>7</v>
      </c>
      <c r="G509" s="175" t="s">
        <v>1332</v>
      </c>
      <c r="H509" s="405" t="s">
        <v>696</v>
      </c>
      <c r="I509" s="185"/>
      <c r="J509" s="71"/>
      <c r="K509" s="194"/>
      <c r="L509" s="67"/>
      <c r="M509" s="67"/>
      <c r="N509" s="67"/>
      <c r="O509" s="73"/>
      <c r="P509" s="237"/>
      <c r="Q509" s="255"/>
      <c r="R509" s="175" t="s">
        <v>661</v>
      </c>
      <c r="S509" s="411" t="s">
        <v>1</v>
      </c>
      <c r="T509" s="190"/>
      <c r="U509" s="22"/>
      <c r="V509" s="233"/>
      <c r="W509" s="239"/>
      <c r="X509" s="403"/>
      <c r="Y509" s="320" t="s">
        <v>1323</v>
      </c>
    </row>
    <row r="510" spans="1:25" hidden="1" x14ac:dyDescent="0.3">
      <c r="A510" s="47">
        <f>IF(B510="","",SUBTOTAL(3,$B$3:B510)-1)</f>
        <v>6</v>
      </c>
      <c r="B510" s="143" t="s">
        <v>893</v>
      </c>
      <c r="C510" s="143" t="s">
        <v>891</v>
      </c>
      <c r="D510" s="143"/>
      <c r="E510" s="46">
        <f>($AA$2-O510)*$AB$2+Q510</f>
        <v>0</v>
      </c>
      <c r="F510" s="22">
        <v>8</v>
      </c>
      <c r="G510" s="175"/>
      <c r="H510" s="405"/>
      <c r="I510" s="185"/>
      <c r="J510" s="67"/>
      <c r="K510" s="194"/>
      <c r="L510" s="67"/>
      <c r="M510" s="67"/>
      <c r="N510" s="67"/>
      <c r="O510" s="73"/>
      <c r="P510" s="237"/>
      <c r="Q510" s="255"/>
      <c r="R510" s="175"/>
      <c r="S510" s="411"/>
      <c r="T510" s="190"/>
      <c r="U510" s="22"/>
      <c r="V510" s="233"/>
      <c r="W510" s="239"/>
      <c r="X510" s="403"/>
      <c r="Y510" s="258"/>
    </row>
    <row r="511" spans="1:25" hidden="1" x14ac:dyDescent="0.3">
      <c r="A511" s="47">
        <f>IF(B511="","",SUBTOTAL(3,$B$3:B511)-1)</f>
        <v>6</v>
      </c>
      <c r="B511" s="24" t="s">
        <v>507</v>
      </c>
      <c r="C511" s="24" t="s">
        <v>508</v>
      </c>
      <c r="D511" s="163">
        <v>388649245</v>
      </c>
      <c r="E511" s="46">
        <f>($AA$2-O511)*$AB$2+Q511</f>
        <v>0</v>
      </c>
      <c r="F511" s="22">
        <v>9</v>
      </c>
      <c r="G511" s="175"/>
      <c r="H511" s="409"/>
      <c r="I511" s="187"/>
      <c r="J511" s="67"/>
      <c r="K511" s="194"/>
      <c r="L511" s="67"/>
      <c r="M511" s="67"/>
      <c r="N511" s="67"/>
      <c r="O511" s="73"/>
      <c r="P511" s="237"/>
      <c r="Q511" s="255"/>
      <c r="R511" s="175"/>
      <c r="S511" s="411"/>
      <c r="T511" s="190"/>
      <c r="U511" s="22"/>
      <c r="V511" s="233"/>
      <c r="W511" s="239"/>
      <c r="X511" s="403"/>
      <c r="Y511" s="258"/>
    </row>
    <row r="512" spans="1:25" hidden="1" x14ac:dyDescent="0.3">
      <c r="A512" s="47">
        <f>IF(B512="","",SUBTOTAL(3,$B$3:B512)-1)</f>
        <v>6</v>
      </c>
      <c r="B512" s="143" t="s">
        <v>642</v>
      </c>
      <c r="C512" s="146" t="s">
        <v>13</v>
      </c>
      <c r="D512" s="143"/>
      <c r="E512" s="46"/>
      <c r="F512" s="142">
        <v>3</v>
      </c>
      <c r="G512" s="176"/>
      <c r="H512" s="407" t="s">
        <v>634</v>
      </c>
      <c r="I512" s="189"/>
      <c r="J512" s="67"/>
      <c r="K512" s="194"/>
      <c r="L512" s="180"/>
      <c r="M512" s="180"/>
      <c r="N512" s="180"/>
      <c r="O512" s="181"/>
      <c r="P512" s="237"/>
      <c r="Q512" s="255"/>
      <c r="R512" s="175"/>
      <c r="S512" s="411"/>
      <c r="T512" s="190"/>
      <c r="U512" s="22"/>
      <c r="V512" s="233"/>
      <c r="W512" s="239"/>
      <c r="X512" s="403"/>
      <c r="Y512" s="258"/>
    </row>
    <row r="513" spans="1:25" hidden="1" x14ac:dyDescent="0.3">
      <c r="A513" s="47">
        <f>IF(B513="","",SUBTOTAL(3,$B$3:B513)-1)</f>
        <v>6</v>
      </c>
      <c r="B513" s="269" t="s">
        <v>1238</v>
      </c>
      <c r="C513" s="269" t="s">
        <v>13</v>
      </c>
      <c r="D513" s="269">
        <v>377774682</v>
      </c>
      <c r="E513" s="46" t="s">
        <v>1214</v>
      </c>
      <c r="F513" s="301">
        <v>4</v>
      </c>
      <c r="G513" s="175"/>
      <c r="H513" s="405" t="s">
        <v>634</v>
      </c>
      <c r="I513" s="185"/>
      <c r="J513" s="71"/>
      <c r="K513" s="194"/>
      <c r="L513" s="67"/>
      <c r="M513" s="67"/>
      <c r="N513" s="67"/>
      <c r="O513" s="73"/>
      <c r="P513" s="237"/>
      <c r="Q513" s="255"/>
      <c r="R513" s="175"/>
      <c r="S513" s="411"/>
      <c r="T513" s="190"/>
      <c r="U513" s="22"/>
      <c r="V513" s="233"/>
      <c r="W513" s="239"/>
      <c r="X513" s="403"/>
      <c r="Y513" s="323">
        <v>4</v>
      </c>
    </row>
    <row r="514" spans="1:25" hidden="1" x14ac:dyDescent="0.3">
      <c r="A514" s="47">
        <f>IF(B514="","",SUBTOTAL(3,$B$3:B514)-1)</f>
        <v>6</v>
      </c>
      <c r="B514" s="380" t="s">
        <v>1365</v>
      </c>
      <c r="C514" s="380" t="s">
        <v>13</v>
      </c>
      <c r="D514" s="381"/>
      <c r="E514" s="46" t="s">
        <v>1356</v>
      </c>
      <c r="F514" s="380">
        <v>4</v>
      </c>
      <c r="G514" s="175" t="s">
        <v>826</v>
      </c>
      <c r="H514" s="405"/>
      <c r="I514" s="185"/>
      <c r="J514" s="71"/>
      <c r="K514" s="194"/>
      <c r="L514" s="67"/>
      <c r="M514" s="67"/>
      <c r="N514" s="67"/>
      <c r="O514" s="73"/>
      <c r="P514" s="237"/>
      <c r="Q514" s="255"/>
      <c r="R514" s="175" t="s">
        <v>1</v>
      </c>
      <c r="S514" s="411"/>
      <c r="T514" s="190"/>
      <c r="U514" s="22"/>
      <c r="V514" s="233"/>
      <c r="W514" s="239"/>
      <c r="X514" s="403"/>
      <c r="Y514" s="383" t="s">
        <v>1383</v>
      </c>
    </row>
    <row r="515" spans="1:25" hidden="1" x14ac:dyDescent="0.3">
      <c r="A515" s="47">
        <f>IF(B515="","",SUBTOTAL(3,$B$3:B515)-1)</f>
        <v>6</v>
      </c>
      <c r="B515" s="24" t="s">
        <v>143</v>
      </c>
      <c r="C515" s="24" t="s">
        <v>13</v>
      </c>
      <c r="D515" s="24"/>
      <c r="E515" s="46">
        <f>($AA$2-O515)*$AB$2+Q515</f>
        <v>0</v>
      </c>
      <c r="F515" s="22">
        <v>5</v>
      </c>
      <c r="G515" s="175"/>
      <c r="H515" s="405"/>
      <c r="I515" s="185"/>
      <c r="J515" s="67"/>
      <c r="K515" s="194"/>
      <c r="L515" s="67"/>
      <c r="M515" s="67"/>
      <c r="N515" s="67"/>
      <c r="O515" s="73"/>
      <c r="P515" s="237"/>
      <c r="Q515" s="255"/>
      <c r="R515" s="175"/>
      <c r="S515" s="411"/>
      <c r="T515" s="190"/>
      <c r="U515" s="22"/>
      <c r="V515" s="233"/>
      <c r="W515" s="239"/>
      <c r="X515" s="403"/>
      <c r="Y515" s="258"/>
    </row>
    <row r="516" spans="1:25" hidden="1" x14ac:dyDescent="0.3">
      <c r="A516" s="47">
        <f>IF(B516="","",SUBTOTAL(3,$B$3:B516)-1)</f>
        <v>6</v>
      </c>
      <c r="B516" s="26" t="s">
        <v>877</v>
      </c>
      <c r="C516" s="26" t="s">
        <v>13</v>
      </c>
      <c r="D516" s="163">
        <v>362088079</v>
      </c>
      <c r="E516" s="46"/>
      <c r="F516" s="22">
        <v>5</v>
      </c>
      <c r="G516" s="176" t="s">
        <v>660</v>
      </c>
      <c r="H516" s="408"/>
      <c r="I516" s="186"/>
      <c r="J516" s="68"/>
      <c r="K516" s="195"/>
      <c r="L516" s="68"/>
      <c r="M516" s="68"/>
      <c r="N516" s="68"/>
      <c r="O516" s="73"/>
      <c r="P516" s="237" t="s">
        <v>1</v>
      </c>
      <c r="Q516" s="255"/>
      <c r="R516" s="175" t="s">
        <v>0</v>
      </c>
      <c r="S516" s="411"/>
      <c r="T516" s="190"/>
      <c r="U516" s="22"/>
      <c r="V516" s="233"/>
      <c r="W516" s="239" t="s">
        <v>0</v>
      </c>
      <c r="X516" s="403"/>
      <c r="Y516" s="258"/>
    </row>
    <row r="517" spans="1:25" hidden="1" x14ac:dyDescent="0.3">
      <c r="A517" s="47">
        <f>IF(B517="","",SUBTOTAL(3,$B$3:B517)-1)</f>
        <v>6</v>
      </c>
      <c r="B517" s="25" t="s">
        <v>978</v>
      </c>
      <c r="C517" s="25" t="s">
        <v>13</v>
      </c>
      <c r="D517" s="24" t="s">
        <v>979</v>
      </c>
      <c r="E517" s="46"/>
      <c r="F517" s="21">
        <v>5</v>
      </c>
      <c r="G517" s="176"/>
      <c r="H517" s="405"/>
      <c r="I517" s="185"/>
      <c r="J517" s="67"/>
      <c r="K517" s="194"/>
      <c r="L517" s="67"/>
      <c r="M517" s="67"/>
      <c r="N517" s="67"/>
      <c r="O517" s="73"/>
      <c r="P517" s="237" t="s">
        <v>1</v>
      </c>
      <c r="Q517" s="255"/>
      <c r="R517" s="175"/>
      <c r="S517" s="411"/>
      <c r="T517" s="190"/>
      <c r="U517" s="22"/>
      <c r="V517" s="233"/>
      <c r="W517" s="239" t="s">
        <v>0</v>
      </c>
      <c r="X517" s="403"/>
      <c r="Y517" s="258"/>
    </row>
    <row r="518" spans="1:25" hidden="1" x14ac:dyDescent="0.3">
      <c r="A518" s="47">
        <f>IF(B518="","",SUBTOTAL(3,$B$3:B518)-1)</f>
        <v>6</v>
      </c>
      <c r="B518" s="24" t="s">
        <v>630</v>
      </c>
      <c r="C518" s="24" t="s">
        <v>13</v>
      </c>
      <c r="D518" s="163"/>
      <c r="E518" s="46"/>
      <c r="F518" s="21">
        <v>10</v>
      </c>
      <c r="G518" s="175"/>
      <c r="H518" s="405" t="s">
        <v>635</v>
      </c>
      <c r="I518" s="187" t="s">
        <v>661</v>
      </c>
      <c r="J518" s="71" t="s">
        <v>661</v>
      </c>
      <c r="K518" s="194"/>
      <c r="L518" s="67"/>
      <c r="M518" s="67"/>
      <c r="N518" s="67"/>
      <c r="O518" s="73"/>
      <c r="P518" s="237"/>
      <c r="Q518" s="255"/>
      <c r="R518" s="175"/>
      <c r="S518" s="411" t="s">
        <v>1</v>
      </c>
      <c r="T518" s="190" t="s">
        <v>1</v>
      </c>
      <c r="U518" s="22" t="s">
        <v>0</v>
      </c>
      <c r="V518" s="233"/>
      <c r="W518" s="239"/>
      <c r="X518" s="403"/>
      <c r="Y518" s="258"/>
    </row>
    <row r="519" spans="1:25" hidden="1" x14ac:dyDescent="0.3">
      <c r="A519" s="47">
        <f>IF(B519="","",SUBTOTAL(3,$B$3:B519)-1)</f>
        <v>6</v>
      </c>
      <c r="B519" s="24" t="s">
        <v>484</v>
      </c>
      <c r="C519" s="24" t="s">
        <v>13</v>
      </c>
      <c r="D519" s="163"/>
      <c r="E519" s="46">
        <f>($AA$2-O519)*$AB$2+Q519</f>
        <v>0</v>
      </c>
      <c r="F519" s="22">
        <v>11</v>
      </c>
      <c r="G519" s="175"/>
      <c r="H519" s="405" t="s">
        <v>1</v>
      </c>
      <c r="I519" s="185"/>
      <c r="J519" s="67"/>
      <c r="K519" s="194"/>
      <c r="L519" s="67"/>
      <c r="M519" s="67"/>
      <c r="N519" s="67"/>
      <c r="O519" s="73"/>
      <c r="P519" s="237"/>
      <c r="Q519" s="255"/>
      <c r="R519" s="175"/>
      <c r="S519" s="411" t="s">
        <v>0</v>
      </c>
      <c r="T519" s="190"/>
      <c r="U519" s="22"/>
      <c r="V519" s="233"/>
      <c r="W519" s="239"/>
      <c r="X519" s="403"/>
      <c r="Y519" s="258"/>
    </row>
    <row r="520" spans="1:25" hidden="1" x14ac:dyDescent="0.3">
      <c r="A520" s="47">
        <f>IF(B520="","",SUBTOTAL(3,$B$3:B520)-1)</f>
        <v>6</v>
      </c>
      <c r="B520" s="24" t="s">
        <v>285</v>
      </c>
      <c r="C520" s="24" t="s">
        <v>13</v>
      </c>
      <c r="D520" s="26"/>
      <c r="E520" s="46">
        <f>($AA$2-O520)*$AB$2+Q520</f>
        <v>0</v>
      </c>
      <c r="F520" s="22">
        <v>10</v>
      </c>
      <c r="G520" s="175" t="s">
        <v>415</v>
      </c>
      <c r="H520" s="405"/>
      <c r="I520" s="185" t="s">
        <v>661</v>
      </c>
      <c r="J520" s="71"/>
      <c r="K520" s="194"/>
      <c r="L520" s="67"/>
      <c r="M520" s="67"/>
      <c r="N520" s="67"/>
      <c r="O520" s="73"/>
      <c r="P520" s="237"/>
      <c r="Q520" s="255"/>
      <c r="R520" s="175" t="s">
        <v>1</v>
      </c>
      <c r="S520" s="411"/>
      <c r="T520" s="190" t="s">
        <v>0</v>
      </c>
      <c r="U520" s="22"/>
      <c r="V520" s="233"/>
      <c r="W520" s="239"/>
      <c r="X520" s="403"/>
      <c r="Y520" s="258"/>
    </row>
    <row r="521" spans="1:25" hidden="1" x14ac:dyDescent="0.3">
      <c r="A521" s="47">
        <f>IF(B521="","",SUBTOTAL(3,$B$3:B521)-1)</f>
        <v>6</v>
      </c>
      <c r="B521" s="24" t="s">
        <v>1148</v>
      </c>
      <c r="C521" s="24" t="s">
        <v>13</v>
      </c>
      <c r="D521" s="24"/>
      <c r="E521" s="46"/>
      <c r="F521" s="142">
        <v>6</v>
      </c>
      <c r="G521" s="175" t="s">
        <v>660</v>
      </c>
      <c r="H521" s="405"/>
      <c r="I521" s="185"/>
      <c r="J521" s="67"/>
      <c r="K521" s="194"/>
      <c r="L521" s="67"/>
      <c r="M521" s="67"/>
      <c r="N521" s="67"/>
      <c r="O521" s="73"/>
      <c r="P521" s="237"/>
      <c r="Q521" s="255"/>
      <c r="R521" s="175" t="s">
        <v>0</v>
      </c>
      <c r="S521" s="411"/>
      <c r="T521" s="190"/>
      <c r="U521" s="22"/>
      <c r="V521" s="233"/>
      <c r="W521" s="239"/>
      <c r="X521" s="403"/>
      <c r="Y521" s="258"/>
    </row>
    <row r="522" spans="1:25" x14ac:dyDescent="0.3">
      <c r="A522" s="47">
        <f>IF(B522="","",SUBTOTAL(3,$B$3:B522)-1)</f>
        <v>7</v>
      </c>
      <c r="B522" s="26" t="s">
        <v>632</v>
      </c>
      <c r="C522" s="26" t="s">
        <v>13</v>
      </c>
      <c r="D522" s="163"/>
      <c r="E522" s="46">
        <f>($AA$2-O522)*$AB$2+Q522</f>
        <v>0</v>
      </c>
      <c r="F522" s="142">
        <v>6</v>
      </c>
      <c r="G522" s="175"/>
      <c r="H522" s="408" t="s">
        <v>634</v>
      </c>
      <c r="I522" s="186" t="s">
        <v>634</v>
      </c>
      <c r="J522" s="68"/>
      <c r="K522" s="195"/>
      <c r="L522" s="68"/>
      <c r="M522" s="68"/>
      <c r="N522" s="68"/>
      <c r="O522" s="73"/>
      <c r="P522" s="237"/>
      <c r="Q522" s="255"/>
      <c r="R522" s="175"/>
      <c r="S522" s="411"/>
      <c r="T522" s="190" t="s">
        <v>0</v>
      </c>
      <c r="U522" s="22"/>
      <c r="V522" s="233"/>
      <c r="W522" s="239"/>
      <c r="X522" s="403"/>
      <c r="Y522" s="258"/>
    </row>
    <row r="523" spans="1:25" hidden="1" x14ac:dyDescent="0.3">
      <c r="A523" s="47">
        <f>IF(B523="","",SUBTOTAL(3,$B$3:B523)-1)</f>
        <v>7</v>
      </c>
      <c r="B523" s="26" t="s">
        <v>161</v>
      </c>
      <c r="C523" s="26" t="s">
        <v>13</v>
      </c>
      <c r="D523" s="163"/>
      <c r="E523" s="46">
        <f>($AA$2-O523)*$AB$2+Q523</f>
        <v>0</v>
      </c>
      <c r="F523" s="142">
        <v>6</v>
      </c>
      <c r="G523" s="175"/>
      <c r="H523" s="405"/>
      <c r="I523" s="185"/>
      <c r="J523" s="67"/>
      <c r="K523" s="194"/>
      <c r="L523" s="67"/>
      <c r="M523" s="67"/>
      <c r="N523" s="67"/>
      <c r="O523" s="73"/>
      <c r="P523" s="237"/>
      <c r="Q523" s="255"/>
      <c r="R523" s="175"/>
      <c r="S523" s="411"/>
      <c r="T523" s="190"/>
      <c r="U523" s="22"/>
      <c r="V523" s="233"/>
      <c r="W523" s="239"/>
      <c r="X523" s="403"/>
      <c r="Y523" s="258"/>
    </row>
    <row r="524" spans="1:25" hidden="1" x14ac:dyDescent="0.3">
      <c r="A524" s="47">
        <f>IF(B524="","",SUBTOTAL(3,$B$3:B524)-1)</f>
        <v>7</v>
      </c>
      <c r="B524" s="143" t="s">
        <v>510</v>
      </c>
      <c r="C524" s="143" t="s">
        <v>13</v>
      </c>
      <c r="D524" s="143">
        <v>328202289</v>
      </c>
      <c r="E524" s="46"/>
      <c r="F524" s="142">
        <v>7</v>
      </c>
      <c r="G524" s="175"/>
      <c r="H524" s="406" t="s">
        <v>635</v>
      </c>
      <c r="I524" s="188"/>
      <c r="J524" s="142"/>
      <c r="K524" s="196" t="s">
        <v>721</v>
      </c>
      <c r="L524" s="67"/>
      <c r="M524" s="67"/>
      <c r="N524" s="67"/>
      <c r="O524" s="73"/>
      <c r="P524" s="237"/>
      <c r="Q524" s="255"/>
      <c r="R524" s="175"/>
      <c r="S524" s="411" t="s">
        <v>1</v>
      </c>
      <c r="T524" s="190"/>
      <c r="U524" s="22"/>
      <c r="V524" s="233"/>
      <c r="W524" s="239"/>
      <c r="X524" s="403"/>
      <c r="Y524" s="258"/>
    </row>
    <row r="525" spans="1:25" hidden="1" x14ac:dyDescent="0.3">
      <c r="A525" s="47">
        <f>IF(B525="","",SUBTOTAL(3,$B$3:B525)-1)</f>
        <v>7</v>
      </c>
      <c r="B525" s="26" t="s">
        <v>441</v>
      </c>
      <c r="C525" s="26" t="s">
        <v>13</v>
      </c>
      <c r="D525" s="26">
        <v>332795269</v>
      </c>
      <c r="E525" s="46">
        <f>($AA$2-O525)*$AB$2+Q525</f>
        <v>0</v>
      </c>
      <c r="F525" s="22">
        <v>8</v>
      </c>
      <c r="G525" s="175" t="s">
        <v>415</v>
      </c>
      <c r="H525" s="405"/>
      <c r="I525" s="185"/>
      <c r="J525" s="67"/>
      <c r="K525" s="194"/>
      <c r="L525" s="180"/>
      <c r="M525" s="180"/>
      <c r="N525" s="180"/>
      <c r="O525" s="181"/>
      <c r="P525" s="237"/>
      <c r="Q525" s="255"/>
      <c r="R525" s="175" t="s">
        <v>1</v>
      </c>
      <c r="S525" s="411"/>
      <c r="T525" s="190"/>
      <c r="U525" s="22"/>
      <c r="V525" s="233"/>
      <c r="W525" s="239"/>
      <c r="X525" s="403"/>
      <c r="Y525" s="258"/>
    </row>
    <row r="526" spans="1:25" hidden="1" x14ac:dyDescent="0.3">
      <c r="A526" s="47">
        <f>IF(B526="","",SUBTOTAL(3,$B$3:B526)-1)</f>
        <v>7</v>
      </c>
      <c r="B526" s="4" t="s">
        <v>629</v>
      </c>
      <c r="C526" s="26" t="s">
        <v>13</v>
      </c>
      <c r="D526" s="26"/>
      <c r="E526" s="46">
        <f>($AA$2-O526)*$AB$2+Q526</f>
        <v>0</v>
      </c>
      <c r="F526" s="22">
        <v>8</v>
      </c>
      <c r="G526" s="175"/>
      <c r="H526" s="405" t="s">
        <v>660</v>
      </c>
      <c r="I526" s="185"/>
      <c r="J526" s="67"/>
      <c r="K526" s="194"/>
      <c r="L526" s="67"/>
      <c r="M526" s="67"/>
      <c r="N526" s="67"/>
      <c r="O526" s="73"/>
      <c r="P526" s="237"/>
      <c r="Q526" s="255"/>
      <c r="R526" s="175"/>
      <c r="S526" s="411" t="s">
        <v>0</v>
      </c>
      <c r="T526" s="190"/>
      <c r="U526" s="22"/>
      <c r="V526" s="233"/>
      <c r="W526" s="239"/>
      <c r="X526" s="403"/>
      <c r="Y526" s="258"/>
    </row>
    <row r="527" spans="1:25" hidden="1" x14ac:dyDescent="0.3">
      <c r="A527" s="47">
        <f>IF(B527="","",SUBTOTAL(3,$B$3:B527)-1)</f>
        <v>7</v>
      </c>
      <c r="B527" s="143" t="s">
        <v>774</v>
      </c>
      <c r="C527" s="143" t="s">
        <v>13</v>
      </c>
      <c r="D527" s="143">
        <v>939839925</v>
      </c>
      <c r="E527" s="46"/>
      <c r="F527" s="22">
        <v>8</v>
      </c>
      <c r="G527" s="176"/>
      <c r="H527" s="406"/>
      <c r="I527" s="188"/>
      <c r="J527" s="142"/>
      <c r="K527" s="196" t="s">
        <v>721</v>
      </c>
      <c r="L527" s="67"/>
      <c r="M527" s="67"/>
      <c r="N527" s="67"/>
      <c r="O527" s="73"/>
      <c r="P527" s="237"/>
      <c r="Q527" s="255"/>
      <c r="R527" s="175"/>
      <c r="S527" s="411"/>
      <c r="T527" s="190"/>
      <c r="U527" s="22"/>
      <c r="V527" s="233"/>
      <c r="W527" s="239"/>
      <c r="X527" s="403"/>
      <c r="Y527" s="258"/>
    </row>
    <row r="528" spans="1:25" hidden="1" x14ac:dyDescent="0.3">
      <c r="A528" s="47">
        <f>IF(B528="","",SUBTOTAL(3,$B$3:B528)-1)</f>
        <v>7</v>
      </c>
      <c r="B528" s="25" t="s">
        <v>198</v>
      </c>
      <c r="C528" s="25" t="s">
        <v>13</v>
      </c>
      <c r="D528" s="163"/>
      <c r="E528" s="46">
        <f>($AA$2-O528)*$AB$2+Q528</f>
        <v>0</v>
      </c>
      <c r="F528" s="22">
        <v>9</v>
      </c>
      <c r="G528" s="175" t="s">
        <v>415</v>
      </c>
      <c r="H528" s="409" t="s">
        <v>660</v>
      </c>
      <c r="I528" s="187" t="s">
        <v>661</v>
      </c>
      <c r="J528" s="67"/>
      <c r="K528" s="194"/>
      <c r="L528" s="180"/>
      <c r="M528" s="180"/>
      <c r="N528" s="180"/>
      <c r="O528" s="181"/>
      <c r="P528" s="237"/>
      <c r="Q528" s="255"/>
      <c r="R528" s="175" t="s">
        <v>848</v>
      </c>
      <c r="S528" s="411" t="s">
        <v>1</v>
      </c>
      <c r="T528" s="190" t="s">
        <v>1</v>
      </c>
      <c r="U528" s="22"/>
      <c r="V528" s="233"/>
      <c r="W528" s="239"/>
      <c r="X528" s="403"/>
      <c r="Y528" s="258"/>
    </row>
    <row r="529" spans="1:25" hidden="1" x14ac:dyDescent="0.3">
      <c r="A529" s="47">
        <f>IF(B529="","",SUBTOTAL(3,$B$3:B529)-1)</f>
        <v>7</v>
      </c>
      <c r="B529" s="24" t="s">
        <v>1000</v>
      </c>
      <c r="C529" s="24" t="s">
        <v>13</v>
      </c>
      <c r="D529" s="163"/>
      <c r="E529" s="46"/>
      <c r="F529" s="22">
        <v>9</v>
      </c>
      <c r="G529" s="175" t="s">
        <v>415</v>
      </c>
      <c r="H529" s="409" t="s">
        <v>696</v>
      </c>
      <c r="I529" s="187"/>
      <c r="J529" s="67"/>
      <c r="K529" s="194"/>
      <c r="L529" s="180"/>
      <c r="M529" s="180"/>
      <c r="N529" s="180"/>
      <c r="O529" s="181"/>
      <c r="P529" s="237"/>
      <c r="Q529" s="255"/>
      <c r="R529" s="175" t="s">
        <v>2</v>
      </c>
      <c r="S529" s="411" t="s">
        <v>661</v>
      </c>
      <c r="T529" s="190"/>
      <c r="U529" s="22"/>
      <c r="V529" s="233"/>
      <c r="W529" s="239"/>
      <c r="X529" s="403"/>
      <c r="Y529" s="258"/>
    </row>
    <row r="530" spans="1:25" hidden="1" x14ac:dyDescent="0.3">
      <c r="A530" s="47">
        <f>IF(B530="","",SUBTOTAL(3,$B$3:B530)-1)</f>
        <v>7</v>
      </c>
      <c r="B530" s="24" t="s">
        <v>510</v>
      </c>
      <c r="C530" s="24" t="s">
        <v>993</v>
      </c>
      <c r="D530" s="24"/>
      <c r="E530" s="46"/>
      <c r="F530" s="142">
        <v>7</v>
      </c>
      <c r="G530" s="175"/>
      <c r="H530" s="408"/>
      <c r="I530" s="186"/>
      <c r="J530" s="68"/>
      <c r="K530" s="195"/>
      <c r="L530" s="67"/>
      <c r="M530" s="67"/>
      <c r="N530" s="67"/>
      <c r="O530" s="73"/>
      <c r="P530" s="237"/>
      <c r="Q530" s="255"/>
      <c r="R530" s="175"/>
      <c r="S530" s="411"/>
      <c r="T530" s="190"/>
      <c r="U530" s="22"/>
      <c r="V530" s="233"/>
      <c r="W530" s="239"/>
      <c r="X530" s="403"/>
      <c r="Y530" s="258"/>
    </row>
    <row r="531" spans="1:25" hidden="1" x14ac:dyDescent="0.3">
      <c r="A531" s="47">
        <f>IF(B531="","",SUBTOTAL(3,$B$3:B531)-1)</f>
        <v>7</v>
      </c>
      <c r="B531" s="26" t="s">
        <v>27</v>
      </c>
      <c r="C531" s="26" t="s">
        <v>126</v>
      </c>
      <c r="D531" s="26">
        <v>704830404</v>
      </c>
      <c r="E531" s="46"/>
      <c r="F531" s="22">
        <v>2</v>
      </c>
      <c r="G531" s="175"/>
      <c r="H531" s="405" t="s">
        <v>860</v>
      </c>
      <c r="I531" s="185" t="s">
        <v>860</v>
      </c>
      <c r="J531" s="67"/>
      <c r="K531" s="194" t="s">
        <v>721</v>
      </c>
      <c r="L531" s="180"/>
      <c r="M531" s="180"/>
      <c r="N531" s="180"/>
      <c r="O531" s="181"/>
      <c r="P531" s="237"/>
      <c r="Q531" s="255"/>
      <c r="R531" s="175"/>
      <c r="S531" s="411"/>
      <c r="T531" s="190" t="s">
        <v>1</v>
      </c>
      <c r="U531" s="22"/>
      <c r="V531" s="233"/>
      <c r="W531" s="239"/>
      <c r="X531" s="403"/>
      <c r="Y531" s="258"/>
    </row>
    <row r="532" spans="1:25" hidden="1" x14ac:dyDescent="0.3">
      <c r="A532" s="47">
        <f>IF(B532="","",SUBTOTAL(3,$B$3:B532)-1)</f>
        <v>7</v>
      </c>
      <c r="B532" s="265" t="s">
        <v>1228</v>
      </c>
      <c r="C532" s="265" t="s">
        <v>126</v>
      </c>
      <c r="D532" s="265">
        <v>796548464</v>
      </c>
      <c r="E532" s="46" t="s">
        <v>1214</v>
      </c>
      <c r="F532" s="300">
        <v>2</v>
      </c>
      <c r="G532" s="175" t="s">
        <v>826</v>
      </c>
      <c r="H532" s="405" t="s">
        <v>634</v>
      </c>
      <c r="I532" s="185" t="s">
        <v>634</v>
      </c>
      <c r="J532" s="71"/>
      <c r="K532" s="194"/>
      <c r="L532" s="67"/>
      <c r="M532" s="67"/>
      <c r="N532" s="67"/>
      <c r="O532" s="73"/>
      <c r="P532" s="237"/>
      <c r="Q532" s="255"/>
      <c r="R532" s="175" t="s">
        <v>0</v>
      </c>
      <c r="S532" s="411"/>
      <c r="T532" s="190" t="s">
        <v>0</v>
      </c>
      <c r="U532" s="22"/>
      <c r="V532" s="233"/>
      <c r="W532" s="239"/>
      <c r="X532" s="403"/>
      <c r="Y532" s="320">
        <v>2</v>
      </c>
    </row>
    <row r="533" spans="1:25" hidden="1" x14ac:dyDescent="0.3">
      <c r="A533" s="47">
        <f>IF(B533="","",SUBTOTAL(3,$B$3:B533)-1)</f>
        <v>7</v>
      </c>
      <c r="B533" s="380" t="s">
        <v>1361</v>
      </c>
      <c r="C533" s="380" t="s">
        <v>126</v>
      </c>
      <c r="D533" s="380">
        <v>704830404</v>
      </c>
      <c r="E533" s="46" t="s">
        <v>1356</v>
      </c>
      <c r="F533" s="382">
        <v>2</v>
      </c>
      <c r="G533" s="175" t="s">
        <v>826</v>
      </c>
      <c r="H533" s="405"/>
      <c r="I533" s="185"/>
      <c r="J533" s="71"/>
      <c r="K533" s="194"/>
      <c r="L533" s="67"/>
      <c r="M533" s="67"/>
      <c r="N533" s="67"/>
      <c r="O533" s="73"/>
      <c r="P533" s="237"/>
      <c r="Q533" s="255"/>
      <c r="R533" s="175" t="s">
        <v>1</v>
      </c>
      <c r="S533" s="411"/>
      <c r="T533" s="190"/>
      <c r="U533" s="22"/>
      <c r="V533" s="233"/>
      <c r="W533" s="239"/>
      <c r="X533" s="403"/>
      <c r="Y533" s="383" t="s">
        <v>1376</v>
      </c>
    </row>
    <row r="534" spans="1:25" hidden="1" x14ac:dyDescent="0.3">
      <c r="A534" s="47">
        <f>IF(B534="","",SUBTOTAL(3,$B$3:B534)-1)</f>
        <v>7</v>
      </c>
      <c r="B534" s="380" t="s">
        <v>1373</v>
      </c>
      <c r="C534" s="380" t="s">
        <v>126</v>
      </c>
      <c r="D534" s="381"/>
      <c r="E534" s="46" t="s">
        <v>1356</v>
      </c>
      <c r="F534" s="382">
        <v>2</v>
      </c>
      <c r="G534" s="175" t="s">
        <v>826</v>
      </c>
      <c r="H534" s="405"/>
      <c r="I534" s="185"/>
      <c r="J534" s="71"/>
      <c r="K534" s="194"/>
      <c r="L534" s="67"/>
      <c r="M534" s="67"/>
      <c r="N534" s="67"/>
      <c r="O534" s="73"/>
      <c r="P534" s="237"/>
      <c r="Q534" s="255"/>
      <c r="R534" s="175" t="s">
        <v>1</v>
      </c>
      <c r="S534" s="411"/>
      <c r="T534" s="190"/>
      <c r="U534" s="22"/>
      <c r="V534" s="233"/>
      <c r="W534" s="239"/>
      <c r="X534" s="403"/>
      <c r="Y534" s="383" t="s">
        <v>1386</v>
      </c>
    </row>
    <row r="535" spans="1:25" hidden="1" x14ac:dyDescent="0.3">
      <c r="A535" s="47">
        <f>IF(B535="","",SUBTOTAL(3,$B$3:B535)-1)</f>
        <v>7</v>
      </c>
      <c r="B535" s="143" t="s">
        <v>845</v>
      </c>
      <c r="C535" s="146" t="s">
        <v>126</v>
      </c>
      <c r="D535" s="143">
        <v>932920346</v>
      </c>
      <c r="E535" s="46"/>
      <c r="F535" s="142">
        <v>3</v>
      </c>
      <c r="G535" s="176"/>
      <c r="H535" s="407" t="s">
        <v>634</v>
      </c>
      <c r="I535" s="189"/>
      <c r="J535" s="142"/>
      <c r="K535" s="196" t="s">
        <v>721</v>
      </c>
      <c r="L535" s="67"/>
      <c r="M535" s="67"/>
      <c r="N535" s="67"/>
      <c r="O535" s="73"/>
      <c r="P535" s="237"/>
      <c r="Q535" s="255"/>
      <c r="R535" s="175"/>
      <c r="S535" s="411"/>
      <c r="T535" s="190"/>
      <c r="U535" s="22"/>
      <c r="V535" s="233"/>
      <c r="W535" s="239"/>
      <c r="X535" s="403"/>
      <c r="Y535" s="258"/>
    </row>
    <row r="536" spans="1:25" hidden="1" x14ac:dyDescent="0.3">
      <c r="A536" s="47">
        <f>IF(B536="","",SUBTOTAL(3,$B$3:B536)-1)</f>
        <v>7</v>
      </c>
      <c r="B536" s="25" t="s">
        <v>896</v>
      </c>
      <c r="C536" s="25" t="s">
        <v>126</v>
      </c>
      <c r="D536" s="163" t="s">
        <v>897</v>
      </c>
      <c r="E536" s="46"/>
      <c r="F536" s="21">
        <v>5</v>
      </c>
      <c r="G536" s="176" t="s">
        <v>660</v>
      </c>
      <c r="H536" s="407" t="s">
        <v>634</v>
      </c>
      <c r="I536" s="189"/>
      <c r="J536" s="67"/>
      <c r="K536" s="194"/>
      <c r="L536" s="67"/>
      <c r="M536" s="67"/>
      <c r="N536" s="67"/>
      <c r="O536" s="73"/>
      <c r="P536" s="237"/>
      <c r="Q536" s="255"/>
      <c r="R536" s="175" t="s">
        <v>1</v>
      </c>
      <c r="S536" s="411"/>
      <c r="T536" s="190"/>
      <c r="U536" s="22"/>
      <c r="V536" s="233"/>
      <c r="W536" s="239"/>
      <c r="X536" s="403"/>
      <c r="Y536" s="258"/>
    </row>
    <row r="537" spans="1:25" hidden="1" x14ac:dyDescent="0.3">
      <c r="A537" s="47">
        <f>IF(B537="","",SUBTOTAL(3,$B$3:B537)-1)</f>
        <v>7</v>
      </c>
      <c r="B537" s="24" t="s">
        <v>1205</v>
      </c>
      <c r="C537" s="24" t="s">
        <v>126</v>
      </c>
      <c r="D537" s="24"/>
      <c r="E537" s="46"/>
      <c r="F537" s="22">
        <v>10</v>
      </c>
      <c r="G537" s="175"/>
      <c r="H537" s="405" t="s">
        <v>696</v>
      </c>
      <c r="I537" s="185" t="s">
        <v>661</v>
      </c>
      <c r="J537" s="67"/>
      <c r="K537" s="194"/>
      <c r="L537" s="180"/>
      <c r="M537" s="180"/>
      <c r="N537" s="180"/>
      <c r="O537" s="181"/>
      <c r="P537" s="237"/>
      <c r="Q537" s="255"/>
      <c r="R537" s="175"/>
      <c r="S537" s="411" t="s">
        <v>661</v>
      </c>
      <c r="T537" s="190" t="s">
        <v>1</v>
      </c>
      <c r="U537" s="22"/>
      <c r="V537" s="233"/>
      <c r="W537" s="239"/>
      <c r="X537" s="403"/>
      <c r="Y537" s="258"/>
    </row>
    <row r="538" spans="1:25" hidden="1" x14ac:dyDescent="0.3">
      <c r="A538" s="47">
        <f>IF(B538="","",SUBTOTAL(3,$B$3:B538)-1)</f>
        <v>7</v>
      </c>
      <c r="B538" s="64" t="s">
        <v>1130</v>
      </c>
      <c r="C538" s="25" t="s">
        <v>126</v>
      </c>
      <c r="D538" s="24"/>
      <c r="E538" s="46"/>
      <c r="F538" s="22">
        <v>10</v>
      </c>
      <c r="G538" s="175" t="s">
        <v>415</v>
      </c>
      <c r="H538" s="405"/>
      <c r="I538" s="185"/>
      <c r="J538" s="71"/>
      <c r="K538" s="194"/>
      <c r="L538" s="180"/>
      <c r="M538" s="180"/>
      <c r="N538" s="180"/>
      <c r="O538" s="181"/>
      <c r="P538" s="237"/>
      <c r="Q538" s="255"/>
      <c r="R538" s="175" t="s">
        <v>2</v>
      </c>
      <c r="S538" s="414"/>
      <c r="T538" s="190"/>
      <c r="U538" s="22"/>
      <c r="V538" s="233"/>
      <c r="W538" s="239"/>
      <c r="X538" s="403"/>
      <c r="Y538" s="258"/>
    </row>
    <row r="539" spans="1:25" hidden="1" x14ac:dyDescent="0.3">
      <c r="A539" s="47">
        <f>IF(B539="","",SUBTOTAL(3,$B$3:B539)-1)</f>
        <v>7</v>
      </c>
      <c r="B539" s="39" t="s">
        <v>695</v>
      </c>
      <c r="C539" s="24" t="s">
        <v>126</v>
      </c>
      <c r="D539" s="163"/>
      <c r="E539" s="46">
        <f>($AA$2-O539)*$AB$2+Q539</f>
        <v>0</v>
      </c>
      <c r="F539" s="22">
        <v>11</v>
      </c>
      <c r="G539" s="175"/>
      <c r="H539" s="405" t="s">
        <v>635</v>
      </c>
      <c r="I539" s="185"/>
      <c r="J539" s="67"/>
      <c r="K539" s="194"/>
      <c r="L539" s="67"/>
      <c r="M539" s="67"/>
      <c r="N539" s="67"/>
      <c r="O539" s="73"/>
      <c r="P539" s="237"/>
      <c r="Q539" s="255"/>
      <c r="R539" s="175"/>
      <c r="S539" s="411" t="s">
        <v>2</v>
      </c>
      <c r="T539" s="190"/>
      <c r="U539" s="22"/>
      <c r="V539" s="233"/>
      <c r="W539" s="239"/>
      <c r="X539" s="403"/>
      <c r="Y539" s="258"/>
    </row>
    <row r="540" spans="1:25" hidden="1" x14ac:dyDescent="0.3">
      <c r="A540" s="47">
        <f>IF(B540="","",SUBTOTAL(3,$B$3:B540)-1)</f>
        <v>7</v>
      </c>
      <c r="B540" s="25" t="s">
        <v>714</v>
      </c>
      <c r="C540" s="25" t="s">
        <v>126</v>
      </c>
      <c r="D540" s="163"/>
      <c r="E540" s="46">
        <f>($AA$2-O540)*$AB$2+Q540</f>
        <v>0</v>
      </c>
      <c r="F540" s="22">
        <v>11</v>
      </c>
      <c r="G540" s="175" t="s">
        <v>415</v>
      </c>
      <c r="H540" s="405"/>
      <c r="I540" s="185"/>
      <c r="J540" s="67"/>
      <c r="K540" s="194"/>
      <c r="L540" s="180"/>
      <c r="M540" s="180"/>
      <c r="N540" s="180"/>
      <c r="O540" s="181"/>
      <c r="P540" s="237"/>
      <c r="Q540" s="255"/>
      <c r="R540" s="175" t="s">
        <v>661</v>
      </c>
      <c r="S540" s="411"/>
      <c r="T540" s="190"/>
      <c r="U540" s="22"/>
      <c r="V540" s="233"/>
      <c r="W540" s="239"/>
      <c r="X540" s="403"/>
      <c r="Y540" s="258"/>
    </row>
    <row r="541" spans="1:25" hidden="1" x14ac:dyDescent="0.3">
      <c r="A541" s="47">
        <f>IF(B541="","",SUBTOTAL(3,$B$3:B541)-1)</f>
        <v>7</v>
      </c>
      <c r="B541" s="25" t="s">
        <v>717</v>
      </c>
      <c r="C541" s="25" t="s">
        <v>126</v>
      </c>
      <c r="D541" s="163"/>
      <c r="E541" s="46">
        <f>($AA$2-O541)*$AB$2+Q541</f>
        <v>0</v>
      </c>
      <c r="F541" s="22">
        <v>11</v>
      </c>
      <c r="G541" s="175" t="s">
        <v>415</v>
      </c>
      <c r="H541" s="405"/>
      <c r="I541" s="185" t="s">
        <v>634</v>
      </c>
      <c r="J541" s="67"/>
      <c r="K541" s="194"/>
      <c r="L541" s="180"/>
      <c r="M541" s="180"/>
      <c r="N541" s="180"/>
      <c r="O541" s="181"/>
      <c r="P541" s="237"/>
      <c r="Q541" s="255"/>
      <c r="R541" s="175" t="s">
        <v>661</v>
      </c>
      <c r="S541" s="411"/>
      <c r="T541" s="190" t="s">
        <v>661</v>
      </c>
      <c r="U541" s="22"/>
      <c r="V541" s="233"/>
      <c r="W541" s="239"/>
      <c r="X541" s="403"/>
      <c r="Y541" s="258"/>
    </row>
    <row r="542" spans="1:25" hidden="1" x14ac:dyDescent="0.3">
      <c r="A542" s="47">
        <f>IF(B542="","",SUBTOTAL(3,$B$3:B542)-1)</f>
        <v>7</v>
      </c>
      <c r="B542" s="24" t="s">
        <v>357</v>
      </c>
      <c r="C542" s="24" t="s">
        <v>126</v>
      </c>
      <c r="D542" s="26">
        <v>799527250</v>
      </c>
      <c r="E542" s="46">
        <f>($AA$2-O542)*$AB$2+Q542</f>
        <v>0</v>
      </c>
      <c r="F542" s="22">
        <v>12</v>
      </c>
      <c r="G542" s="175" t="s">
        <v>660</v>
      </c>
      <c r="H542" s="405"/>
      <c r="I542" s="185"/>
      <c r="J542" s="67"/>
      <c r="K542" s="194"/>
      <c r="L542" s="67"/>
      <c r="M542" s="67"/>
      <c r="N542" s="67"/>
      <c r="O542" s="73"/>
      <c r="P542" s="237"/>
      <c r="Q542" s="255"/>
      <c r="R542" s="175" t="s">
        <v>0</v>
      </c>
      <c r="S542" s="411"/>
      <c r="T542" s="190"/>
      <c r="U542" s="22"/>
      <c r="V542" s="233"/>
      <c r="W542" s="239"/>
      <c r="X542" s="403"/>
      <c r="Y542" s="258"/>
    </row>
    <row r="543" spans="1:25" hidden="1" x14ac:dyDescent="0.3">
      <c r="A543" s="47">
        <f>IF(B543="","",SUBTOTAL(3,$B$3:B543)-1)</f>
        <v>7</v>
      </c>
      <c r="B543" s="25" t="s">
        <v>555</v>
      </c>
      <c r="C543" s="25" t="s">
        <v>126</v>
      </c>
      <c r="D543" s="24"/>
      <c r="E543" s="46">
        <f>($AA$2-O543)*$AB$2+Q543</f>
        <v>0</v>
      </c>
      <c r="F543" s="22">
        <v>12</v>
      </c>
      <c r="G543" s="175" t="s">
        <v>660</v>
      </c>
      <c r="H543" s="405"/>
      <c r="I543" s="185"/>
      <c r="J543" s="67"/>
      <c r="K543" s="194"/>
      <c r="L543" s="67"/>
      <c r="M543" s="67"/>
      <c r="N543" s="67"/>
      <c r="O543" s="73"/>
      <c r="P543" s="237"/>
      <c r="Q543" s="255"/>
      <c r="R543" s="175" t="s">
        <v>0</v>
      </c>
      <c r="S543" s="411"/>
      <c r="T543" s="190"/>
      <c r="U543" s="22"/>
      <c r="V543" s="233"/>
      <c r="W543" s="239"/>
      <c r="X543" s="403"/>
      <c r="Y543" s="258"/>
    </row>
    <row r="544" spans="1:25" ht="37.5" hidden="1" x14ac:dyDescent="0.3">
      <c r="A544" s="47">
        <f>IF(B544="","",SUBTOTAL(3,$B$3:B544)-1)</f>
        <v>7</v>
      </c>
      <c r="B544" s="269" t="s">
        <v>1249</v>
      </c>
      <c r="C544" s="269" t="s">
        <v>126</v>
      </c>
      <c r="D544" s="301" t="s">
        <v>1314</v>
      </c>
      <c r="E544" s="46" t="s">
        <v>1214</v>
      </c>
      <c r="F544" s="22">
        <v>6</v>
      </c>
      <c r="G544" s="175" t="s">
        <v>415</v>
      </c>
      <c r="H544" s="405"/>
      <c r="I544" s="185"/>
      <c r="J544" s="71"/>
      <c r="K544" s="194"/>
      <c r="L544" s="67"/>
      <c r="M544" s="67"/>
      <c r="N544" s="67"/>
      <c r="O544" s="73"/>
      <c r="P544" s="237"/>
      <c r="Q544" s="255"/>
      <c r="R544" s="175" t="s">
        <v>848</v>
      </c>
      <c r="S544" s="408"/>
      <c r="T544" s="190"/>
      <c r="U544" s="22"/>
      <c r="V544" s="233"/>
      <c r="W544" s="239"/>
      <c r="X544" s="403"/>
      <c r="Y544" s="258"/>
    </row>
    <row r="545" spans="1:25" hidden="1" x14ac:dyDescent="0.3">
      <c r="A545" s="47">
        <f>IF(B545="","",SUBTOTAL(3,$B$3:B545)-1)</f>
        <v>7</v>
      </c>
      <c r="B545" s="271" t="s">
        <v>1250</v>
      </c>
      <c r="C545" s="271" t="s">
        <v>126</v>
      </c>
      <c r="D545" s="297">
        <v>389863991</v>
      </c>
      <c r="E545" s="46" t="s">
        <v>1214</v>
      </c>
      <c r="F545" s="22">
        <v>6</v>
      </c>
      <c r="G545" s="175" t="s">
        <v>415</v>
      </c>
      <c r="H545" s="405"/>
      <c r="I545" s="185"/>
      <c r="J545" s="71"/>
      <c r="K545" s="194"/>
      <c r="L545" s="67"/>
      <c r="M545" s="67"/>
      <c r="N545" s="67"/>
      <c r="O545" s="73"/>
      <c r="P545" s="237"/>
      <c r="Q545" s="255"/>
      <c r="R545" s="318" t="s">
        <v>0</v>
      </c>
      <c r="S545" s="408" t="s">
        <v>1</v>
      </c>
      <c r="T545" s="190"/>
      <c r="U545" s="22"/>
      <c r="V545" s="233"/>
      <c r="W545" s="239"/>
      <c r="X545" s="403"/>
      <c r="Y545" s="258"/>
    </row>
    <row r="546" spans="1:25" hidden="1" x14ac:dyDescent="0.3">
      <c r="A546" s="47">
        <f>IF(B546="","",SUBTOTAL(3,$B$3:B546)-1)</f>
        <v>7</v>
      </c>
      <c r="B546" s="265" t="s">
        <v>1251</v>
      </c>
      <c r="C546" s="265" t="s">
        <v>126</v>
      </c>
      <c r="D546" s="300">
        <v>363343992</v>
      </c>
      <c r="E546" s="46" t="s">
        <v>1214</v>
      </c>
      <c r="F546" s="22">
        <v>6</v>
      </c>
      <c r="G546" s="175" t="s">
        <v>1332</v>
      </c>
      <c r="H546" s="405"/>
      <c r="I546" s="185"/>
      <c r="J546" s="71"/>
      <c r="K546" s="194"/>
      <c r="L546" s="67"/>
      <c r="M546" s="67"/>
      <c r="N546" s="67"/>
      <c r="O546" s="73"/>
      <c r="P546" s="237"/>
      <c r="Q546" s="255"/>
      <c r="R546" s="318" t="s">
        <v>1</v>
      </c>
      <c r="S546" s="408" t="s">
        <v>1</v>
      </c>
      <c r="T546" s="190"/>
      <c r="U546" s="22"/>
      <c r="V546" s="233"/>
      <c r="W546" s="239"/>
      <c r="X546" s="403"/>
      <c r="Y546" s="258"/>
    </row>
    <row r="547" spans="1:25" hidden="1" x14ac:dyDescent="0.3">
      <c r="A547" s="47">
        <f>IF(B547="","",SUBTOTAL(3,$B$3:B547)-1)</f>
        <v>7</v>
      </c>
      <c r="B547" s="143" t="s">
        <v>821</v>
      </c>
      <c r="C547" s="143" t="s">
        <v>126</v>
      </c>
      <c r="D547" s="143">
        <v>981628454</v>
      </c>
      <c r="E547" s="46"/>
      <c r="F547" s="142">
        <v>7</v>
      </c>
      <c r="G547" s="175" t="s">
        <v>415</v>
      </c>
      <c r="H547" s="406"/>
      <c r="I547" s="188"/>
      <c r="J547" s="142"/>
      <c r="K547" s="196" t="s">
        <v>721</v>
      </c>
      <c r="L547" s="67"/>
      <c r="M547" s="67"/>
      <c r="N547" s="67"/>
      <c r="O547" s="73"/>
      <c r="P547" s="237"/>
      <c r="Q547" s="255"/>
      <c r="R547" s="175"/>
      <c r="S547" s="411"/>
      <c r="T547" s="190" t="s">
        <v>0</v>
      </c>
      <c r="U547" s="22"/>
      <c r="V547" s="233"/>
      <c r="W547" s="239"/>
      <c r="X547" s="403"/>
      <c r="Y547" s="258"/>
    </row>
    <row r="548" spans="1:25" hidden="1" x14ac:dyDescent="0.3">
      <c r="A548" s="47">
        <f>IF(B548="","",SUBTOTAL(3,$B$3:B548)-1)</f>
        <v>7</v>
      </c>
      <c r="B548" s="39" t="s">
        <v>987</v>
      </c>
      <c r="C548" s="24" t="s">
        <v>126</v>
      </c>
      <c r="D548" s="163"/>
      <c r="E548" s="46"/>
      <c r="F548" s="142">
        <v>7</v>
      </c>
      <c r="G548" s="176"/>
      <c r="H548" s="406"/>
      <c r="I548" s="185"/>
      <c r="J548" s="67"/>
      <c r="K548" s="194"/>
      <c r="L548" s="180"/>
      <c r="M548" s="180"/>
      <c r="N548" s="180"/>
      <c r="O548" s="181"/>
      <c r="P548" s="237"/>
      <c r="Q548" s="255"/>
      <c r="R548" s="175"/>
      <c r="S548" s="411"/>
      <c r="T548" s="190"/>
      <c r="U548" s="22"/>
      <c r="V548" s="233"/>
      <c r="W548" s="239"/>
      <c r="X548" s="403"/>
      <c r="Y548" s="258"/>
    </row>
    <row r="549" spans="1:25" hidden="1" x14ac:dyDescent="0.3">
      <c r="A549" s="47">
        <f>IF(B549="","",SUBTOTAL(3,$B$3:B549)-1)</f>
        <v>7</v>
      </c>
      <c r="B549" s="39" t="s">
        <v>1153</v>
      </c>
      <c r="C549" s="24" t="s">
        <v>126</v>
      </c>
      <c r="D549" s="163"/>
      <c r="E549" s="46"/>
      <c r="F549" s="142">
        <v>7</v>
      </c>
      <c r="G549" s="176"/>
      <c r="H549" s="406"/>
      <c r="I549" s="185"/>
      <c r="J549" s="67"/>
      <c r="K549" s="194"/>
      <c r="L549" s="180"/>
      <c r="M549" s="180"/>
      <c r="N549" s="180"/>
      <c r="O549" s="181"/>
      <c r="P549" s="237"/>
      <c r="Q549" s="255"/>
      <c r="R549" s="175" t="s">
        <v>661</v>
      </c>
      <c r="S549" s="411"/>
      <c r="T549" s="190"/>
      <c r="U549" s="22"/>
      <c r="V549" s="233"/>
      <c r="W549" s="239"/>
      <c r="X549" s="403"/>
      <c r="Y549" s="258"/>
    </row>
    <row r="550" spans="1:25" hidden="1" x14ac:dyDescent="0.3">
      <c r="A550" s="47">
        <f>IF(B550="","",SUBTOTAL(3,$B$3:B550)-1)</f>
        <v>7</v>
      </c>
      <c r="B550" s="25" t="s">
        <v>504</v>
      </c>
      <c r="C550" s="25" t="s">
        <v>126</v>
      </c>
      <c r="D550" s="163"/>
      <c r="E550" s="46">
        <f>($AA$2-O550)*$AB$2+Q550</f>
        <v>0</v>
      </c>
      <c r="F550" s="22">
        <v>9</v>
      </c>
      <c r="G550" s="175" t="s">
        <v>415</v>
      </c>
      <c r="H550" s="409" t="s">
        <v>696</v>
      </c>
      <c r="I550" s="187"/>
      <c r="J550" s="67"/>
      <c r="K550" s="194"/>
      <c r="L550" s="180"/>
      <c r="M550" s="180"/>
      <c r="N550" s="180"/>
      <c r="O550" s="181"/>
      <c r="P550" s="237"/>
      <c r="Q550" s="255"/>
      <c r="R550" s="175" t="s">
        <v>848</v>
      </c>
      <c r="S550" s="411" t="s">
        <v>661</v>
      </c>
      <c r="T550" s="190"/>
      <c r="U550" s="22"/>
      <c r="V550" s="233"/>
      <c r="W550" s="239"/>
      <c r="X550" s="403"/>
      <c r="Y550" s="258"/>
    </row>
    <row r="551" spans="1:25" hidden="1" x14ac:dyDescent="0.3">
      <c r="A551" s="47">
        <f>IF(B551="","",SUBTOTAL(3,$B$3:B551)-1)</f>
        <v>7</v>
      </c>
      <c r="B551" s="26" t="s">
        <v>110</v>
      </c>
      <c r="C551" s="26" t="s">
        <v>413</v>
      </c>
      <c r="D551" s="26">
        <v>935341825</v>
      </c>
      <c r="E551" s="46"/>
      <c r="F551" s="22">
        <v>2</v>
      </c>
      <c r="G551" s="175"/>
      <c r="H551" s="405" t="s">
        <v>860</v>
      </c>
      <c r="I551" s="185" t="s">
        <v>860</v>
      </c>
      <c r="J551" s="67"/>
      <c r="K551" s="194" t="s">
        <v>721</v>
      </c>
      <c r="L551" s="180"/>
      <c r="M551" s="180"/>
      <c r="N551" s="180"/>
      <c r="O551" s="181"/>
      <c r="P551" s="237"/>
      <c r="Q551" s="255"/>
      <c r="R551" s="175"/>
      <c r="S551" s="411"/>
      <c r="T551" s="190" t="s">
        <v>1</v>
      </c>
      <c r="U551" s="22"/>
      <c r="V551" s="233"/>
      <c r="W551" s="239"/>
      <c r="X551" s="403"/>
      <c r="Y551" s="258"/>
    </row>
    <row r="552" spans="1:25" hidden="1" x14ac:dyDescent="0.3">
      <c r="A552" s="47">
        <f>IF(B552="","",SUBTOTAL(3,$B$3:B552)-1)</f>
        <v>7</v>
      </c>
      <c r="B552" s="380" t="s">
        <v>816</v>
      </c>
      <c r="C552" s="380" t="s">
        <v>413</v>
      </c>
      <c r="D552" s="381"/>
      <c r="E552" s="46" t="s">
        <v>1356</v>
      </c>
      <c r="F552" s="382">
        <v>2</v>
      </c>
      <c r="G552" s="175" t="s">
        <v>826</v>
      </c>
      <c r="H552" s="405"/>
      <c r="I552" s="185"/>
      <c r="J552" s="71"/>
      <c r="K552" s="194"/>
      <c r="L552" s="67"/>
      <c r="M552" s="67"/>
      <c r="N552" s="67"/>
      <c r="O552" s="73"/>
      <c r="P552" s="237"/>
      <c r="Q552" s="255"/>
      <c r="R552" s="175" t="s">
        <v>1</v>
      </c>
      <c r="S552" s="411"/>
      <c r="T552" s="190"/>
      <c r="U552" s="22"/>
      <c r="V552" s="233"/>
      <c r="W552" s="239"/>
      <c r="X552" s="403"/>
      <c r="Y552" s="383" t="s">
        <v>1386</v>
      </c>
    </row>
    <row r="553" spans="1:25" hidden="1" x14ac:dyDescent="0.3">
      <c r="A553" s="47">
        <f>IF(B553="","",SUBTOTAL(3,$B$3:B553)-1)</f>
        <v>7</v>
      </c>
      <c r="B553" s="26" t="s">
        <v>767</v>
      </c>
      <c r="C553" s="26" t="s">
        <v>413</v>
      </c>
      <c r="D553" s="163">
        <v>962322099</v>
      </c>
      <c r="E553" s="46">
        <f>($AA$2-O553)*$AB$2+Q553</f>
        <v>0</v>
      </c>
      <c r="F553" s="22">
        <v>5</v>
      </c>
      <c r="G553" s="175"/>
      <c r="H553" s="407" t="s">
        <v>634</v>
      </c>
      <c r="I553" s="189"/>
      <c r="J553" s="68"/>
      <c r="K553" s="195"/>
      <c r="L553" s="68"/>
      <c r="M553" s="68"/>
      <c r="N553" s="68"/>
      <c r="O553" s="73"/>
      <c r="P553" s="237"/>
      <c r="Q553" s="255"/>
      <c r="R553" s="175"/>
      <c r="S553" s="411"/>
      <c r="T553" s="190"/>
      <c r="U553" s="22"/>
      <c r="V553" s="233"/>
      <c r="W553" s="239"/>
      <c r="X553" s="403"/>
      <c r="Y553" s="258"/>
    </row>
    <row r="554" spans="1:25" hidden="1" x14ac:dyDescent="0.3">
      <c r="A554" s="47">
        <f>IF(B554="","",SUBTOTAL(3,$B$3:B554)-1)</f>
        <v>7</v>
      </c>
      <c r="B554" s="39" t="s">
        <v>1056</v>
      </c>
      <c r="C554" s="24" t="s">
        <v>413</v>
      </c>
      <c r="D554" s="163"/>
      <c r="E554" s="46"/>
      <c r="F554" s="22">
        <v>5</v>
      </c>
      <c r="G554" s="176" t="s">
        <v>660</v>
      </c>
      <c r="H554" s="405"/>
      <c r="I554" s="185"/>
      <c r="J554" s="67"/>
      <c r="K554" s="194"/>
      <c r="L554" s="180"/>
      <c r="M554" s="180"/>
      <c r="N554" s="180"/>
      <c r="O554" s="181"/>
      <c r="P554" s="237" t="s">
        <v>1</v>
      </c>
      <c r="Q554" s="255"/>
      <c r="R554" s="175" t="s">
        <v>1</v>
      </c>
      <c r="S554" s="411"/>
      <c r="T554" s="190"/>
      <c r="U554" s="22"/>
      <c r="V554" s="233"/>
      <c r="W554" s="239" t="s">
        <v>0</v>
      </c>
      <c r="X554" s="403"/>
      <c r="Y554" s="258"/>
    </row>
    <row r="555" spans="1:25" hidden="1" x14ac:dyDescent="0.3">
      <c r="A555" s="47">
        <f>IF(B555="","",SUBTOTAL(3,$B$3:B555)-1)</f>
        <v>7</v>
      </c>
      <c r="B555" s="25" t="s">
        <v>1082</v>
      </c>
      <c r="C555" s="25" t="s">
        <v>413</v>
      </c>
      <c r="D555" s="163"/>
      <c r="E555" s="46"/>
      <c r="F555" s="22">
        <v>11</v>
      </c>
      <c r="G555" s="175"/>
      <c r="H555" s="405"/>
      <c r="I555" s="185"/>
      <c r="J555" s="71"/>
      <c r="K555" s="194"/>
      <c r="L555" s="67"/>
      <c r="M555" s="67"/>
      <c r="N555" s="67"/>
      <c r="O555" s="73"/>
      <c r="P555" s="237"/>
      <c r="Q555" s="255"/>
      <c r="R555" s="175"/>
      <c r="S555" s="411"/>
      <c r="T555" s="190"/>
      <c r="U555" s="22"/>
      <c r="V555" s="233"/>
      <c r="W555" s="239"/>
      <c r="X555" s="403"/>
      <c r="Y555" s="258"/>
    </row>
    <row r="556" spans="1:25" hidden="1" x14ac:dyDescent="0.3">
      <c r="A556" s="47">
        <f>IF(B556="","",SUBTOTAL(3,$B$3:B556)-1)</f>
        <v>7</v>
      </c>
      <c r="B556" s="26" t="s">
        <v>965</v>
      </c>
      <c r="C556" s="26" t="s">
        <v>413</v>
      </c>
      <c r="D556" s="26"/>
      <c r="E556" s="46"/>
      <c r="F556" s="22">
        <v>10</v>
      </c>
      <c r="G556" s="175"/>
      <c r="H556" s="406"/>
      <c r="I556" s="185"/>
      <c r="J556" s="67"/>
      <c r="K556" s="194"/>
      <c r="L556" s="67"/>
      <c r="M556" s="67"/>
      <c r="N556" s="67"/>
      <c r="O556" s="73"/>
      <c r="P556" s="237"/>
      <c r="Q556" s="255"/>
      <c r="R556" s="175"/>
      <c r="S556" s="411"/>
      <c r="T556" s="190"/>
      <c r="U556" s="22"/>
      <c r="V556" s="233"/>
      <c r="W556" s="239"/>
      <c r="X556" s="403"/>
      <c r="Y556" s="258"/>
    </row>
    <row r="557" spans="1:25" hidden="1" x14ac:dyDescent="0.3">
      <c r="A557" s="47">
        <f>IF(B557="","",SUBTOTAL(3,$B$3:B557)-1)</f>
        <v>7</v>
      </c>
      <c r="B557" s="25" t="s">
        <v>156</v>
      </c>
      <c r="C557" s="25" t="s">
        <v>413</v>
      </c>
      <c r="D557" s="163"/>
      <c r="E557" s="46">
        <f>($AA$2-O557)*$AB$2+Q557</f>
        <v>0</v>
      </c>
      <c r="F557" s="22" t="s">
        <v>1213</v>
      </c>
      <c r="G557" s="175"/>
      <c r="H557" s="405"/>
      <c r="I557" s="185"/>
      <c r="J557" s="67"/>
      <c r="K557" s="194"/>
      <c r="L557" s="67"/>
      <c r="M557" s="67"/>
      <c r="N557" s="67"/>
      <c r="O557" s="73"/>
      <c r="P557" s="237"/>
      <c r="Q557" s="255"/>
      <c r="R557" s="175"/>
      <c r="S557" s="411"/>
      <c r="T557" s="190"/>
      <c r="U557" s="22"/>
      <c r="V557" s="233"/>
      <c r="W557" s="239"/>
      <c r="X557" s="403"/>
      <c r="Y557" s="258"/>
    </row>
    <row r="558" spans="1:25" hidden="1" x14ac:dyDescent="0.3">
      <c r="A558" s="47">
        <f>IF(B558="","",SUBTOTAL(3,$B$3:B558)-1)</f>
        <v>7</v>
      </c>
      <c r="B558" s="269" t="s">
        <v>1337</v>
      </c>
      <c r="C558" s="269" t="s">
        <v>413</v>
      </c>
      <c r="D558" s="301">
        <v>765955081</v>
      </c>
      <c r="E558" s="46" t="s">
        <v>1214</v>
      </c>
      <c r="F558" s="22">
        <v>6</v>
      </c>
      <c r="G558" s="175" t="s">
        <v>415</v>
      </c>
      <c r="H558" s="405"/>
      <c r="I558" s="185"/>
      <c r="J558" s="71"/>
      <c r="K558" s="194"/>
      <c r="L558" s="67"/>
      <c r="M558" s="67"/>
      <c r="N558" s="67"/>
      <c r="O558" s="73"/>
      <c r="P558" s="237"/>
      <c r="Q558" s="255"/>
      <c r="R558" s="175" t="s">
        <v>848</v>
      </c>
      <c r="S558" s="408">
        <v>6</v>
      </c>
      <c r="T558" s="190"/>
      <c r="U558" s="22"/>
      <c r="V558" s="233"/>
      <c r="W558" s="239"/>
      <c r="X558" s="403"/>
      <c r="Y558" s="258"/>
    </row>
    <row r="559" spans="1:25" hidden="1" x14ac:dyDescent="0.3">
      <c r="A559" s="47">
        <f>IF(B559="","",SUBTOTAL(3,$B$3:B559)-1)</f>
        <v>7</v>
      </c>
      <c r="B559" s="39" t="s">
        <v>1096</v>
      </c>
      <c r="C559" s="24" t="s">
        <v>413</v>
      </c>
      <c r="D559" s="163"/>
      <c r="E559" s="46"/>
      <c r="F559" s="142">
        <v>7</v>
      </c>
      <c r="G559" s="176" t="s">
        <v>415</v>
      </c>
      <c r="H559" s="406"/>
      <c r="I559" s="185"/>
      <c r="J559" s="67"/>
      <c r="K559" s="194"/>
      <c r="L559" s="180"/>
      <c r="M559" s="180"/>
      <c r="N559" s="180"/>
      <c r="O559" s="181"/>
      <c r="P559" s="237"/>
      <c r="Q559" s="255"/>
      <c r="R559" s="175" t="s">
        <v>2</v>
      </c>
      <c r="S559" s="411"/>
      <c r="T559" s="190"/>
      <c r="U559" s="22"/>
      <c r="V559" s="233"/>
      <c r="W559" s="239"/>
      <c r="X559" s="403"/>
      <c r="Y559" s="258"/>
    </row>
    <row r="560" spans="1:25" hidden="1" x14ac:dyDescent="0.3">
      <c r="A560" s="47">
        <f>IF(B560="","",SUBTOTAL(3,$B$3:B560)-1)</f>
        <v>7</v>
      </c>
      <c r="B560" s="143" t="s">
        <v>198</v>
      </c>
      <c r="C560" s="143" t="s">
        <v>413</v>
      </c>
      <c r="D560" s="143"/>
      <c r="E560" s="46"/>
      <c r="F560" s="22">
        <v>9</v>
      </c>
      <c r="G560" s="175" t="s">
        <v>415</v>
      </c>
      <c r="H560" s="406"/>
      <c r="I560" s="188"/>
      <c r="J560" s="142"/>
      <c r="K560" s="196"/>
      <c r="L560" s="67"/>
      <c r="M560" s="67"/>
      <c r="N560" s="67"/>
      <c r="O560" s="73"/>
      <c r="P560" s="237"/>
      <c r="Q560" s="255"/>
      <c r="R560" s="175" t="s">
        <v>1</v>
      </c>
      <c r="S560" s="411"/>
      <c r="T560" s="190"/>
      <c r="U560" s="22"/>
      <c r="V560" s="233"/>
      <c r="W560" s="239"/>
      <c r="X560" s="403"/>
      <c r="Y560" s="258"/>
    </row>
    <row r="561" spans="1:25" hidden="1" x14ac:dyDescent="0.3">
      <c r="A561" s="47">
        <f>IF(B561="","",SUBTOTAL(3,$B$3:B561)-1)</f>
        <v>7</v>
      </c>
      <c r="B561" s="39" t="s">
        <v>1104</v>
      </c>
      <c r="C561" s="24" t="s">
        <v>737</v>
      </c>
      <c r="D561" s="163"/>
      <c r="E561" s="46"/>
      <c r="F561" s="142">
        <v>7</v>
      </c>
      <c r="G561" s="176" t="s">
        <v>415</v>
      </c>
      <c r="H561" s="406" t="s">
        <v>696</v>
      </c>
      <c r="I561" s="185"/>
      <c r="J561" s="67"/>
      <c r="K561" s="194"/>
      <c r="L561" s="180"/>
      <c r="M561" s="180"/>
      <c r="N561" s="180"/>
      <c r="O561" s="181"/>
      <c r="P561" s="237"/>
      <c r="Q561" s="255"/>
      <c r="R561" s="175" t="s">
        <v>2</v>
      </c>
      <c r="S561" s="411" t="s">
        <v>0</v>
      </c>
      <c r="T561" s="190"/>
      <c r="U561" s="22"/>
      <c r="V561" s="233"/>
      <c r="W561" s="239"/>
      <c r="X561" s="403"/>
      <c r="Y561" s="258"/>
    </row>
    <row r="562" spans="1:25" hidden="1" x14ac:dyDescent="0.3">
      <c r="A562" s="47">
        <f>IF(B562="","",SUBTOTAL(3,$B$3:B562)-1)</f>
        <v>7</v>
      </c>
      <c r="B562" s="24" t="s">
        <v>667</v>
      </c>
      <c r="C562" s="24" t="s">
        <v>73</v>
      </c>
      <c r="D562" s="163">
        <v>966058069</v>
      </c>
      <c r="E562" s="46">
        <f>($AA$2-O562)*$AB$2+Q562</f>
        <v>0</v>
      </c>
      <c r="F562" s="22">
        <v>11</v>
      </c>
      <c r="G562" s="175"/>
      <c r="H562" s="405" t="s">
        <v>1</v>
      </c>
      <c r="I562" s="186"/>
      <c r="J562" s="68"/>
      <c r="K562" s="195"/>
      <c r="L562" s="68"/>
      <c r="M562" s="68"/>
      <c r="N562" s="68"/>
      <c r="O562" s="73"/>
      <c r="P562" s="237"/>
      <c r="Q562" s="255"/>
      <c r="R562" s="175"/>
      <c r="S562" s="411" t="s">
        <v>0</v>
      </c>
      <c r="T562" s="190"/>
      <c r="U562" s="22"/>
      <c r="V562" s="233"/>
      <c r="W562" s="239"/>
      <c r="X562" s="403"/>
      <c r="Y562" s="258"/>
    </row>
    <row r="563" spans="1:25" hidden="1" x14ac:dyDescent="0.3">
      <c r="A563" s="47">
        <f>IF(B563="","",SUBTOTAL(3,$B$3:B563)-1)</f>
        <v>7</v>
      </c>
      <c r="B563" s="25" t="s">
        <v>477</v>
      </c>
      <c r="C563" s="25" t="s">
        <v>73</v>
      </c>
      <c r="D563" s="163"/>
      <c r="E563" s="46">
        <f>($AA$2-O563)*$AB$2+Q563</f>
        <v>0</v>
      </c>
      <c r="F563" s="22">
        <v>10</v>
      </c>
      <c r="G563" s="175" t="s">
        <v>415</v>
      </c>
      <c r="H563" s="405" t="s">
        <v>635</v>
      </c>
      <c r="I563" s="185"/>
      <c r="J563" s="71"/>
      <c r="K563" s="194"/>
      <c r="L563" s="180"/>
      <c r="M563" s="180"/>
      <c r="N563" s="180"/>
      <c r="O563" s="181"/>
      <c r="P563" s="237"/>
      <c r="Q563" s="255"/>
      <c r="R563" s="175" t="s">
        <v>0</v>
      </c>
      <c r="S563" s="411" t="s">
        <v>0</v>
      </c>
      <c r="T563" s="190"/>
      <c r="U563" s="22"/>
      <c r="V563" s="233"/>
      <c r="W563" s="239"/>
      <c r="X563" s="403"/>
      <c r="Y563" s="258"/>
    </row>
    <row r="564" spans="1:25" hidden="1" x14ac:dyDescent="0.3">
      <c r="A564" s="47">
        <f>IF(B564="","",SUBTOTAL(3,$B$3:B564)-1)</f>
        <v>7</v>
      </c>
      <c r="B564" s="160" t="s">
        <v>488</v>
      </c>
      <c r="C564" s="146" t="s">
        <v>73</v>
      </c>
      <c r="D564" s="143"/>
      <c r="E564" s="46"/>
      <c r="F564" s="22">
        <v>12</v>
      </c>
      <c r="G564" s="175" t="s">
        <v>660</v>
      </c>
      <c r="H564" s="406"/>
      <c r="I564" s="188"/>
      <c r="J564" s="142"/>
      <c r="K564" s="196"/>
      <c r="L564" s="67"/>
      <c r="M564" s="67"/>
      <c r="N564" s="67"/>
      <c r="O564" s="73"/>
      <c r="P564" s="237"/>
      <c r="Q564" s="255"/>
      <c r="R564" s="175" t="s">
        <v>1</v>
      </c>
      <c r="S564" s="411"/>
      <c r="T564" s="190"/>
      <c r="U564" s="22"/>
      <c r="V564" s="233"/>
      <c r="W564" s="239"/>
      <c r="X564" s="403"/>
      <c r="Y564" s="258"/>
    </row>
    <row r="565" spans="1:25" hidden="1" x14ac:dyDescent="0.3">
      <c r="A565" s="47">
        <f>IF(B565="","",SUBTOTAL(3,$B$3:B565)-1)</f>
        <v>7</v>
      </c>
      <c r="B565" s="25" t="s">
        <v>1355</v>
      </c>
      <c r="C565" s="25" t="s">
        <v>73</v>
      </c>
      <c r="D565" s="163">
        <v>398825520</v>
      </c>
      <c r="E565" s="46" t="s">
        <v>1214</v>
      </c>
      <c r="F565" s="22">
        <v>6</v>
      </c>
      <c r="G565" s="175"/>
      <c r="H565" s="405" t="s">
        <v>635</v>
      </c>
      <c r="I565" s="185"/>
      <c r="J565" s="71"/>
      <c r="K565" s="194"/>
      <c r="L565" s="67"/>
      <c r="M565" s="67"/>
      <c r="N565" s="67"/>
      <c r="O565" s="73"/>
      <c r="P565" s="237"/>
      <c r="Q565" s="255"/>
      <c r="R565" s="175"/>
      <c r="S565" s="411"/>
      <c r="T565" s="190"/>
      <c r="U565" s="22"/>
      <c r="V565" s="233"/>
      <c r="W565" s="239"/>
      <c r="X565" s="403"/>
      <c r="Y565" s="258"/>
    </row>
    <row r="566" spans="1:25" hidden="1" x14ac:dyDescent="0.3">
      <c r="A566" s="47">
        <f>IF(B566="","",SUBTOTAL(3,$B$3:B566)-1)</f>
        <v>7</v>
      </c>
      <c r="B566" s="39" t="s">
        <v>1394</v>
      </c>
      <c r="C566" s="24" t="s">
        <v>73</v>
      </c>
      <c r="D566" s="163"/>
      <c r="E566" s="46"/>
      <c r="F566" s="142">
        <v>7</v>
      </c>
      <c r="G566" s="176"/>
      <c r="H566" s="406"/>
      <c r="I566" s="185"/>
      <c r="J566" s="67"/>
      <c r="K566" s="194"/>
      <c r="L566" s="180"/>
      <c r="M566" s="180"/>
      <c r="N566" s="180"/>
      <c r="O566" s="181"/>
      <c r="P566" s="237"/>
      <c r="Q566" s="255"/>
      <c r="R566" s="175" t="s">
        <v>661</v>
      </c>
      <c r="S566" s="411"/>
      <c r="T566" s="190"/>
      <c r="U566" s="22"/>
      <c r="V566" s="233"/>
      <c r="W566" s="239"/>
      <c r="X566" s="403"/>
      <c r="Y566" s="258"/>
    </row>
    <row r="567" spans="1:25" hidden="1" x14ac:dyDescent="0.3">
      <c r="A567" s="47">
        <f>IF(B567="","",SUBTOTAL(3,$B$3:B567)-1)</f>
        <v>7</v>
      </c>
      <c r="B567" s="26" t="s">
        <v>538</v>
      </c>
      <c r="C567" s="26" t="s">
        <v>73</v>
      </c>
      <c r="D567" s="26">
        <v>374455700</v>
      </c>
      <c r="E567" s="46">
        <f>($AA$2-O567)*$AB$2+Q567</f>
        <v>0</v>
      </c>
      <c r="F567" s="22">
        <v>8</v>
      </c>
      <c r="G567" s="175" t="s">
        <v>415</v>
      </c>
      <c r="H567" s="405" t="s">
        <v>2</v>
      </c>
      <c r="I567" s="185"/>
      <c r="J567" s="67"/>
      <c r="K567" s="194"/>
      <c r="L567" s="180"/>
      <c r="M567" s="180"/>
      <c r="N567" s="180"/>
      <c r="O567" s="181"/>
      <c r="P567" s="237" t="s">
        <v>0</v>
      </c>
      <c r="Q567" s="255"/>
      <c r="R567" s="175" t="s">
        <v>848</v>
      </c>
      <c r="S567" s="411" t="s">
        <v>848</v>
      </c>
      <c r="T567" s="190"/>
      <c r="U567" s="22"/>
      <c r="V567" s="233"/>
      <c r="W567" s="239"/>
      <c r="X567" s="403"/>
      <c r="Y567" s="258"/>
    </row>
    <row r="568" spans="1:25" hidden="1" x14ac:dyDescent="0.3">
      <c r="A568" s="47">
        <f>IF(B568="","",SUBTOTAL(3,$B$3:B568)-1)</f>
        <v>7</v>
      </c>
      <c r="B568" s="24" t="s">
        <v>1113</v>
      </c>
      <c r="C568" s="24" t="s">
        <v>73</v>
      </c>
      <c r="D568" s="25"/>
      <c r="E568" s="46"/>
      <c r="F568" s="22">
        <v>8</v>
      </c>
      <c r="G568" s="175" t="s">
        <v>415</v>
      </c>
      <c r="H568" s="405" t="s">
        <v>635</v>
      </c>
      <c r="I568" s="185" t="s">
        <v>634</v>
      </c>
      <c r="J568" s="71"/>
      <c r="K568" s="194"/>
      <c r="L568" s="67"/>
      <c r="M568" s="67"/>
      <c r="N568" s="67"/>
      <c r="O568" s="73"/>
      <c r="P568" s="237"/>
      <c r="Q568" s="255"/>
      <c r="R568" s="175" t="s">
        <v>0</v>
      </c>
      <c r="S568" s="411" t="s">
        <v>2</v>
      </c>
      <c r="T568" s="190" t="s">
        <v>0</v>
      </c>
      <c r="U568" s="22"/>
      <c r="V568" s="233"/>
      <c r="W568" s="239"/>
      <c r="X568" s="403"/>
      <c r="Y568" s="258"/>
    </row>
    <row r="569" spans="1:25" hidden="1" x14ac:dyDescent="0.3">
      <c r="A569" s="47">
        <f>IF(B569="","",SUBTOTAL(3,$B$3:B569)-1)</f>
        <v>7</v>
      </c>
      <c r="B569" s="24" t="s">
        <v>225</v>
      </c>
      <c r="C569" s="24" t="s">
        <v>73</v>
      </c>
      <c r="D569" s="163"/>
      <c r="E569" s="46">
        <f>($AA$2-O569)*$AB$2+Q569</f>
        <v>0</v>
      </c>
      <c r="F569" s="22">
        <v>9</v>
      </c>
      <c r="G569" s="175" t="s">
        <v>415</v>
      </c>
      <c r="H569" s="409" t="s">
        <v>696</v>
      </c>
      <c r="I569" s="187"/>
      <c r="J569" s="67" t="s">
        <v>661</v>
      </c>
      <c r="K569" s="194"/>
      <c r="L569" s="180"/>
      <c r="M569" s="180"/>
      <c r="N569" s="180"/>
      <c r="O569" s="181"/>
      <c r="P569" s="237"/>
      <c r="Q569" s="255"/>
      <c r="R569" s="175" t="s">
        <v>1</v>
      </c>
      <c r="S569" s="411" t="s">
        <v>661</v>
      </c>
      <c r="T569" s="190"/>
      <c r="U569" s="22" t="s">
        <v>0</v>
      </c>
      <c r="V569" s="233"/>
      <c r="W569" s="239"/>
      <c r="X569" s="403"/>
      <c r="Y569" s="258"/>
    </row>
    <row r="570" spans="1:25" hidden="1" x14ac:dyDescent="0.3">
      <c r="A570" s="47">
        <f>IF(B570="","",SUBTOTAL(3,$B$3:B570)-1)</f>
        <v>7</v>
      </c>
      <c r="B570" s="24" t="s">
        <v>486</v>
      </c>
      <c r="C570" s="24" t="s">
        <v>478</v>
      </c>
      <c r="D570" s="163">
        <v>919022211</v>
      </c>
      <c r="E570" s="46">
        <f>($AA$2-O570)*$AB$2+Q570</f>
        <v>0</v>
      </c>
      <c r="F570" s="22">
        <v>9</v>
      </c>
      <c r="G570" s="175"/>
      <c r="H570" s="409" t="s">
        <v>635</v>
      </c>
      <c r="I570" s="187"/>
      <c r="J570" s="67"/>
      <c r="K570" s="194"/>
      <c r="L570" s="67"/>
      <c r="M570" s="67"/>
      <c r="N570" s="67"/>
      <c r="O570" s="73"/>
      <c r="P570" s="237"/>
      <c r="Q570" s="255"/>
      <c r="R570" s="175"/>
      <c r="S570" s="411" t="s">
        <v>2</v>
      </c>
      <c r="T570" s="190"/>
      <c r="U570" s="22"/>
      <c r="V570" s="233"/>
      <c r="W570" s="239"/>
      <c r="X570" s="403"/>
      <c r="Y570" s="258"/>
    </row>
    <row r="571" spans="1:25" hidden="1" x14ac:dyDescent="0.3">
      <c r="A571" s="47">
        <f>IF(B571="","",SUBTOTAL(3,$B$3:B571)-1)</f>
        <v>7</v>
      </c>
      <c r="B571" s="26" t="s">
        <v>990</v>
      </c>
      <c r="C571" s="26" t="s">
        <v>478</v>
      </c>
      <c r="D571" s="26"/>
      <c r="E571" s="46"/>
      <c r="F571" s="22">
        <v>9</v>
      </c>
      <c r="G571" s="175"/>
      <c r="H571" s="409"/>
      <c r="I571" s="185"/>
      <c r="J571" s="67"/>
      <c r="K571" s="194"/>
      <c r="L571" s="67"/>
      <c r="M571" s="67"/>
      <c r="N571" s="67"/>
      <c r="O571" s="73"/>
      <c r="P571" s="237"/>
      <c r="Q571" s="255"/>
      <c r="R571" s="175"/>
      <c r="S571" s="411"/>
      <c r="T571" s="190"/>
      <c r="U571" s="22"/>
      <c r="V571" s="233"/>
      <c r="W571" s="239"/>
      <c r="X571" s="403"/>
      <c r="Y571" s="258"/>
    </row>
    <row r="572" spans="1:25" hidden="1" x14ac:dyDescent="0.3">
      <c r="A572" s="47">
        <f>IF(B572="","",SUBTOTAL(3,$B$3:B572)-1)</f>
        <v>7</v>
      </c>
      <c r="B572" s="143" t="s">
        <v>990</v>
      </c>
      <c r="C572" s="143" t="s">
        <v>478</v>
      </c>
      <c r="D572" s="143"/>
      <c r="E572" s="46"/>
      <c r="F572" s="22">
        <v>9</v>
      </c>
      <c r="G572" s="175" t="s">
        <v>415</v>
      </c>
      <c r="H572" s="406"/>
      <c r="I572" s="188"/>
      <c r="J572" s="142"/>
      <c r="K572" s="196"/>
      <c r="L572" s="67"/>
      <c r="M572" s="67"/>
      <c r="N572" s="67"/>
      <c r="O572" s="73"/>
      <c r="P572" s="237"/>
      <c r="Q572" s="255"/>
      <c r="R572" s="175" t="s">
        <v>848</v>
      </c>
      <c r="S572" s="411"/>
      <c r="T572" s="190"/>
      <c r="U572" s="22"/>
      <c r="V572" s="233"/>
      <c r="W572" s="239"/>
      <c r="X572" s="403"/>
      <c r="Y572" s="258"/>
    </row>
    <row r="573" spans="1:25" hidden="1" x14ac:dyDescent="0.3">
      <c r="A573" s="47">
        <f>IF(B573="","",SUBTOTAL(3,$B$3:B573)-1)</f>
        <v>7</v>
      </c>
      <c r="B573" s="3" t="s">
        <v>1172</v>
      </c>
      <c r="C573" s="26" t="s">
        <v>532</v>
      </c>
      <c r="D573" s="25"/>
      <c r="E573" s="46"/>
      <c r="F573" s="22">
        <v>2</v>
      </c>
      <c r="G573" s="176"/>
      <c r="H573" s="405" t="s">
        <v>634</v>
      </c>
      <c r="I573" s="185" t="s">
        <v>634</v>
      </c>
      <c r="J573" s="67"/>
      <c r="K573" s="194"/>
      <c r="L573" s="67"/>
      <c r="M573" s="67"/>
      <c r="N573" s="67"/>
      <c r="O573" s="73"/>
      <c r="P573" s="237"/>
      <c r="Q573" s="255"/>
      <c r="R573" s="175"/>
      <c r="S573" s="411"/>
      <c r="T573" s="190" t="s">
        <v>0</v>
      </c>
      <c r="U573" s="22"/>
      <c r="V573" s="233"/>
      <c r="W573" s="239"/>
      <c r="X573" s="403"/>
      <c r="Y573" s="258"/>
    </row>
    <row r="574" spans="1:25" hidden="1" x14ac:dyDescent="0.3">
      <c r="A574" s="47">
        <f>IF(B574="","",SUBTOTAL(3,$B$3:B574)-1)</f>
        <v>7</v>
      </c>
      <c r="B574" s="269" t="s">
        <v>1221</v>
      </c>
      <c r="C574" s="269" t="s">
        <v>532</v>
      </c>
      <c r="D574" s="269">
        <v>867572549</v>
      </c>
      <c r="E574" s="46" t="s">
        <v>1214</v>
      </c>
      <c r="F574" s="301">
        <v>2</v>
      </c>
      <c r="G574" s="175"/>
      <c r="H574" s="405" t="s">
        <v>634</v>
      </c>
      <c r="I574" s="185" t="s">
        <v>634</v>
      </c>
      <c r="J574" s="71"/>
      <c r="K574" s="194"/>
      <c r="L574" s="67"/>
      <c r="M574" s="67"/>
      <c r="N574" s="67"/>
      <c r="O574" s="73"/>
      <c r="P574" s="237"/>
      <c r="Q574" s="255"/>
      <c r="R574" s="175"/>
      <c r="S574" s="411"/>
      <c r="T574" s="190" t="s">
        <v>0</v>
      </c>
      <c r="U574" s="22"/>
      <c r="V574" s="233"/>
      <c r="W574" s="239"/>
      <c r="X574" s="403"/>
      <c r="Y574" s="323">
        <v>2</v>
      </c>
    </row>
    <row r="575" spans="1:25" hidden="1" x14ac:dyDescent="0.3">
      <c r="A575" s="47">
        <f>IF(B575="","",SUBTOTAL(3,$B$3:B575)-1)</f>
        <v>7</v>
      </c>
      <c r="B575" s="24" t="s">
        <v>533</v>
      </c>
      <c r="C575" s="24" t="s">
        <v>532</v>
      </c>
      <c r="D575" s="24">
        <v>931427653</v>
      </c>
      <c r="E575" s="46">
        <f>($AA$2-O575)*$AB$2+Q575</f>
        <v>0</v>
      </c>
      <c r="F575" s="22">
        <v>5</v>
      </c>
      <c r="G575" s="175"/>
      <c r="H575" s="410"/>
      <c r="I575" s="191"/>
      <c r="J575" s="73"/>
      <c r="K575" s="197"/>
      <c r="L575" s="73"/>
      <c r="M575" s="73"/>
      <c r="N575" s="73"/>
      <c r="O575" s="73"/>
      <c r="P575" s="237"/>
      <c r="Q575" s="255"/>
      <c r="R575" s="175"/>
      <c r="S575" s="411"/>
      <c r="T575" s="190"/>
      <c r="U575" s="22"/>
      <c r="V575" s="233"/>
      <c r="W575" s="239"/>
      <c r="X575" s="403"/>
      <c r="Y575" s="258"/>
    </row>
    <row r="576" spans="1:25" hidden="1" x14ac:dyDescent="0.3">
      <c r="A576" s="47">
        <f>IF(B576="","",SUBTOTAL(3,$B$3:B576)-1)</f>
        <v>7</v>
      </c>
      <c r="B576" s="265" t="s">
        <v>1252</v>
      </c>
      <c r="C576" s="265" t="s">
        <v>532</v>
      </c>
      <c r="D576" s="300">
        <v>901074559</v>
      </c>
      <c r="E576" s="46" t="s">
        <v>1214</v>
      </c>
      <c r="F576" s="21">
        <v>6</v>
      </c>
      <c r="G576" s="175" t="s">
        <v>1332</v>
      </c>
      <c r="H576" s="405"/>
      <c r="I576" s="185"/>
      <c r="J576" s="71"/>
      <c r="K576" s="194"/>
      <c r="L576" s="67"/>
      <c r="M576" s="67"/>
      <c r="N576" s="67"/>
      <c r="O576" s="73"/>
      <c r="P576" s="237"/>
      <c r="Q576" s="255"/>
      <c r="R576" s="318" t="s">
        <v>1</v>
      </c>
      <c r="S576" s="408">
        <v>6</v>
      </c>
      <c r="T576" s="190"/>
      <c r="U576" s="22"/>
      <c r="V576" s="233"/>
      <c r="W576" s="239"/>
      <c r="X576" s="403"/>
      <c r="Y576" s="258"/>
    </row>
    <row r="577" spans="1:25" hidden="1" x14ac:dyDescent="0.3">
      <c r="A577" s="47">
        <f>IF(B577="","",SUBTOTAL(3,$B$3:B577)-1)</f>
        <v>7</v>
      </c>
      <c r="B577" s="26" t="s">
        <v>637</v>
      </c>
      <c r="C577" s="26" t="s">
        <v>532</v>
      </c>
      <c r="D577" s="163"/>
      <c r="E577" s="46">
        <f>($AA$2-O577)*$AB$2+Q577</f>
        <v>0</v>
      </c>
      <c r="F577" s="21">
        <v>9</v>
      </c>
      <c r="G577" s="175"/>
      <c r="H577" s="409" t="s">
        <v>660</v>
      </c>
      <c r="I577" s="186"/>
      <c r="J577" s="68"/>
      <c r="K577" s="195"/>
      <c r="L577" s="68"/>
      <c r="M577" s="68"/>
      <c r="N577" s="68"/>
      <c r="O577" s="73"/>
      <c r="P577" s="237"/>
      <c r="Q577" s="255"/>
      <c r="R577" s="175"/>
      <c r="S577" s="411" t="s">
        <v>1</v>
      </c>
      <c r="T577" s="190"/>
      <c r="U577" s="22"/>
      <c r="V577" s="233"/>
      <c r="W577" s="239"/>
      <c r="X577" s="403"/>
      <c r="Y577" s="258"/>
    </row>
    <row r="578" spans="1:25" hidden="1" x14ac:dyDescent="0.3">
      <c r="A578" s="47">
        <f>IF(B578="","",SUBTOTAL(3,$B$3:B578)-1)</f>
        <v>7</v>
      </c>
      <c r="B578" s="253" t="s">
        <v>18</v>
      </c>
      <c r="C578" s="26" t="s">
        <v>24</v>
      </c>
      <c r="D578" s="25"/>
      <c r="E578" s="46"/>
      <c r="F578" s="21">
        <v>2</v>
      </c>
      <c r="G578" s="176"/>
      <c r="H578" s="405" t="s">
        <v>634</v>
      </c>
      <c r="I578" s="185" t="s">
        <v>634</v>
      </c>
      <c r="J578" s="67"/>
      <c r="K578" s="194"/>
      <c r="L578" s="67"/>
      <c r="M578" s="67"/>
      <c r="N578" s="67"/>
      <c r="O578" s="73"/>
      <c r="P578" s="237"/>
      <c r="Q578" s="255"/>
      <c r="R578" s="175"/>
      <c r="S578" s="411"/>
      <c r="T578" s="190" t="s">
        <v>0</v>
      </c>
      <c r="U578" s="22"/>
      <c r="V578" s="233"/>
      <c r="W578" s="239"/>
      <c r="X578" s="403"/>
      <c r="Y578" s="258"/>
    </row>
    <row r="579" spans="1:25" hidden="1" x14ac:dyDescent="0.3">
      <c r="A579" s="47">
        <f>IF(B579="","",SUBTOTAL(3,$B$3:B579)-1)</f>
        <v>7</v>
      </c>
      <c r="B579" s="3" t="s">
        <v>1170</v>
      </c>
      <c r="C579" s="26" t="s">
        <v>24</v>
      </c>
      <c r="D579" s="25"/>
      <c r="E579" s="46"/>
      <c r="F579" s="21">
        <v>2</v>
      </c>
      <c r="G579" s="176"/>
      <c r="H579" s="405" t="s">
        <v>634</v>
      </c>
      <c r="I579" s="185" t="s">
        <v>634</v>
      </c>
      <c r="J579" s="67"/>
      <c r="K579" s="194"/>
      <c r="L579" s="67"/>
      <c r="M579" s="67"/>
      <c r="N579" s="67"/>
      <c r="O579" s="73"/>
      <c r="P579" s="237"/>
      <c r="Q579" s="255"/>
      <c r="R579" s="175"/>
      <c r="S579" s="411"/>
      <c r="T579" s="190" t="s">
        <v>0</v>
      </c>
      <c r="U579" s="22"/>
      <c r="V579" s="233"/>
      <c r="W579" s="239"/>
      <c r="X579" s="403"/>
      <c r="Y579" s="258"/>
    </row>
    <row r="580" spans="1:25" hidden="1" x14ac:dyDescent="0.3">
      <c r="A580" s="47">
        <f>IF(B580="","",SUBTOTAL(3,$B$3:B580)-1)</f>
        <v>7</v>
      </c>
      <c r="B580" s="143" t="s">
        <v>909</v>
      </c>
      <c r="C580" s="146" t="s">
        <v>24</v>
      </c>
      <c r="D580" s="143"/>
      <c r="E580" s="46"/>
      <c r="F580" s="142">
        <v>3</v>
      </c>
      <c r="G580" s="176"/>
      <c r="H580" s="407" t="s">
        <v>634</v>
      </c>
      <c r="I580" s="189" t="s">
        <v>634</v>
      </c>
      <c r="J580" s="67"/>
      <c r="K580" s="194"/>
      <c r="L580" s="180"/>
      <c r="M580" s="180"/>
      <c r="N580" s="180"/>
      <c r="O580" s="181"/>
      <c r="P580" s="237"/>
      <c r="Q580" s="255"/>
      <c r="R580" s="175"/>
      <c r="S580" s="411"/>
      <c r="T580" s="190" t="s">
        <v>0</v>
      </c>
      <c r="U580" s="22"/>
      <c r="V580" s="233"/>
      <c r="W580" s="239"/>
      <c r="X580" s="403"/>
      <c r="Y580" s="258"/>
    </row>
    <row r="581" spans="1:25" hidden="1" x14ac:dyDescent="0.3">
      <c r="A581" s="47">
        <f>IF(B581="","",SUBTOTAL(3,$B$3:B581)-1)</f>
        <v>7</v>
      </c>
      <c r="B581" s="25" t="s">
        <v>1075</v>
      </c>
      <c r="C581" s="25" t="s">
        <v>24</v>
      </c>
      <c r="D581" s="163"/>
      <c r="E581" s="46"/>
      <c r="F581" s="22">
        <v>11</v>
      </c>
      <c r="G581" s="175"/>
      <c r="H581" s="405"/>
      <c r="I581" s="185"/>
      <c r="J581" s="71"/>
      <c r="K581" s="194"/>
      <c r="L581" s="67"/>
      <c r="M581" s="67"/>
      <c r="N581" s="67"/>
      <c r="O581" s="73"/>
      <c r="P581" s="237"/>
      <c r="Q581" s="255"/>
      <c r="R581" s="175"/>
      <c r="S581" s="411"/>
      <c r="T581" s="190"/>
      <c r="U581" s="22"/>
      <c r="V581" s="233"/>
      <c r="W581" s="239"/>
      <c r="X581" s="403"/>
      <c r="Y581" s="258"/>
    </row>
    <row r="582" spans="1:25" hidden="1" x14ac:dyDescent="0.3">
      <c r="A582" s="47">
        <f>IF(B582="","",SUBTOTAL(3,$B$3:B582)-1)</f>
        <v>7</v>
      </c>
      <c r="B582" s="26" t="s">
        <v>159</v>
      </c>
      <c r="C582" s="26" t="s">
        <v>24</v>
      </c>
      <c r="D582" s="163"/>
      <c r="E582" s="46">
        <f t="shared" ref="E582:E590" si="1">($AA$2-O582)*$AB$2+Q582</f>
        <v>0</v>
      </c>
      <c r="F582" s="369">
        <v>6</v>
      </c>
      <c r="G582" s="176" t="s">
        <v>660</v>
      </c>
      <c r="H582" s="405"/>
      <c r="I582" s="185"/>
      <c r="J582" s="67"/>
      <c r="K582" s="194"/>
      <c r="L582" s="67"/>
      <c r="M582" s="67"/>
      <c r="N582" s="67"/>
      <c r="O582" s="73"/>
      <c r="P582" s="237" t="s">
        <v>1</v>
      </c>
      <c r="Q582" s="255"/>
      <c r="R582" s="175" t="s">
        <v>0</v>
      </c>
      <c r="S582" s="411"/>
      <c r="T582" s="190"/>
      <c r="U582" s="22"/>
      <c r="V582" s="233"/>
      <c r="W582" s="239"/>
      <c r="X582" s="403"/>
      <c r="Y582" s="258"/>
    </row>
    <row r="583" spans="1:25" hidden="1" x14ac:dyDescent="0.3">
      <c r="A583" s="47">
        <f>IF(B583="","",SUBTOTAL(3,$B$3:B583)-1)</f>
        <v>7</v>
      </c>
      <c r="B583" s="26" t="s">
        <v>647</v>
      </c>
      <c r="C583" s="26" t="s">
        <v>24</v>
      </c>
      <c r="D583" s="26"/>
      <c r="E583" s="46">
        <f t="shared" si="1"/>
        <v>0</v>
      </c>
      <c r="F583" s="21">
        <v>10</v>
      </c>
      <c r="G583" s="175" t="s">
        <v>415</v>
      </c>
      <c r="H583" s="405" t="s">
        <v>696</v>
      </c>
      <c r="I583" s="185" t="s">
        <v>661</v>
      </c>
      <c r="J583" s="67"/>
      <c r="K583" s="194"/>
      <c r="L583" s="67"/>
      <c r="M583" s="67"/>
      <c r="N583" s="67"/>
      <c r="O583" s="73"/>
      <c r="P583" s="237"/>
      <c r="Q583" s="255"/>
      <c r="R583" s="175" t="s">
        <v>1</v>
      </c>
      <c r="S583" s="411" t="s">
        <v>661</v>
      </c>
      <c r="T583" s="190" t="s">
        <v>0</v>
      </c>
      <c r="U583" s="22"/>
      <c r="V583" s="233"/>
      <c r="W583" s="239"/>
      <c r="X583" s="403"/>
      <c r="Y583" s="258"/>
    </row>
    <row r="584" spans="1:25" hidden="1" x14ac:dyDescent="0.3">
      <c r="A584" s="47">
        <f>IF(B584="","",SUBTOTAL(3,$B$3:B584)-1)</f>
        <v>7</v>
      </c>
      <c r="B584" s="25" t="s">
        <v>505</v>
      </c>
      <c r="C584" s="25" t="s">
        <v>24</v>
      </c>
      <c r="D584" s="163"/>
      <c r="E584" s="46">
        <f t="shared" si="1"/>
        <v>0</v>
      </c>
      <c r="F584" s="22">
        <v>10</v>
      </c>
      <c r="G584" s="175"/>
      <c r="H584" s="405" t="s">
        <v>635</v>
      </c>
      <c r="I584" s="185" t="s">
        <v>661</v>
      </c>
      <c r="J584" s="71" t="s">
        <v>661</v>
      </c>
      <c r="K584" s="194"/>
      <c r="L584" s="67"/>
      <c r="M584" s="67"/>
      <c r="N584" s="67"/>
      <c r="O584" s="73"/>
      <c r="P584" s="237"/>
      <c r="Q584" s="255"/>
      <c r="R584" s="175"/>
      <c r="S584" s="411" t="s">
        <v>848</v>
      </c>
      <c r="T584" s="190" t="s">
        <v>0</v>
      </c>
      <c r="U584" s="22" t="s">
        <v>0</v>
      </c>
      <c r="V584" s="233"/>
      <c r="W584" s="239"/>
      <c r="X584" s="403"/>
      <c r="Y584" s="258"/>
    </row>
    <row r="585" spans="1:25" hidden="1" x14ac:dyDescent="0.3">
      <c r="A585" s="47">
        <f>IF(B585="","",SUBTOTAL(3,$B$3:B585)-1)</f>
        <v>7</v>
      </c>
      <c r="B585" s="24" t="s">
        <v>916</v>
      </c>
      <c r="C585" s="24" t="s">
        <v>24</v>
      </c>
      <c r="D585" s="24">
        <v>367011358</v>
      </c>
      <c r="E585" s="46">
        <f t="shared" si="1"/>
        <v>0</v>
      </c>
      <c r="F585" s="22">
        <v>11</v>
      </c>
      <c r="G585" s="175" t="s">
        <v>660</v>
      </c>
      <c r="H585" s="405" t="s">
        <v>1</v>
      </c>
      <c r="I585" s="187"/>
      <c r="J585" s="67"/>
      <c r="K585" s="194"/>
      <c r="L585" s="180"/>
      <c r="M585" s="180"/>
      <c r="N585" s="180"/>
      <c r="O585" s="181"/>
      <c r="P585" s="237"/>
      <c r="Q585" s="255"/>
      <c r="R585" s="175" t="s">
        <v>1</v>
      </c>
      <c r="S585" s="411" t="s">
        <v>0</v>
      </c>
      <c r="T585" s="190"/>
      <c r="U585" s="22"/>
      <c r="V585" s="233" t="s">
        <v>848</v>
      </c>
      <c r="W585" s="239"/>
      <c r="X585" s="403"/>
      <c r="Y585" s="258"/>
    </row>
    <row r="586" spans="1:25" hidden="1" x14ac:dyDescent="0.3">
      <c r="A586" s="47">
        <f>IF(B586="","",SUBTOTAL(3,$B$3:B586)-1)</f>
        <v>7</v>
      </c>
      <c r="B586" s="24" t="s">
        <v>608</v>
      </c>
      <c r="C586" s="24" t="s">
        <v>24</v>
      </c>
      <c r="D586" s="163"/>
      <c r="E586" s="46">
        <f t="shared" si="1"/>
        <v>0</v>
      </c>
      <c r="F586" s="22">
        <v>12</v>
      </c>
      <c r="G586" s="175"/>
      <c r="H586" s="405"/>
      <c r="I586" s="185"/>
      <c r="J586" s="67"/>
      <c r="K586" s="194"/>
      <c r="L586" s="67"/>
      <c r="M586" s="67"/>
      <c r="N586" s="67"/>
      <c r="O586" s="73"/>
      <c r="P586" s="237"/>
      <c r="Q586" s="255"/>
      <c r="R586" s="175"/>
      <c r="S586" s="411"/>
      <c r="T586" s="190"/>
      <c r="U586" s="22"/>
      <c r="V586" s="233"/>
      <c r="W586" s="239"/>
      <c r="X586" s="403"/>
      <c r="Y586" s="258"/>
    </row>
    <row r="587" spans="1:25" hidden="1" x14ac:dyDescent="0.3">
      <c r="A587" s="47">
        <f>IF(B587="","",SUBTOTAL(3,$B$3:B587)-1)</f>
        <v>7</v>
      </c>
      <c r="B587" s="24" t="s">
        <v>337</v>
      </c>
      <c r="C587" s="24" t="s">
        <v>24</v>
      </c>
      <c r="D587" s="163"/>
      <c r="E587" s="46">
        <f t="shared" si="1"/>
        <v>0</v>
      </c>
      <c r="F587" s="22">
        <v>12</v>
      </c>
      <c r="G587" s="175"/>
      <c r="H587" s="405"/>
      <c r="I587" s="185"/>
      <c r="J587" s="67"/>
      <c r="K587" s="194"/>
      <c r="L587" s="67"/>
      <c r="M587" s="67"/>
      <c r="N587" s="67"/>
      <c r="O587" s="73"/>
      <c r="P587" s="237"/>
      <c r="Q587" s="255"/>
      <c r="R587" s="175" t="s">
        <v>415</v>
      </c>
      <c r="S587" s="411"/>
      <c r="T587" s="190"/>
      <c r="U587" s="22"/>
      <c r="V587" s="233"/>
      <c r="W587" s="239"/>
      <c r="X587" s="403"/>
      <c r="Y587" s="258"/>
    </row>
    <row r="588" spans="1:25" hidden="1" x14ac:dyDescent="0.3">
      <c r="A588" s="47">
        <f>IF(B588="","",SUBTOTAL(3,$B$3:B588)-1)</f>
        <v>7</v>
      </c>
      <c r="B588" s="24" t="s">
        <v>275</v>
      </c>
      <c r="C588" s="24" t="s">
        <v>24</v>
      </c>
      <c r="D588" s="24">
        <v>374384510</v>
      </c>
      <c r="E588" s="46">
        <f t="shared" si="1"/>
        <v>0</v>
      </c>
      <c r="F588" s="22" t="s">
        <v>1213</v>
      </c>
      <c r="G588" s="175"/>
      <c r="H588" s="405"/>
      <c r="I588" s="185"/>
      <c r="J588" s="67"/>
      <c r="K588" s="194"/>
      <c r="L588" s="67"/>
      <c r="M588" s="67"/>
      <c r="N588" s="67"/>
      <c r="O588" s="73"/>
      <c r="P588" s="237"/>
      <c r="Q588" s="255"/>
      <c r="R588" s="175"/>
      <c r="S588" s="411"/>
      <c r="T588" s="190"/>
      <c r="U588" s="22"/>
      <c r="V588" s="233"/>
      <c r="W588" s="239"/>
      <c r="X588" s="403"/>
      <c r="Y588" s="258"/>
    </row>
    <row r="589" spans="1:25" hidden="1" x14ac:dyDescent="0.3">
      <c r="A589" s="47">
        <f>IF(B589="","",SUBTOTAL(3,$B$3:B589)-1)</f>
        <v>7</v>
      </c>
      <c r="B589" s="24" t="s">
        <v>261</v>
      </c>
      <c r="C589" s="24" t="s">
        <v>24</v>
      </c>
      <c r="D589" s="24"/>
      <c r="E589" s="46">
        <f t="shared" si="1"/>
        <v>0</v>
      </c>
      <c r="F589" s="22" t="s">
        <v>1213</v>
      </c>
      <c r="G589" s="175"/>
      <c r="H589" s="405"/>
      <c r="I589" s="185"/>
      <c r="J589" s="67"/>
      <c r="K589" s="194"/>
      <c r="L589" s="67"/>
      <c r="M589" s="67"/>
      <c r="N589" s="67"/>
      <c r="O589" s="73"/>
      <c r="P589" s="237"/>
      <c r="Q589" s="255"/>
      <c r="R589" s="175"/>
      <c r="S589" s="411"/>
      <c r="T589" s="190"/>
      <c r="U589" s="22"/>
      <c r="V589" s="233"/>
      <c r="W589" s="239"/>
      <c r="X589" s="403"/>
      <c r="Y589" s="258"/>
    </row>
    <row r="590" spans="1:25" hidden="1" x14ac:dyDescent="0.3">
      <c r="A590" s="47">
        <f>IF(B590="","",SUBTOTAL(3,$B$3:B590)-1)</f>
        <v>7</v>
      </c>
      <c r="B590" s="24" t="s">
        <v>192</v>
      </c>
      <c r="C590" s="24" t="s">
        <v>24</v>
      </c>
      <c r="D590" s="163">
        <v>368922929</v>
      </c>
      <c r="E590" s="46">
        <f t="shared" si="1"/>
        <v>0</v>
      </c>
      <c r="F590" s="22">
        <v>11</v>
      </c>
      <c r="G590" s="175" t="s">
        <v>660</v>
      </c>
      <c r="H590" s="405" t="s">
        <v>1</v>
      </c>
      <c r="I590" s="185" t="s">
        <v>661</v>
      </c>
      <c r="J590" s="67"/>
      <c r="K590" s="194" t="s">
        <v>660</v>
      </c>
      <c r="L590" s="180"/>
      <c r="M590" s="180"/>
      <c r="N590" s="180"/>
      <c r="O590" s="181"/>
      <c r="P590" s="237"/>
      <c r="Q590" s="255"/>
      <c r="R590" s="175" t="s">
        <v>0</v>
      </c>
      <c r="S590" s="411" t="s">
        <v>0</v>
      </c>
      <c r="T590" s="190"/>
      <c r="U590" s="22"/>
      <c r="V590" s="233" t="s">
        <v>848</v>
      </c>
      <c r="W590" s="239"/>
      <c r="X590" s="403"/>
      <c r="Y590" s="258"/>
    </row>
    <row r="591" spans="1:25" hidden="1" x14ac:dyDescent="0.3">
      <c r="A591" s="47">
        <f>IF(B591="","",SUBTOTAL(3,$B$3:B591)-1)</f>
        <v>7</v>
      </c>
      <c r="B591" s="143" t="s">
        <v>122</v>
      </c>
      <c r="C591" s="143" t="s">
        <v>24</v>
      </c>
      <c r="D591" s="143"/>
      <c r="E591" s="46"/>
      <c r="F591" s="22">
        <v>10</v>
      </c>
      <c r="G591" s="176"/>
      <c r="H591" s="406"/>
      <c r="I591" s="188" t="s">
        <v>634</v>
      </c>
      <c r="J591" s="142"/>
      <c r="K591" s="196"/>
      <c r="L591" s="67"/>
      <c r="M591" s="67"/>
      <c r="N591" s="67"/>
      <c r="O591" s="73"/>
      <c r="P591" s="237"/>
      <c r="Q591" s="255"/>
      <c r="R591" s="175"/>
      <c r="S591" s="411"/>
      <c r="T591" s="190" t="s">
        <v>0</v>
      </c>
      <c r="U591" s="22"/>
      <c r="V591" s="233"/>
      <c r="W591" s="239"/>
      <c r="X591" s="403"/>
      <c r="Y591" s="258"/>
    </row>
    <row r="592" spans="1:25" hidden="1" x14ac:dyDescent="0.3">
      <c r="A592" s="47">
        <f>IF(B592="","",SUBTOTAL(3,$B$3:B592)-1)</f>
        <v>7</v>
      </c>
      <c r="B592" s="3" t="s">
        <v>159</v>
      </c>
      <c r="C592" s="3" t="s">
        <v>24</v>
      </c>
      <c r="D592" s="22"/>
      <c r="E592" s="46" t="s">
        <v>1214</v>
      </c>
      <c r="F592" s="22">
        <v>6</v>
      </c>
      <c r="G592" s="175" t="s">
        <v>415</v>
      </c>
      <c r="H592" s="405"/>
      <c r="I592" s="185"/>
      <c r="J592" s="71"/>
      <c r="K592" s="194"/>
      <c r="L592" s="67"/>
      <c r="M592" s="67"/>
      <c r="N592" s="67"/>
      <c r="O592" s="73"/>
      <c r="P592" s="237"/>
      <c r="Q592" s="255"/>
      <c r="R592" s="175" t="s">
        <v>848</v>
      </c>
      <c r="S592" s="408"/>
      <c r="T592" s="190"/>
      <c r="U592" s="22"/>
      <c r="V592" s="233"/>
      <c r="W592" s="239"/>
      <c r="X592" s="403"/>
      <c r="Y592" s="258"/>
    </row>
    <row r="593" spans="1:25" hidden="1" x14ac:dyDescent="0.3">
      <c r="A593" s="47">
        <f>IF(B593="","",SUBTOTAL(3,$B$3:B593)-1)</f>
        <v>7</v>
      </c>
      <c r="B593" s="24" t="s">
        <v>1185</v>
      </c>
      <c r="C593" s="24" t="s">
        <v>24</v>
      </c>
      <c r="D593" s="163"/>
      <c r="E593" s="46"/>
      <c r="F593" s="22">
        <v>9</v>
      </c>
      <c r="G593" s="176"/>
      <c r="H593" s="405"/>
      <c r="I593" s="185"/>
      <c r="J593" s="67" t="s">
        <v>661</v>
      </c>
      <c r="K593" s="194"/>
      <c r="L593" s="67"/>
      <c r="M593" s="67"/>
      <c r="N593" s="67"/>
      <c r="O593" s="73"/>
      <c r="P593" s="237"/>
      <c r="Q593" s="255"/>
      <c r="R593" s="175"/>
      <c r="S593" s="411"/>
      <c r="T593" s="190"/>
      <c r="U593" s="22" t="s">
        <v>0</v>
      </c>
      <c r="V593" s="233"/>
      <c r="W593" s="239"/>
      <c r="X593" s="403"/>
      <c r="Y593" s="258"/>
    </row>
    <row r="594" spans="1:25" hidden="1" x14ac:dyDescent="0.3">
      <c r="A594" s="47">
        <f>IF(B594="","",SUBTOTAL(3,$B$3:B594)-1)</f>
        <v>7</v>
      </c>
      <c r="B594" s="24" t="s">
        <v>215</v>
      </c>
      <c r="C594" s="24" t="s">
        <v>24</v>
      </c>
      <c r="D594" s="163"/>
      <c r="E594" s="46">
        <f>($AA$2-O594)*$AB$2+Q594</f>
        <v>0</v>
      </c>
      <c r="F594" s="22">
        <v>9</v>
      </c>
      <c r="G594" s="175" t="s">
        <v>415</v>
      </c>
      <c r="H594" s="409" t="s">
        <v>2</v>
      </c>
      <c r="I594" s="187"/>
      <c r="J594" s="67"/>
      <c r="K594" s="194"/>
      <c r="L594" s="180"/>
      <c r="M594" s="180"/>
      <c r="N594" s="180"/>
      <c r="O594" s="181"/>
      <c r="P594" s="237"/>
      <c r="Q594" s="255"/>
      <c r="R594" s="175" t="s">
        <v>848</v>
      </c>
      <c r="S594" s="411" t="s">
        <v>848</v>
      </c>
      <c r="T594" s="190"/>
      <c r="U594" s="22"/>
      <c r="V594" s="233"/>
      <c r="W594" s="239"/>
      <c r="X594" s="403"/>
      <c r="Y594" s="258"/>
    </row>
    <row r="595" spans="1:25" hidden="1" x14ac:dyDescent="0.3">
      <c r="A595" s="47">
        <f>IF(B595="","",SUBTOTAL(3,$B$3:B595)-1)</f>
        <v>7</v>
      </c>
      <c r="B595" s="25" t="s">
        <v>192</v>
      </c>
      <c r="C595" s="25" t="s">
        <v>24</v>
      </c>
      <c r="D595" s="163">
        <v>862037846</v>
      </c>
      <c r="E595" s="46"/>
      <c r="F595" s="22">
        <v>9</v>
      </c>
      <c r="G595" s="175" t="s">
        <v>415</v>
      </c>
      <c r="H595" s="409" t="s">
        <v>696</v>
      </c>
      <c r="I595" s="187"/>
      <c r="J595" s="67"/>
      <c r="K595" s="194"/>
      <c r="L595" s="180"/>
      <c r="M595" s="180"/>
      <c r="N595" s="180"/>
      <c r="O595" s="181"/>
      <c r="P595" s="237"/>
      <c r="Q595" s="255"/>
      <c r="R595" s="175" t="s">
        <v>2</v>
      </c>
      <c r="S595" s="411" t="s">
        <v>661</v>
      </c>
      <c r="T595" s="190"/>
      <c r="U595" s="22"/>
      <c r="V595" s="233"/>
      <c r="W595" s="239"/>
      <c r="X595" s="403"/>
      <c r="Y595" s="258"/>
    </row>
    <row r="596" spans="1:25" hidden="1" x14ac:dyDescent="0.3">
      <c r="A596" s="47">
        <f>IF(B596="","",SUBTOTAL(3,$B$3:B596)-1)</f>
        <v>7</v>
      </c>
      <c r="B596" s="143" t="s">
        <v>230</v>
      </c>
      <c r="C596" s="143" t="s">
        <v>24</v>
      </c>
      <c r="D596" s="143"/>
      <c r="E596" s="46"/>
      <c r="F596" s="22">
        <v>9</v>
      </c>
      <c r="G596" s="175" t="s">
        <v>415</v>
      </c>
      <c r="H596" s="406"/>
      <c r="I596" s="188"/>
      <c r="J596" s="142"/>
      <c r="K596" s="196"/>
      <c r="L596" s="67"/>
      <c r="M596" s="67"/>
      <c r="N596" s="67"/>
      <c r="O596" s="73"/>
      <c r="P596" s="237"/>
      <c r="Q596" s="255"/>
      <c r="R596" s="175" t="s">
        <v>2</v>
      </c>
      <c r="S596" s="411"/>
      <c r="T596" s="190"/>
      <c r="U596" s="22"/>
      <c r="V596" s="233"/>
      <c r="W596" s="239"/>
      <c r="X596" s="403"/>
      <c r="Y596" s="258"/>
    </row>
    <row r="597" spans="1:25" hidden="1" x14ac:dyDescent="0.3">
      <c r="A597" s="47">
        <f>IF(B597="","",SUBTOTAL(3,$B$3:B597)-1)</f>
        <v>7</v>
      </c>
      <c r="B597" s="26" t="s">
        <v>627</v>
      </c>
      <c r="C597" s="26" t="s">
        <v>75</v>
      </c>
      <c r="D597" s="26">
        <v>786480870</v>
      </c>
      <c r="E597" s="46"/>
      <c r="F597" s="22">
        <v>2</v>
      </c>
      <c r="G597" s="175"/>
      <c r="H597" s="405" t="s">
        <v>860</v>
      </c>
      <c r="I597" s="185" t="s">
        <v>860</v>
      </c>
      <c r="J597" s="67"/>
      <c r="K597" s="194" t="s">
        <v>721</v>
      </c>
      <c r="L597" s="180"/>
      <c r="M597" s="180"/>
      <c r="N597" s="180"/>
      <c r="O597" s="181"/>
      <c r="P597" s="237"/>
      <c r="Q597" s="255"/>
      <c r="R597" s="175"/>
      <c r="S597" s="411"/>
      <c r="T597" s="190" t="s">
        <v>1</v>
      </c>
      <c r="U597" s="22"/>
      <c r="V597" s="233"/>
      <c r="W597" s="239"/>
      <c r="X597" s="403"/>
      <c r="Y597" s="258"/>
    </row>
    <row r="598" spans="1:25" hidden="1" x14ac:dyDescent="0.3">
      <c r="A598" s="47">
        <f>IF(B598="","",SUBTOTAL(3,$B$3:B598)-1)</f>
        <v>7</v>
      </c>
      <c r="B598" s="39" t="s">
        <v>1140</v>
      </c>
      <c r="C598" s="24" t="s">
        <v>75</v>
      </c>
      <c r="D598" s="163"/>
      <c r="E598" s="46"/>
      <c r="F598" s="142">
        <v>3</v>
      </c>
      <c r="G598" s="175"/>
      <c r="H598" s="405"/>
      <c r="I598" s="185"/>
      <c r="J598" s="67"/>
      <c r="K598" s="194"/>
      <c r="L598" s="67"/>
      <c r="M598" s="67"/>
      <c r="N598" s="67"/>
      <c r="O598" s="73"/>
      <c r="P598" s="237"/>
      <c r="Q598" s="255"/>
      <c r="R598" s="175"/>
      <c r="S598" s="411"/>
      <c r="T598" s="190"/>
      <c r="U598" s="22"/>
      <c r="V598" s="233"/>
      <c r="W598" s="239"/>
      <c r="X598" s="403"/>
      <c r="Y598" s="258"/>
    </row>
    <row r="599" spans="1:25" hidden="1" x14ac:dyDescent="0.3">
      <c r="A599" s="47">
        <f>IF(B599="","",SUBTOTAL(3,$B$3:B599)-1)</f>
        <v>7</v>
      </c>
      <c r="B599" s="143" t="s">
        <v>474</v>
      </c>
      <c r="C599" s="143" t="s">
        <v>75</v>
      </c>
      <c r="D599" s="143" t="s">
        <v>880</v>
      </c>
      <c r="E599" s="46"/>
      <c r="F599" s="142">
        <v>4</v>
      </c>
      <c r="G599" s="175" t="s">
        <v>660</v>
      </c>
      <c r="H599" s="406"/>
      <c r="I599" s="188"/>
      <c r="J599" s="142"/>
      <c r="K599" s="196" t="s">
        <v>721</v>
      </c>
      <c r="L599" s="67"/>
      <c r="M599" s="67"/>
      <c r="N599" s="67"/>
      <c r="O599" s="73"/>
      <c r="P599" s="237" t="s">
        <v>1</v>
      </c>
      <c r="Q599" s="255"/>
      <c r="R599" s="175" t="s">
        <v>0</v>
      </c>
      <c r="S599" s="411"/>
      <c r="T599" s="190"/>
      <c r="U599" s="22"/>
      <c r="V599" s="233"/>
      <c r="W599" s="239" t="s">
        <v>848</v>
      </c>
      <c r="X599" s="403"/>
      <c r="Y599" s="258"/>
    </row>
    <row r="600" spans="1:25" hidden="1" x14ac:dyDescent="0.3">
      <c r="A600" s="47">
        <f>IF(B600="","",SUBTOTAL(3,$B$3:B600)-1)</f>
        <v>7</v>
      </c>
      <c r="B600" s="24" t="s">
        <v>855</v>
      </c>
      <c r="C600" s="24" t="s">
        <v>75</v>
      </c>
      <c r="D600" s="24"/>
      <c r="E600" s="46"/>
      <c r="F600" s="22">
        <v>5</v>
      </c>
      <c r="G600" s="176" t="s">
        <v>660</v>
      </c>
      <c r="H600" s="408"/>
      <c r="I600" s="186"/>
      <c r="J600" s="68"/>
      <c r="K600" s="195" t="s">
        <v>721</v>
      </c>
      <c r="L600" s="67"/>
      <c r="M600" s="67"/>
      <c r="N600" s="67"/>
      <c r="O600" s="73"/>
      <c r="P600" s="237"/>
      <c r="Q600" s="255"/>
      <c r="R600" s="175" t="s">
        <v>0</v>
      </c>
      <c r="S600" s="411"/>
      <c r="T600" s="190"/>
      <c r="U600" s="22"/>
      <c r="V600" s="233"/>
      <c r="W600" s="239"/>
      <c r="X600" s="403"/>
      <c r="Y600" s="258"/>
    </row>
    <row r="601" spans="1:25" hidden="1" x14ac:dyDescent="0.3">
      <c r="A601" s="47">
        <f>IF(B601="","",SUBTOTAL(3,$B$3:B601)-1)</f>
        <v>7</v>
      </c>
      <c r="B601" s="269" t="s">
        <v>1253</v>
      </c>
      <c r="C601" s="269" t="s">
        <v>75</v>
      </c>
      <c r="D601" s="301">
        <v>932979199</v>
      </c>
      <c r="E601" s="46" t="s">
        <v>1214</v>
      </c>
      <c r="F601" s="21">
        <v>6</v>
      </c>
      <c r="G601" s="175" t="s">
        <v>1332</v>
      </c>
      <c r="H601" s="405"/>
      <c r="I601" s="185"/>
      <c r="J601" s="71"/>
      <c r="K601" s="194"/>
      <c r="L601" s="67"/>
      <c r="M601" s="67"/>
      <c r="N601" s="67"/>
      <c r="O601" s="73"/>
      <c r="P601" s="237"/>
      <c r="Q601" s="255"/>
      <c r="R601" s="318" t="s">
        <v>2</v>
      </c>
      <c r="S601" s="408" t="s">
        <v>0</v>
      </c>
      <c r="T601" s="190"/>
      <c r="U601" s="22"/>
      <c r="V601" s="233"/>
      <c r="W601" s="239"/>
      <c r="X601" s="403"/>
      <c r="Y601" s="258"/>
    </row>
    <row r="602" spans="1:25" hidden="1" x14ac:dyDescent="0.3">
      <c r="A602" s="47">
        <f>IF(B602="","",SUBTOTAL(3,$B$3:B602)-1)</f>
        <v>7</v>
      </c>
      <c r="B602" s="24" t="s">
        <v>1051</v>
      </c>
      <c r="C602" s="24" t="s">
        <v>75</v>
      </c>
      <c r="D602" s="24"/>
      <c r="E602" s="46"/>
      <c r="F602" s="369">
        <v>7</v>
      </c>
      <c r="G602" s="176" t="s">
        <v>415</v>
      </c>
      <c r="H602" s="408" t="s">
        <v>696</v>
      </c>
      <c r="I602" s="188"/>
      <c r="J602" s="68"/>
      <c r="K602" s="195"/>
      <c r="L602" s="67"/>
      <c r="M602" s="67"/>
      <c r="N602" s="67"/>
      <c r="O602" s="73"/>
      <c r="P602" s="237"/>
      <c r="Q602" s="255"/>
      <c r="R602" s="175" t="s">
        <v>1</v>
      </c>
      <c r="S602" s="411" t="s">
        <v>0</v>
      </c>
      <c r="T602" s="190"/>
      <c r="U602" s="22"/>
      <c r="V602" s="233"/>
      <c r="W602" s="239"/>
      <c r="X602" s="403"/>
      <c r="Y602" s="258"/>
    </row>
    <row r="603" spans="1:25" hidden="1" x14ac:dyDescent="0.3">
      <c r="A603" s="47">
        <f>IF(B603="","",SUBTOTAL(3,$B$3:B603)-1)</f>
        <v>7</v>
      </c>
      <c r="B603" s="39" t="s">
        <v>1103</v>
      </c>
      <c r="C603" s="24" t="s">
        <v>75</v>
      </c>
      <c r="D603" s="163"/>
      <c r="E603" s="46"/>
      <c r="F603" s="142">
        <v>7</v>
      </c>
      <c r="G603" s="176" t="s">
        <v>415</v>
      </c>
      <c r="H603" s="406"/>
      <c r="I603" s="185"/>
      <c r="J603" s="67"/>
      <c r="K603" s="194"/>
      <c r="L603" s="180"/>
      <c r="M603" s="180"/>
      <c r="N603" s="180"/>
      <c r="O603" s="181"/>
      <c r="P603" s="237"/>
      <c r="Q603" s="255"/>
      <c r="R603" s="175" t="s">
        <v>2</v>
      </c>
      <c r="S603" s="411"/>
      <c r="T603" s="190"/>
      <c r="U603" s="22"/>
      <c r="V603" s="233"/>
      <c r="W603" s="239"/>
      <c r="X603" s="403"/>
      <c r="Y603" s="258"/>
    </row>
    <row r="604" spans="1:25" hidden="1" x14ac:dyDescent="0.3">
      <c r="A604" s="47">
        <f>IF(B604="","",SUBTOTAL(3,$B$3:B604)-1)</f>
        <v>7</v>
      </c>
      <c r="B604" s="26" t="s">
        <v>585</v>
      </c>
      <c r="C604" s="26" t="s">
        <v>75</v>
      </c>
      <c r="D604" s="26"/>
      <c r="E604" s="46">
        <f>($AA$2-O604)*$AB$2+Q604</f>
        <v>0</v>
      </c>
      <c r="F604" s="22">
        <v>8</v>
      </c>
      <c r="G604" s="175" t="s">
        <v>415</v>
      </c>
      <c r="H604" s="405" t="s">
        <v>635</v>
      </c>
      <c r="I604" s="185"/>
      <c r="J604" s="67"/>
      <c r="K604" s="194"/>
      <c r="L604" s="180"/>
      <c r="M604" s="180"/>
      <c r="N604" s="180"/>
      <c r="O604" s="181"/>
      <c r="P604" s="237"/>
      <c r="Q604" s="255"/>
      <c r="R604" s="175" t="s">
        <v>0</v>
      </c>
      <c r="S604" s="411" t="s">
        <v>1</v>
      </c>
      <c r="T604" s="190"/>
      <c r="U604" s="22"/>
      <c r="V604" s="233"/>
      <c r="W604" s="239"/>
      <c r="X604" s="403"/>
      <c r="Y604" s="258"/>
    </row>
    <row r="605" spans="1:25" hidden="1" x14ac:dyDescent="0.3">
      <c r="A605" s="47">
        <f>IF(B605="","",SUBTOTAL(3,$B$3:B605)-1)</f>
        <v>7</v>
      </c>
      <c r="B605" s="24" t="s">
        <v>229</v>
      </c>
      <c r="C605" s="24" t="s">
        <v>75</v>
      </c>
      <c r="D605" s="163"/>
      <c r="E605" s="46">
        <f>($AA$2-O605)*$AB$2+Q605</f>
        <v>0</v>
      </c>
      <c r="F605" s="22">
        <v>9</v>
      </c>
      <c r="G605" s="175"/>
      <c r="H605" s="409"/>
      <c r="I605" s="187"/>
      <c r="J605" s="67"/>
      <c r="K605" s="194"/>
      <c r="L605" s="67"/>
      <c r="M605" s="67"/>
      <c r="N605" s="67"/>
      <c r="O605" s="73"/>
      <c r="P605" s="237"/>
      <c r="Q605" s="255"/>
      <c r="R605" s="175"/>
      <c r="S605" s="411"/>
      <c r="T605" s="190"/>
      <c r="U605" s="22"/>
      <c r="V605" s="233"/>
      <c r="W605" s="239"/>
      <c r="X605" s="403"/>
      <c r="Y605" s="258"/>
    </row>
    <row r="606" spans="1:25" hidden="1" x14ac:dyDescent="0.3">
      <c r="A606" s="47">
        <f>IF(B606="","",SUBTOTAL(3,$B$3:B606)-1)</f>
        <v>7</v>
      </c>
      <c r="B606" s="380" t="s">
        <v>1306</v>
      </c>
      <c r="C606" s="380" t="s">
        <v>90</v>
      </c>
      <c r="D606" s="380">
        <v>907297049</v>
      </c>
      <c r="E606" s="46" t="s">
        <v>1356</v>
      </c>
      <c r="F606" s="382">
        <v>2</v>
      </c>
      <c r="G606" s="175" t="s">
        <v>826</v>
      </c>
      <c r="H606" s="405"/>
      <c r="I606" s="185"/>
      <c r="J606" s="71"/>
      <c r="K606" s="194"/>
      <c r="L606" s="67"/>
      <c r="M606" s="67"/>
      <c r="N606" s="67"/>
      <c r="O606" s="73"/>
      <c r="P606" s="237"/>
      <c r="Q606" s="255"/>
      <c r="R606" s="175" t="s">
        <v>1</v>
      </c>
      <c r="S606" s="411"/>
      <c r="T606" s="190"/>
      <c r="U606" s="22"/>
      <c r="V606" s="233"/>
      <c r="W606" s="239"/>
      <c r="X606" s="403"/>
      <c r="Y606" s="383" t="s">
        <v>1376</v>
      </c>
    </row>
    <row r="607" spans="1:25" hidden="1" x14ac:dyDescent="0.3">
      <c r="A607" s="47">
        <f>IF(B607="","",SUBTOTAL(3,$B$3:B607)-1)</f>
        <v>7</v>
      </c>
      <c r="B607" s="39" t="s">
        <v>198</v>
      </c>
      <c r="C607" s="24" t="s">
        <v>90</v>
      </c>
      <c r="D607" s="163"/>
      <c r="E607" s="46"/>
      <c r="F607" s="22">
        <v>5</v>
      </c>
      <c r="G607" s="175" t="s">
        <v>660</v>
      </c>
      <c r="H607" s="407" t="s">
        <v>634</v>
      </c>
      <c r="I607" s="189" t="s">
        <v>634</v>
      </c>
      <c r="J607" s="67"/>
      <c r="K607" s="194"/>
      <c r="L607" s="67"/>
      <c r="M607" s="67"/>
      <c r="N607" s="67"/>
      <c r="O607" s="73"/>
      <c r="P607" s="237"/>
      <c r="Q607" s="255"/>
      <c r="R607" s="175" t="s">
        <v>0</v>
      </c>
      <c r="S607" s="411"/>
      <c r="T607" s="190" t="s">
        <v>0</v>
      </c>
      <c r="U607" s="22"/>
      <c r="V607" s="233"/>
      <c r="W607" s="239"/>
      <c r="X607" s="403"/>
      <c r="Y607" s="258"/>
    </row>
    <row r="608" spans="1:25" hidden="1" x14ac:dyDescent="0.3">
      <c r="A608" s="47">
        <f>IF(B608="","",SUBTOTAL(3,$B$3:B608)-1)</f>
        <v>7</v>
      </c>
      <c r="B608" s="25" t="s">
        <v>149</v>
      </c>
      <c r="C608" s="25" t="s">
        <v>90</v>
      </c>
      <c r="D608" s="163"/>
      <c r="E608" s="46"/>
      <c r="F608" s="22">
        <v>11</v>
      </c>
      <c r="G608" s="175" t="s">
        <v>660</v>
      </c>
      <c r="H608" s="405"/>
      <c r="I608" s="185"/>
      <c r="J608" s="71"/>
      <c r="K608" s="194"/>
      <c r="L608" s="67"/>
      <c r="M608" s="67"/>
      <c r="N608" s="67"/>
      <c r="O608" s="73"/>
      <c r="P608" s="237"/>
      <c r="Q608" s="255"/>
      <c r="R608" s="175" t="s">
        <v>1</v>
      </c>
      <c r="S608" s="411"/>
      <c r="T608" s="190"/>
      <c r="U608" s="22"/>
      <c r="V608" s="233"/>
      <c r="W608" s="239"/>
      <c r="X608" s="403"/>
      <c r="Y608" s="258"/>
    </row>
    <row r="609" spans="1:25" hidden="1" x14ac:dyDescent="0.3">
      <c r="A609" s="47">
        <f>IF(B609="","",SUBTOTAL(3,$B$3:B609)-1)</f>
        <v>7</v>
      </c>
      <c r="B609" s="24" t="s">
        <v>289</v>
      </c>
      <c r="C609" s="24" t="s">
        <v>90</v>
      </c>
      <c r="D609" s="24"/>
      <c r="E609" s="46">
        <f>($AA$2-O609)*$AB$2+Q609</f>
        <v>0</v>
      </c>
      <c r="F609" s="22">
        <v>10</v>
      </c>
      <c r="G609" s="175" t="s">
        <v>415</v>
      </c>
      <c r="H609" s="405"/>
      <c r="I609" s="185"/>
      <c r="J609" s="71"/>
      <c r="K609" s="194"/>
      <c r="L609" s="180"/>
      <c r="M609" s="180"/>
      <c r="N609" s="180"/>
      <c r="O609" s="181"/>
      <c r="P609" s="237"/>
      <c r="Q609" s="255"/>
      <c r="R609" s="175" t="s">
        <v>2</v>
      </c>
      <c r="S609" s="411"/>
      <c r="T609" s="190"/>
      <c r="U609" s="22"/>
      <c r="V609" s="233"/>
      <c r="W609" s="239"/>
      <c r="X609" s="403"/>
      <c r="Y609" s="258"/>
    </row>
    <row r="610" spans="1:25" hidden="1" x14ac:dyDescent="0.3">
      <c r="A610" s="47">
        <f>IF(B610="","",SUBTOTAL(3,$B$3:B610)-1)</f>
        <v>7</v>
      </c>
      <c r="B610" s="25" t="s">
        <v>544</v>
      </c>
      <c r="C610" s="25" t="s">
        <v>90</v>
      </c>
      <c r="D610" s="163"/>
      <c r="E610" s="46">
        <f>($AA$2-O610)*$AB$2+Q610</f>
        <v>0</v>
      </c>
      <c r="F610" s="22">
        <v>11</v>
      </c>
      <c r="G610" s="175" t="s">
        <v>415</v>
      </c>
      <c r="H610" s="405"/>
      <c r="I610" s="185"/>
      <c r="J610" s="67"/>
      <c r="K610" s="194"/>
      <c r="L610" s="180"/>
      <c r="M610" s="180"/>
      <c r="N610" s="180"/>
      <c r="O610" s="181"/>
      <c r="P610" s="237"/>
      <c r="Q610" s="255"/>
      <c r="R610" s="175" t="s">
        <v>661</v>
      </c>
      <c r="S610" s="411"/>
      <c r="T610" s="190"/>
      <c r="U610" s="22"/>
      <c r="V610" s="233"/>
      <c r="W610" s="239"/>
      <c r="X610" s="403"/>
      <c r="Y610" s="258"/>
    </row>
    <row r="611" spans="1:25" hidden="1" x14ac:dyDescent="0.3">
      <c r="A611" s="47">
        <f>IF(B611="","",SUBTOTAL(3,$B$3:B611)-1)</f>
        <v>7</v>
      </c>
      <c r="B611" s="269" t="s">
        <v>1229</v>
      </c>
      <c r="C611" s="269" t="s">
        <v>1230</v>
      </c>
      <c r="D611" s="269">
        <v>979076154</v>
      </c>
      <c r="E611" s="46" t="s">
        <v>1214</v>
      </c>
      <c r="F611" s="301">
        <v>2</v>
      </c>
      <c r="G611" s="175"/>
      <c r="H611" s="405" t="s">
        <v>634</v>
      </c>
      <c r="I611" s="185" t="s">
        <v>634</v>
      </c>
      <c r="J611" s="71"/>
      <c r="K611" s="194"/>
      <c r="L611" s="67"/>
      <c r="M611" s="67"/>
      <c r="N611" s="67"/>
      <c r="O611" s="73"/>
      <c r="P611" s="237"/>
      <c r="Q611" s="255"/>
      <c r="R611" s="175"/>
      <c r="S611" s="411"/>
      <c r="T611" s="190" t="s">
        <v>0</v>
      </c>
      <c r="U611" s="22"/>
      <c r="V611" s="233"/>
      <c r="W611" s="239"/>
      <c r="X611" s="403"/>
      <c r="Y611" s="323">
        <v>2</v>
      </c>
    </row>
    <row r="612" spans="1:25" hidden="1" x14ac:dyDescent="0.3">
      <c r="A612" s="47">
        <f>IF(B612="","",SUBTOTAL(3,$B$3:B612)-1)</f>
        <v>7</v>
      </c>
      <c r="B612" s="253" t="s">
        <v>900</v>
      </c>
      <c r="C612" s="26" t="s">
        <v>34</v>
      </c>
      <c r="D612" s="25"/>
      <c r="E612" s="46"/>
      <c r="F612" s="22">
        <v>2</v>
      </c>
      <c r="G612" s="176"/>
      <c r="H612" s="405" t="s">
        <v>634</v>
      </c>
      <c r="I612" s="185" t="s">
        <v>634</v>
      </c>
      <c r="J612" s="67"/>
      <c r="K612" s="194"/>
      <c r="L612" s="67"/>
      <c r="M612" s="67"/>
      <c r="N612" s="67"/>
      <c r="O612" s="73"/>
      <c r="P612" s="237"/>
      <c r="Q612" s="255"/>
      <c r="R612" s="175"/>
      <c r="S612" s="411"/>
      <c r="T612" s="190" t="s">
        <v>0</v>
      </c>
      <c r="U612" s="22"/>
      <c r="V612" s="233"/>
      <c r="W612" s="239"/>
      <c r="X612" s="403"/>
      <c r="Y612" s="258"/>
    </row>
    <row r="613" spans="1:25" hidden="1" x14ac:dyDescent="0.3">
      <c r="A613" s="47">
        <f>IF(B613="","",SUBTOTAL(3,$B$3:B613)-1)</f>
        <v>7</v>
      </c>
      <c r="B613" s="26" t="s">
        <v>356</v>
      </c>
      <c r="C613" s="26" t="s">
        <v>34</v>
      </c>
      <c r="D613" s="163">
        <v>393133744</v>
      </c>
      <c r="E613" s="46">
        <f>($AA$2-O613)*$AB$2+Q613</f>
        <v>0</v>
      </c>
      <c r="F613" s="142">
        <v>4</v>
      </c>
      <c r="G613" s="175" t="s">
        <v>660</v>
      </c>
      <c r="H613" s="408"/>
      <c r="I613" s="186"/>
      <c r="J613" s="68"/>
      <c r="K613" s="195"/>
      <c r="L613" s="68"/>
      <c r="M613" s="68"/>
      <c r="N613" s="68"/>
      <c r="O613" s="73"/>
      <c r="P613" s="237" t="s">
        <v>1</v>
      </c>
      <c r="Q613" s="255"/>
      <c r="R613" s="175" t="s">
        <v>0</v>
      </c>
      <c r="S613" s="411"/>
      <c r="T613" s="190"/>
      <c r="U613" s="22"/>
      <c r="V613" s="233"/>
      <c r="W613" s="239" t="s">
        <v>848</v>
      </c>
      <c r="X613" s="403"/>
      <c r="Y613" s="258"/>
    </row>
    <row r="614" spans="1:25" hidden="1" x14ac:dyDescent="0.3">
      <c r="A614" s="47">
        <f>IF(B614="","",SUBTOTAL(3,$B$3:B614)-1)</f>
        <v>7</v>
      </c>
      <c r="B614" s="24" t="s">
        <v>183</v>
      </c>
      <c r="C614" s="24" t="s">
        <v>34</v>
      </c>
      <c r="D614" s="163"/>
      <c r="E614" s="46">
        <f>($AA$2-O614)*$AB$2+Q614</f>
        <v>0</v>
      </c>
      <c r="F614" s="22">
        <v>11</v>
      </c>
      <c r="G614" s="175"/>
      <c r="H614" s="409"/>
      <c r="I614" s="185" t="s">
        <v>661</v>
      </c>
      <c r="J614" s="67"/>
      <c r="K614" s="194"/>
      <c r="L614" s="67"/>
      <c r="M614" s="67"/>
      <c r="N614" s="67"/>
      <c r="O614" s="73"/>
      <c r="P614" s="237"/>
      <c r="Q614" s="255"/>
      <c r="R614" s="175"/>
      <c r="S614" s="411"/>
      <c r="T614" s="190">
        <v>2</v>
      </c>
      <c r="U614" s="22"/>
      <c r="V614" s="233"/>
      <c r="W614" s="239"/>
      <c r="X614" s="403"/>
      <c r="Y614" s="258"/>
    </row>
    <row r="615" spans="1:25" hidden="1" x14ac:dyDescent="0.3">
      <c r="A615" s="47">
        <f>IF(B615="","",SUBTOTAL(3,$B$3:B615)-1)</f>
        <v>7</v>
      </c>
      <c r="B615" s="143" t="s">
        <v>961</v>
      </c>
      <c r="C615" s="143" t="s">
        <v>34</v>
      </c>
      <c r="D615" s="143"/>
      <c r="E615" s="46"/>
      <c r="F615" s="22">
        <v>11</v>
      </c>
      <c r="G615" s="176"/>
      <c r="H615" s="406"/>
      <c r="I615" s="188"/>
      <c r="J615" s="142"/>
      <c r="K615" s="196" t="s">
        <v>660</v>
      </c>
      <c r="L615" s="67"/>
      <c r="M615" s="67"/>
      <c r="N615" s="67"/>
      <c r="O615" s="73"/>
      <c r="P615" s="237"/>
      <c r="Q615" s="255"/>
      <c r="R615" s="175"/>
      <c r="S615" s="411"/>
      <c r="T615" s="190"/>
      <c r="U615" s="22"/>
      <c r="V615" s="233" t="s">
        <v>848</v>
      </c>
      <c r="W615" s="239"/>
      <c r="X615" s="403"/>
      <c r="Y615" s="258"/>
    </row>
    <row r="616" spans="1:25" hidden="1" x14ac:dyDescent="0.3">
      <c r="A616" s="47">
        <f>IF(B616="","",SUBTOTAL(3,$B$3:B616)-1)</f>
        <v>7</v>
      </c>
      <c r="B616" s="24" t="s">
        <v>359</v>
      </c>
      <c r="C616" s="24" t="s">
        <v>34</v>
      </c>
      <c r="D616" s="163"/>
      <c r="E616" s="46">
        <f>($AA$2-O616)*$AB$2+Q616</f>
        <v>0</v>
      </c>
      <c r="F616" s="22">
        <v>12</v>
      </c>
      <c r="G616" s="175"/>
      <c r="H616" s="405"/>
      <c r="I616" s="185"/>
      <c r="J616" s="67"/>
      <c r="K616" s="194"/>
      <c r="L616" s="67"/>
      <c r="M616" s="67"/>
      <c r="N616" s="67"/>
      <c r="O616" s="73"/>
      <c r="P616" s="237"/>
      <c r="Q616" s="255"/>
      <c r="R616" s="175" t="s">
        <v>415</v>
      </c>
      <c r="S616" s="411"/>
      <c r="T616" s="190"/>
      <c r="U616" s="22"/>
      <c r="V616" s="233"/>
      <c r="W616" s="239"/>
      <c r="X616" s="403"/>
      <c r="Y616" s="258"/>
    </row>
    <row r="617" spans="1:25" hidden="1" x14ac:dyDescent="0.3">
      <c r="A617" s="47">
        <f>IF(B617="","",SUBTOTAL(3,$B$3:B617)-1)</f>
        <v>7</v>
      </c>
      <c r="B617" s="25" t="s">
        <v>575</v>
      </c>
      <c r="C617" s="25" t="s">
        <v>34</v>
      </c>
      <c r="D617" s="163"/>
      <c r="E617" s="46">
        <f>($AA$2-O617)*$AB$2+Q617</f>
        <v>0</v>
      </c>
      <c r="F617" s="22" t="s">
        <v>1213</v>
      </c>
      <c r="G617" s="175"/>
      <c r="H617" s="405"/>
      <c r="I617" s="185"/>
      <c r="J617" s="67"/>
      <c r="K617" s="194"/>
      <c r="L617" s="67"/>
      <c r="M617" s="67"/>
      <c r="N617" s="67"/>
      <c r="O617" s="73"/>
      <c r="P617" s="237"/>
      <c r="Q617" s="255"/>
      <c r="R617" s="175"/>
      <c r="S617" s="411"/>
      <c r="T617" s="190"/>
      <c r="U617" s="22"/>
      <c r="V617" s="233"/>
      <c r="W617" s="239"/>
      <c r="X617" s="403"/>
      <c r="Y617" s="258"/>
    </row>
    <row r="618" spans="1:25" hidden="1" x14ac:dyDescent="0.3">
      <c r="A618" s="47">
        <f>IF(B618="","",SUBTOTAL(3,$B$3:B618)-1)</f>
        <v>7</v>
      </c>
      <c r="B618" s="143" t="s">
        <v>26</v>
      </c>
      <c r="C618" s="143" t="s">
        <v>34</v>
      </c>
      <c r="D618" s="143"/>
      <c r="E618" s="46"/>
      <c r="F618" s="21">
        <v>10</v>
      </c>
      <c r="G618" s="176"/>
      <c r="H618" s="406"/>
      <c r="I618" s="188" t="s">
        <v>634</v>
      </c>
      <c r="J618" s="142"/>
      <c r="K618" s="196"/>
      <c r="L618" s="67"/>
      <c r="M618" s="67"/>
      <c r="N618" s="67"/>
      <c r="O618" s="73"/>
      <c r="P618" s="237"/>
      <c r="Q618" s="255"/>
      <c r="R618" s="175"/>
      <c r="S618" s="411"/>
      <c r="T618" s="190" t="s">
        <v>0</v>
      </c>
      <c r="U618" s="22"/>
      <c r="V618" s="233"/>
      <c r="W618" s="239"/>
      <c r="X618" s="403"/>
      <c r="Y618" s="258"/>
    </row>
    <row r="619" spans="1:25" hidden="1" x14ac:dyDescent="0.3">
      <c r="A619" s="47">
        <f>IF(B619="","",SUBTOTAL(3,$B$3:B619)-1)</f>
        <v>7</v>
      </c>
      <c r="B619" s="273" t="s">
        <v>1254</v>
      </c>
      <c r="C619" s="273" t="s">
        <v>34</v>
      </c>
      <c r="D619" s="304">
        <v>979875843</v>
      </c>
      <c r="E619" s="46" t="s">
        <v>1214</v>
      </c>
      <c r="F619" s="22">
        <v>6</v>
      </c>
      <c r="G619" s="175" t="s">
        <v>1332</v>
      </c>
      <c r="H619" s="405"/>
      <c r="I619" s="185"/>
      <c r="J619" s="71"/>
      <c r="K619" s="194"/>
      <c r="L619" s="67"/>
      <c r="M619" s="67"/>
      <c r="N619" s="67"/>
      <c r="O619" s="73"/>
      <c r="P619" s="237"/>
      <c r="Q619" s="255"/>
      <c r="R619" s="318" t="s">
        <v>1</v>
      </c>
      <c r="S619" s="408">
        <v>6</v>
      </c>
      <c r="T619" s="190"/>
      <c r="U619" s="22"/>
      <c r="V619" s="233"/>
      <c r="W619" s="239"/>
      <c r="X619" s="403"/>
      <c r="Y619" s="258"/>
    </row>
    <row r="620" spans="1:25" hidden="1" x14ac:dyDescent="0.3">
      <c r="A620" s="47">
        <f>IF(B620="","",SUBTOTAL(3,$B$3:B620)-1)</f>
        <v>7</v>
      </c>
      <c r="B620" s="143" t="s">
        <v>769</v>
      </c>
      <c r="C620" s="143" t="s">
        <v>34</v>
      </c>
      <c r="D620" s="143">
        <v>908023263</v>
      </c>
      <c r="E620" s="46"/>
      <c r="F620" s="142">
        <v>7</v>
      </c>
      <c r="G620" s="175" t="s">
        <v>415</v>
      </c>
      <c r="H620" s="406" t="s">
        <v>696</v>
      </c>
      <c r="I620" s="188"/>
      <c r="J620" s="142"/>
      <c r="K620" s="196" t="s">
        <v>721</v>
      </c>
      <c r="L620" s="67"/>
      <c r="M620" s="67"/>
      <c r="N620" s="67"/>
      <c r="O620" s="73"/>
      <c r="P620" s="237" t="s">
        <v>1</v>
      </c>
      <c r="Q620" s="255"/>
      <c r="R620" s="175" t="s">
        <v>848</v>
      </c>
      <c r="S620" s="411" t="s">
        <v>848</v>
      </c>
      <c r="T620" s="190"/>
      <c r="U620" s="22"/>
      <c r="V620" s="233"/>
      <c r="W620" s="239"/>
      <c r="X620" s="403"/>
      <c r="Y620" s="258"/>
    </row>
    <row r="621" spans="1:25" hidden="1" x14ac:dyDescent="0.3">
      <c r="A621" s="47">
        <f>IF(B621="","",SUBTOTAL(3,$B$3:B621)-1)</f>
        <v>7</v>
      </c>
      <c r="B621" s="143" t="s">
        <v>728</v>
      </c>
      <c r="C621" s="143" t="s">
        <v>34</v>
      </c>
      <c r="D621" s="143">
        <v>987616217</v>
      </c>
      <c r="E621" s="46"/>
      <c r="F621" s="142">
        <v>7</v>
      </c>
      <c r="G621" s="175" t="s">
        <v>415</v>
      </c>
      <c r="H621" s="406" t="s">
        <v>696</v>
      </c>
      <c r="I621" s="188" t="s">
        <v>634</v>
      </c>
      <c r="J621" s="142"/>
      <c r="K621" s="196" t="s">
        <v>721</v>
      </c>
      <c r="L621" s="67"/>
      <c r="M621" s="67"/>
      <c r="N621" s="67"/>
      <c r="O621" s="73"/>
      <c r="P621" s="237" t="s">
        <v>1</v>
      </c>
      <c r="Q621" s="255"/>
      <c r="R621" s="175" t="s">
        <v>848</v>
      </c>
      <c r="S621" s="411" t="s">
        <v>848</v>
      </c>
      <c r="T621" s="190" t="s">
        <v>0</v>
      </c>
      <c r="U621" s="22"/>
      <c r="V621" s="233"/>
      <c r="W621" s="239" t="s">
        <v>0</v>
      </c>
      <c r="X621" s="403"/>
      <c r="Y621" s="258"/>
    </row>
    <row r="622" spans="1:25" hidden="1" x14ac:dyDescent="0.3">
      <c r="A622" s="47">
        <f>IF(B622="","",SUBTOTAL(3,$B$3:B622)-1)</f>
        <v>7</v>
      </c>
      <c r="B622" s="24" t="s">
        <v>511</v>
      </c>
      <c r="C622" s="24" t="s">
        <v>34</v>
      </c>
      <c r="D622" s="163">
        <v>396557917</v>
      </c>
      <c r="E622" s="46">
        <f>($AA$2-O622)*$AB$2+Q622</f>
        <v>0</v>
      </c>
      <c r="F622" s="142">
        <v>7</v>
      </c>
      <c r="G622" s="175" t="s">
        <v>415</v>
      </c>
      <c r="H622" s="405" t="s">
        <v>696</v>
      </c>
      <c r="I622" s="185" t="s">
        <v>634</v>
      </c>
      <c r="J622" s="67"/>
      <c r="K622" s="194"/>
      <c r="L622" s="67"/>
      <c r="M622" s="67"/>
      <c r="N622" s="67"/>
      <c r="O622" s="73"/>
      <c r="P622" s="237" t="s">
        <v>1</v>
      </c>
      <c r="Q622" s="255"/>
      <c r="R622" s="175" t="s">
        <v>848</v>
      </c>
      <c r="S622" s="411" t="s">
        <v>848</v>
      </c>
      <c r="T622" s="190" t="s">
        <v>0</v>
      </c>
      <c r="U622" s="22"/>
      <c r="V622" s="233"/>
      <c r="W622" s="239" t="s">
        <v>0</v>
      </c>
      <c r="X622" s="403"/>
      <c r="Y622" s="258"/>
    </row>
    <row r="623" spans="1:25" hidden="1" x14ac:dyDescent="0.3">
      <c r="A623" s="47">
        <f>IF(B623="","",SUBTOTAL(3,$B$3:B623)-1)</f>
        <v>7</v>
      </c>
      <c r="B623" s="143" t="s">
        <v>306</v>
      </c>
      <c r="C623" s="143" t="s">
        <v>34</v>
      </c>
      <c r="D623" s="143">
        <v>767486526</v>
      </c>
      <c r="E623" s="46"/>
      <c r="F623" s="142">
        <v>7</v>
      </c>
      <c r="G623" s="175" t="s">
        <v>415</v>
      </c>
      <c r="H623" s="406" t="s">
        <v>696</v>
      </c>
      <c r="I623" s="188"/>
      <c r="J623" s="142"/>
      <c r="K623" s="196" t="s">
        <v>721</v>
      </c>
      <c r="L623" s="67"/>
      <c r="M623" s="67"/>
      <c r="N623" s="67"/>
      <c r="O623" s="73"/>
      <c r="P623" s="237"/>
      <c r="Q623" s="255"/>
      <c r="R623" s="175" t="s">
        <v>0</v>
      </c>
      <c r="S623" s="411" t="s">
        <v>0</v>
      </c>
      <c r="T623" s="190"/>
      <c r="U623" s="22"/>
      <c r="V623" s="233"/>
      <c r="W623" s="239"/>
      <c r="X623" s="403"/>
      <c r="Y623" s="258"/>
    </row>
    <row r="624" spans="1:25" hidden="1" x14ac:dyDescent="0.3">
      <c r="A624" s="47">
        <f>IF(B624="","",SUBTOTAL(3,$B$3:B624)-1)</f>
        <v>7</v>
      </c>
      <c r="B624" s="39" t="s">
        <v>1110</v>
      </c>
      <c r="C624" s="24" t="s">
        <v>34</v>
      </c>
      <c r="D624" s="163"/>
      <c r="E624" s="46"/>
      <c r="F624" s="142">
        <v>7</v>
      </c>
      <c r="G624" s="176"/>
      <c r="H624" s="406"/>
      <c r="I624" s="185"/>
      <c r="J624" s="67"/>
      <c r="K624" s="194"/>
      <c r="L624" s="180"/>
      <c r="M624" s="180"/>
      <c r="N624" s="180"/>
      <c r="O624" s="181"/>
      <c r="P624" s="237"/>
      <c r="Q624" s="255"/>
      <c r="R624" s="175"/>
      <c r="S624" s="411"/>
      <c r="T624" s="190"/>
      <c r="U624" s="22"/>
      <c r="V624" s="233"/>
      <c r="W624" s="239"/>
      <c r="X624" s="403"/>
      <c r="Y624" s="258"/>
    </row>
    <row r="625" spans="1:25" hidden="1" x14ac:dyDescent="0.3">
      <c r="A625" s="47">
        <f>IF(B625="","",SUBTOTAL(3,$B$3:B625)-1)</f>
        <v>7</v>
      </c>
      <c r="B625" s="24" t="s">
        <v>641</v>
      </c>
      <c r="C625" s="24" t="s">
        <v>34</v>
      </c>
      <c r="D625" s="24"/>
      <c r="E625" s="46">
        <f>($AA$2-O625)*$AB$2+Q625</f>
        <v>0</v>
      </c>
      <c r="F625" s="22">
        <v>8</v>
      </c>
      <c r="G625" s="175"/>
      <c r="H625" s="405" t="s">
        <v>635</v>
      </c>
      <c r="I625" s="185"/>
      <c r="J625" s="67"/>
      <c r="K625" s="194"/>
      <c r="L625" s="67"/>
      <c r="M625" s="67"/>
      <c r="N625" s="67"/>
      <c r="O625" s="73"/>
      <c r="P625" s="237"/>
      <c r="Q625" s="255"/>
      <c r="R625" s="175"/>
      <c r="S625" s="411" t="s">
        <v>2</v>
      </c>
      <c r="T625" s="190"/>
      <c r="U625" s="22"/>
      <c r="V625" s="233"/>
      <c r="W625" s="239"/>
      <c r="X625" s="403"/>
      <c r="Y625" s="258"/>
    </row>
    <row r="626" spans="1:25" hidden="1" x14ac:dyDescent="0.3">
      <c r="A626" s="47">
        <f>IF(B626="","",SUBTOTAL(3,$B$3:B626)-1)</f>
        <v>7</v>
      </c>
      <c r="B626" s="26" t="s">
        <v>426</v>
      </c>
      <c r="C626" s="26" t="s">
        <v>34</v>
      </c>
      <c r="D626" s="26">
        <v>326272369</v>
      </c>
      <c r="E626" s="46">
        <f>($AA$2-O626)*$AB$2+Q626</f>
        <v>0</v>
      </c>
      <c r="F626" s="22">
        <v>8</v>
      </c>
      <c r="G626" s="175" t="s">
        <v>415</v>
      </c>
      <c r="H626" s="405" t="s">
        <v>2</v>
      </c>
      <c r="I626" s="185"/>
      <c r="J626" s="67"/>
      <c r="K626" s="194"/>
      <c r="L626" s="180"/>
      <c r="M626" s="180"/>
      <c r="N626" s="180"/>
      <c r="O626" s="181"/>
      <c r="P626" s="237"/>
      <c r="Q626" s="255"/>
      <c r="R626" s="175" t="s">
        <v>848</v>
      </c>
      <c r="S626" s="411" t="s">
        <v>848</v>
      </c>
      <c r="T626" s="190"/>
      <c r="U626" s="22"/>
      <c r="V626" s="233"/>
      <c r="W626" s="239"/>
      <c r="X626" s="403"/>
      <c r="Y626" s="258"/>
    </row>
    <row r="627" spans="1:25" hidden="1" x14ac:dyDescent="0.3">
      <c r="A627" s="47">
        <f>IF(B627="","",SUBTOTAL(3,$B$3:B627)-1)</f>
        <v>7</v>
      </c>
      <c r="B627" s="24" t="s">
        <v>173</v>
      </c>
      <c r="C627" s="24" t="s">
        <v>34</v>
      </c>
      <c r="D627" s="26"/>
      <c r="E627" s="46">
        <f>($AA$2-O627)*$AB$2+Q627</f>
        <v>0</v>
      </c>
      <c r="F627" s="22">
        <v>8</v>
      </c>
      <c r="G627" s="175" t="s">
        <v>415</v>
      </c>
      <c r="H627" s="405"/>
      <c r="I627" s="185" t="s">
        <v>634</v>
      </c>
      <c r="J627" s="67" t="s">
        <v>661</v>
      </c>
      <c r="K627" s="194"/>
      <c r="L627" s="180"/>
      <c r="M627" s="180"/>
      <c r="N627" s="180"/>
      <c r="O627" s="181"/>
      <c r="P627" s="237" t="s">
        <v>0</v>
      </c>
      <c r="Q627" s="255"/>
      <c r="R627" s="175" t="s">
        <v>848</v>
      </c>
      <c r="S627" s="411"/>
      <c r="T627" s="190" t="s">
        <v>0</v>
      </c>
      <c r="U627" s="22" t="s">
        <v>0</v>
      </c>
      <c r="V627" s="233"/>
      <c r="W627" s="239"/>
      <c r="X627" s="403"/>
      <c r="Y627" s="258"/>
    </row>
    <row r="628" spans="1:25" hidden="1" x14ac:dyDescent="0.3">
      <c r="A628" s="47">
        <f>IF(B628="","",SUBTOTAL(3,$B$3:B628)-1)</f>
        <v>7</v>
      </c>
      <c r="B628" s="26" t="s">
        <v>440</v>
      </c>
      <c r="C628" s="26" t="s">
        <v>34</v>
      </c>
      <c r="D628" s="26"/>
      <c r="E628" s="46">
        <f>($AA$2-O628)*$AB$2+Q628</f>
        <v>0</v>
      </c>
      <c r="F628" s="22">
        <v>8</v>
      </c>
      <c r="G628" s="175" t="s">
        <v>415</v>
      </c>
      <c r="H628" s="405" t="s">
        <v>635</v>
      </c>
      <c r="I628" s="185" t="s">
        <v>634</v>
      </c>
      <c r="J628" s="67"/>
      <c r="K628" s="194"/>
      <c r="L628" s="180"/>
      <c r="M628" s="180"/>
      <c r="N628" s="180"/>
      <c r="O628" s="181"/>
      <c r="P628" s="237"/>
      <c r="Q628" s="255"/>
      <c r="R628" s="175" t="s">
        <v>0</v>
      </c>
      <c r="S628" s="411" t="s">
        <v>1</v>
      </c>
      <c r="T628" s="190" t="s">
        <v>0</v>
      </c>
      <c r="U628" s="22"/>
      <c r="V628" s="233"/>
      <c r="W628" s="239"/>
      <c r="X628" s="403"/>
      <c r="Y628" s="258"/>
    </row>
    <row r="629" spans="1:25" hidden="1" x14ac:dyDescent="0.3">
      <c r="A629" s="47">
        <f>IF(B629="","",SUBTOTAL(3,$B$3:B629)-1)</f>
        <v>7</v>
      </c>
      <c r="B629" s="380" t="s">
        <v>641</v>
      </c>
      <c r="C629" s="380" t="s">
        <v>34</v>
      </c>
      <c r="D629" s="380">
        <v>967984816</v>
      </c>
      <c r="E629" s="46" t="s">
        <v>1356</v>
      </c>
      <c r="F629" s="382">
        <v>8</v>
      </c>
      <c r="G629" s="175" t="s">
        <v>415</v>
      </c>
      <c r="H629" s="405"/>
      <c r="I629" s="185"/>
      <c r="J629" s="71"/>
      <c r="K629" s="194"/>
      <c r="L629" s="67"/>
      <c r="M629" s="67"/>
      <c r="N629" s="67"/>
      <c r="O629" s="73"/>
      <c r="P629" s="237"/>
      <c r="Q629" s="255"/>
      <c r="R629" s="175" t="s">
        <v>2</v>
      </c>
      <c r="S629" s="411"/>
      <c r="T629" s="190"/>
      <c r="U629" s="22"/>
      <c r="V629" s="233"/>
      <c r="W629" s="239"/>
      <c r="X629" s="403"/>
      <c r="Y629" s="383" t="s">
        <v>1376</v>
      </c>
    </row>
    <row r="630" spans="1:25" hidden="1" x14ac:dyDescent="0.3">
      <c r="A630" s="47">
        <f>IF(B630="","",SUBTOTAL(3,$B$3:B630)-1)</f>
        <v>7</v>
      </c>
      <c r="B630" s="24" t="s">
        <v>546</v>
      </c>
      <c r="C630" s="24" t="s">
        <v>34</v>
      </c>
      <c r="D630" s="163">
        <v>983774816</v>
      </c>
      <c r="E630" s="46">
        <f>($AA$2-O630)*$AB$2+Q630</f>
        <v>0</v>
      </c>
      <c r="F630" s="22">
        <v>9</v>
      </c>
      <c r="G630" s="175"/>
      <c r="H630" s="409"/>
      <c r="I630" s="187"/>
      <c r="J630" s="67"/>
      <c r="K630" s="194"/>
      <c r="L630" s="67"/>
      <c r="M630" s="67"/>
      <c r="N630" s="67"/>
      <c r="O630" s="73"/>
      <c r="P630" s="237"/>
      <c r="Q630" s="255"/>
      <c r="R630" s="175"/>
      <c r="S630" s="411"/>
      <c r="T630" s="190"/>
      <c r="U630" s="22"/>
      <c r="V630" s="233"/>
      <c r="W630" s="239"/>
      <c r="X630" s="403"/>
      <c r="Y630" s="258"/>
    </row>
    <row r="631" spans="1:25" hidden="1" x14ac:dyDescent="0.3">
      <c r="A631" s="47">
        <f>IF(B631="","",SUBTOTAL(3,$B$3:B631)-1)</f>
        <v>7</v>
      </c>
      <c r="B631" s="24" t="s">
        <v>193</v>
      </c>
      <c r="C631" s="24" t="s">
        <v>34</v>
      </c>
      <c r="D631" s="24"/>
      <c r="E631" s="46">
        <f>($AA$2-O631)*$AB$2+Q631</f>
        <v>0</v>
      </c>
      <c r="F631" s="22">
        <v>9</v>
      </c>
      <c r="G631" s="175" t="s">
        <v>415</v>
      </c>
      <c r="H631" s="409" t="s">
        <v>2</v>
      </c>
      <c r="I631" s="187" t="s">
        <v>634</v>
      </c>
      <c r="J631" s="67" t="s">
        <v>661</v>
      </c>
      <c r="K631" s="194"/>
      <c r="L631" s="180"/>
      <c r="M631" s="180"/>
      <c r="N631" s="180"/>
      <c r="O631" s="181"/>
      <c r="P631" s="237"/>
      <c r="Q631" s="255"/>
      <c r="R631" s="175" t="s">
        <v>848</v>
      </c>
      <c r="S631" s="411" t="s">
        <v>848</v>
      </c>
      <c r="T631" s="190" t="s">
        <v>0</v>
      </c>
      <c r="U631" s="22" t="s">
        <v>0</v>
      </c>
      <c r="V631" s="233"/>
      <c r="W631" s="239"/>
      <c r="X631" s="403"/>
      <c r="Y631" s="258"/>
    </row>
    <row r="632" spans="1:25" hidden="1" x14ac:dyDescent="0.3">
      <c r="A632" s="47">
        <f>IF(B632="","",SUBTOTAL(3,$B$3:B632)-1)</f>
        <v>7</v>
      </c>
      <c r="B632" s="24" t="s">
        <v>196</v>
      </c>
      <c r="C632" s="24" t="s">
        <v>34</v>
      </c>
      <c r="D632" s="163"/>
      <c r="E632" s="46">
        <f>($AA$2-O632)*$AB$2+Q632</f>
        <v>0</v>
      </c>
      <c r="F632" s="22">
        <v>9</v>
      </c>
      <c r="G632" s="175" t="s">
        <v>415</v>
      </c>
      <c r="H632" s="409" t="s">
        <v>660</v>
      </c>
      <c r="I632" s="187"/>
      <c r="J632" s="67"/>
      <c r="K632" s="194"/>
      <c r="L632" s="180"/>
      <c r="M632" s="180"/>
      <c r="N632" s="180"/>
      <c r="O632" s="181"/>
      <c r="P632" s="237"/>
      <c r="Q632" s="255"/>
      <c r="R632" s="175" t="s">
        <v>0</v>
      </c>
      <c r="S632" s="411" t="s">
        <v>0</v>
      </c>
      <c r="T632" s="190"/>
      <c r="U632" s="22"/>
      <c r="V632" s="233"/>
      <c r="W632" s="239"/>
      <c r="X632" s="403"/>
      <c r="Y632" s="258"/>
    </row>
    <row r="633" spans="1:25" hidden="1" x14ac:dyDescent="0.3">
      <c r="A633" s="47">
        <f>IF(B633="","",SUBTOTAL(3,$B$3:B633)-1)</f>
        <v>7</v>
      </c>
      <c r="B633" s="143" t="s">
        <v>280</v>
      </c>
      <c r="C633" s="143" t="s">
        <v>26</v>
      </c>
      <c r="D633" s="143">
        <v>939458461</v>
      </c>
      <c r="E633" s="46"/>
      <c r="F633" s="22">
        <v>2</v>
      </c>
      <c r="G633" s="176"/>
      <c r="H633" s="406" t="s">
        <v>634</v>
      </c>
      <c r="I633" s="185" t="s">
        <v>634</v>
      </c>
      <c r="J633" s="142"/>
      <c r="K633" s="196" t="s">
        <v>721</v>
      </c>
      <c r="L633" s="67"/>
      <c r="M633" s="67"/>
      <c r="N633" s="67"/>
      <c r="O633" s="73"/>
      <c r="P633" s="237"/>
      <c r="Q633" s="255"/>
      <c r="R633" s="175"/>
      <c r="S633" s="411"/>
      <c r="T633" s="190" t="s">
        <v>0</v>
      </c>
      <c r="U633" s="22"/>
      <c r="V633" s="233"/>
      <c r="W633" s="239"/>
      <c r="X633" s="403"/>
      <c r="Y633" s="258"/>
    </row>
    <row r="634" spans="1:25" hidden="1" x14ac:dyDescent="0.3">
      <c r="A634" s="47">
        <f>IF(B634="","",SUBTOTAL(3,$B$3:B634)-1)</f>
        <v>7</v>
      </c>
      <c r="B634" s="25" t="s">
        <v>996</v>
      </c>
      <c r="C634" s="25" t="s">
        <v>26</v>
      </c>
      <c r="D634" s="24"/>
      <c r="E634" s="46"/>
      <c r="F634" s="142">
        <v>3</v>
      </c>
      <c r="G634" s="176"/>
      <c r="H634" s="405"/>
      <c r="I634" s="185" t="s">
        <v>634</v>
      </c>
      <c r="J634" s="67"/>
      <c r="K634" s="194"/>
      <c r="L634" s="180"/>
      <c r="M634" s="180"/>
      <c r="N634" s="180"/>
      <c r="O634" s="181"/>
      <c r="P634" s="237"/>
      <c r="Q634" s="255"/>
      <c r="R634" s="175"/>
      <c r="S634" s="411"/>
      <c r="T634" s="190" t="s">
        <v>0</v>
      </c>
      <c r="U634" s="22"/>
      <c r="V634" s="233"/>
      <c r="W634" s="239"/>
      <c r="X634" s="403"/>
      <c r="Y634" s="258"/>
    </row>
    <row r="635" spans="1:25" hidden="1" x14ac:dyDescent="0.3">
      <c r="A635" s="47">
        <f>IF(B635="","",SUBTOTAL(3,$B$3:B635)-1)</f>
        <v>7</v>
      </c>
      <c r="B635" s="269" t="s">
        <v>1251</v>
      </c>
      <c r="C635" s="269" t="s">
        <v>26</v>
      </c>
      <c r="D635" s="269">
        <v>901064627</v>
      </c>
      <c r="E635" s="46" t="s">
        <v>1214</v>
      </c>
      <c r="F635" s="300">
        <v>3</v>
      </c>
      <c r="G635" s="175" t="s">
        <v>660</v>
      </c>
      <c r="H635" s="405"/>
      <c r="I635" s="185"/>
      <c r="J635" s="71"/>
      <c r="K635" s="194"/>
      <c r="L635" s="67"/>
      <c r="M635" s="67"/>
      <c r="N635" s="67"/>
      <c r="O635" s="73"/>
      <c r="P635" s="237"/>
      <c r="Q635" s="255"/>
      <c r="R635" s="175" t="s">
        <v>0</v>
      </c>
      <c r="S635" s="411"/>
      <c r="T635" s="190"/>
      <c r="U635" s="22"/>
      <c r="V635" s="233"/>
      <c r="W635" s="239"/>
      <c r="X635" s="403"/>
      <c r="Y635" s="323" t="s">
        <v>1023</v>
      </c>
    </row>
    <row r="636" spans="1:25" hidden="1" x14ac:dyDescent="0.3">
      <c r="A636" s="47">
        <f>IF(B636="","",SUBTOTAL(3,$B$3:B636)-1)</f>
        <v>7</v>
      </c>
      <c r="B636" s="26" t="s">
        <v>295</v>
      </c>
      <c r="C636" s="26" t="s">
        <v>26</v>
      </c>
      <c r="D636" s="25">
        <v>345514872</v>
      </c>
      <c r="E636" s="46">
        <f t="shared" ref="E636:E641" si="2">($AA$2-O636)*$AB$2+Q636</f>
        <v>0</v>
      </c>
      <c r="F636" s="142">
        <v>6</v>
      </c>
      <c r="G636" s="175"/>
      <c r="H636" s="405"/>
      <c r="I636" s="185"/>
      <c r="J636" s="67"/>
      <c r="K636" s="194"/>
      <c r="L636" s="67"/>
      <c r="M636" s="67"/>
      <c r="N636" s="67"/>
      <c r="O636" s="73"/>
      <c r="P636" s="237"/>
      <c r="Q636" s="255"/>
      <c r="R636" s="175"/>
      <c r="S636" s="411"/>
      <c r="T636" s="190"/>
      <c r="U636" s="22"/>
      <c r="V636" s="233"/>
      <c r="W636" s="239"/>
      <c r="X636" s="403"/>
      <c r="Y636" s="258"/>
    </row>
    <row r="637" spans="1:25" hidden="1" x14ac:dyDescent="0.3">
      <c r="A637" s="47">
        <f>IF(B637="","",SUBTOTAL(3,$B$3:B637)-1)</f>
        <v>7</v>
      </c>
      <c r="B637" s="3" t="s">
        <v>709</v>
      </c>
      <c r="C637" s="26" t="s">
        <v>26</v>
      </c>
      <c r="D637" s="26"/>
      <c r="E637" s="46">
        <f t="shared" si="2"/>
        <v>0</v>
      </c>
      <c r="F637" s="22">
        <v>10</v>
      </c>
      <c r="G637" s="175" t="s">
        <v>415</v>
      </c>
      <c r="H637" s="405" t="s">
        <v>660</v>
      </c>
      <c r="I637" s="185"/>
      <c r="J637" s="67"/>
      <c r="K637" s="194"/>
      <c r="L637" s="67"/>
      <c r="M637" s="67"/>
      <c r="N637" s="67"/>
      <c r="O637" s="73"/>
      <c r="P637" s="237"/>
      <c r="Q637" s="255"/>
      <c r="R637" s="175" t="s">
        <v>0</v>
      </c>
      <c r="S637" s="411" t="s">
        <v>2</v>
      </c>
      <c r="T637" s="190"/>
      <c r="U637" s="22"/>
      <c r="V637" s="233"/>
      <c r="W637" s="239"/>
      <c r="X637" s="403"/>
      <c r="Y637" s="258"/>
    </row>
    <row r="638" spans="1:25" hidden="1" x14ac:dyDescent="0.3">
      <c r="A638" s="47">
        <f>IF(B638="","",SUBTOTAL(3,$B$3:B638)-1)</f>
        <v>7</v>
      </c>
      <c r="B638" s="24" t="s">
        <v>288</v>
      </c>
      <c r="C638" s="24" t="s">
        <v>26</v>
      </c>
      <c r="D638" s="163"/>
      <c r="E638" s="46">
        <f t="shared" si="2"/>
        <v>0</v>
      </c>
      <c r="F638" s="22">
        <v>10</v>
      </c>
      <c r="G638" s="175" t="s">
        <v>415</v>
      </c>
      <c r="H638" s="405" t="s">
        <v>635</v>
      </c>
      <c r="I638" s="185"/>
      <c r="J638" s="71"/>
      <c r="K638" s="194"/>
      <c r="L638" s="67"/>
      <c r="M638" s="67"/>
      <c r="N638" s="67"/>
      <c r="O638" s="73"/>
      <c r="P638" s="237"/>
      <c r="Q638" s="255"/>
      <c r="R638" s="175" t="s">
        <v>1</v>
      </c>
      <c r="S638" s="411" t="s">
        <v>0</v>
      </c>
      <c r="T638" s="190"/>
      <c r="U638" s="22"/>
      <c r="V638" s="233"/>
      <c r="W638" s="239"/>
      <c r="X638" s="403"/>
      <c r="Y638" s="258"/>
    </row>
    <row r="639" spans="1:25" hidden="1" x14ac:dyDescent="0.3">
      <c r="A639" s="47">
        <f>IF(B639="","",SUBTOTAL(3,$B$3:B639)-1)</f>
        <v>7</v>
      </c>
      <c r="B639" s="24" t="s">
        <v>506</v>
      </c>
      <c r="C639" s="24" t="s">
        <v>26</v>
      </c>
      <c r="D639" s="25"/>
      <c r="E639" s="46">
        <f t="shared" si="2"/>
        <v>0</v>
      </c>
      <c r="F639" s="21">
        <v>10</v>
      </c>
      <c r="G639" s="175"/>
      <c r="H639" s="405"/>
      <c r="I639" s="185"/>
      <c r="J639" s="71"/>
      <c r="K639" s="194"/>
      <c r="L639" s="67"/>
      <c r="M639" s="67"/>
      <c r="N639" s="67"/>
      <c r="O639" s="73"/>
      <c r="P639" s="237"/>
      <c r="Q639" s="255"/>
      <c r="R639" s="175"/>
      <c r="S639" s="411"/>
      <c r="T639" s="190"/>
      <c r="U639" s="22"/>
      <c r="V639" s="233"/>
      <c r="W639" s="239"/>
      <c r="X639" s="403"/>
      <c r="Y639" s="258"/>
    </row>
    <row r="640" spans="1:25" hidden="1" x14ac:dyDescent="0.3">
      <c r="A640" s="47">
        <f>IF(B640="","",SUBTOTAL(3,$B$3:B640)-1)</f>
        <v>7</v>
      </c>
      <c r="B640" s="25" t="s">
        <v>269</v>
      </c>
      <c r="C640" s="243" t="s">
        <v>26</v>
      </c>
      <c r="D640" s="245">
        <v>355697767</v>
      </c>
      <c r="E640" s="46">
        <f t="shared" si="2"/>
        <v>0</v>
      </c>
      <c r="F640" s="21" t="s">
        <v>1213</v>
      </c>
      <c r="G640" s="175" t="s">
        <v>660</v>
      </c>
      <c r="H640" s="405"/>
      <c r="I640" s="185"/>
      <c r="J640" s="67"/>
      <c r="K640" s="194"/>
      <c r="L640" s="67"/>
      <c r="M640" s="67"/>
      <c r="N640" s="67"/>
      <c r="O640" s="73"/>
      <c r="P640" s="237"/>
      <c r="Q640" s="255"/>
      <c r="R640" s="175" t="s">
        <v>1</v>
      </c>
      <c r="S640" s="411"/>
      <c r="T640" s="190"/>
      <c r="U640" s="22"/>
      <c r="V640" s="233"/>
      <c r="W640" s="239"/>
      <c r="X640" s="403"/>
      <c r="Y640" s="258"/>
    </row>
    <row r="641" spans="1:25" hidden="1" x14ac:dyDescent="0.3">
      <c r="A641" s="47">
        <f>IF(B641="","",SUBTOTAL(3,$B$3:B641)-1)</f>
        <v>7</v>
      </c>
      <c r="B641" s="24" t="s">
        <v>330</v>
      </c>
      <c r="C641" s="24" t="s">
        <v>26</v>
      </c>
      <c r="D641" s="24">
        <v>333020245</v>
      </c>
      <c r="E641" s="46">
        <f t="shared" si="2"/>
        <v>0</v>
      </c>
      <c r="F641" s="22">
        <v>11</v>
      </c>
      <c r="G641" s="175"/>
      <c r="H641" s="405"/>
      <c r="I641" s="185" t="s">
        <v>661</v>
      </c>
      <c r="J641" s="67"/>
      <c r="K641" s="194"/>
      <c r="L641" s="180"/>
      <c r="M641" s="180"/>
      <c r="N641" s="180"/>
      <c r="O641" s="181"/>
      <c r="P641" s="237"/>
      <c r="Q641" s="255"/>
      <c r="R641" s="175"/>
      <c r="S641" s="411" t="s">
        <v>1</v>
      </c>
      <c r="T641" s="190"/>
      <c r="U641" s="22"/>
      <c r="V641" s="233"/>
      <c r="W641" s="239"/>
      <c r="X641" s="403"/>
      <c r="Y641" s="258"/>
    </row>
    <row r="642" spans="1:25" hidden="1" x14ac:dyDescent="0.3">
      <c r="A642" s="47">
        <f>IF(B642="","",SUBTOTAL(3,$B$3:B642)-1)</f>
        <v>7</v>
      </c>
      <c r="B642" s="269" t="s">
        <v>1338</v>
      </c>
      <c r="C642" s="269" t="s">
        <v>26</v>
      </c>
      <c r="D642" s="301">
        <v>966188340</v>
      </c>
      <c r="E642" s="46" t="s">
        <v>1214</v>
      </c>
      <c r="F642" s="22">
        <v>6</v>
      </c>
      <c r="G642" s="175" t="s">
        <v>415</v>
      </c>
      <c r="H642" s="405"/>
      <c r="I642" s="185"/>
      <c r="J642" s="71"/>
      <c r="K642" s="194"/>
      <c r="L642" s="67"/>
      <c r="M642" s="67"/>
      <c r="N642" s="67"/>
      <c r="O642" s="73"/>
      <c r="P642" s="237"/>
      <c r="Q642" s="255"/>
      <c r="R642" s="175" t="s">
        <v>848</v>
      </c>
      <c r="S642" s="408"/>
      <c r="T642" s="190"/>
      <c r="U642" s="22"/>
      <c r="V642" s="233"/>
      <c r="W642" s="239"/>
      <c r="X642" s="403"/>
      <c r="Y642" s="258"/>
    </row>
    <row r="643" spans="1:25" hidden="1" x14ac:dyDescent="0.3">
      <c r="A643" s="47">
        <f>IF(B643="","",SUBTOTAL(3,$B$3:B643)-1)</f>
        <v>7</v>
      </c>
      <c r="B643" s="265" t="s">
        <v>669</v>
      </c>
      <c r="C643" s="265" t="s">
        <v>26</v>
      </c>
      <c r="D643" s="300">
        <v>914399926</v>
      </c>
      <c r="E643" s="46" t="s">
        <v>1214</v>
      </c>
      <c r="F643" s="21">
        <v>6</v>
      </c>
      <c r="G643" s="175" t="s">
        <v>1332</v>
      </c>
      <c r="H643" s="405"/>
      <c r="I643" s="185"/>
      <c r="J643" s="71"/>
      <c r="K643" s="194"/>
      <c r="L643" s="67"/>
      <c r="M643" s="67"/>
      <c r="N643" s="67"/>
      <c r="O643" s="73"/>
      <c r="P643" s="237"/>
      <c r="Q643" s="255"/>
      <c r="R643" s="318" t="s">
        <v>1</v>
      </c>
      <c r="S643" s="408">
        <v>6</v>
      </c>
      <c r="T643" s="190"/>
      <c r="U643" s="22"/>
      <c r="V643" s="233"/>
      <c r="W643" s="239"/>
      <c r="X643" s="403"/>
      <c r="Y643" s="258"/>
    </row>
    <row r="644" spans="1:25" hidden="1" x14ac:dyDescent="0.3">
      <c r="A644" s="47">
        <f>IF(B644="","",SUBTOTAL(3,$B$3:B644)-1)</f>
        <v>7</v>
      </c>
      <c r="B644" s="265" t="s">
        <v>1255</v>
      </c>
      <c r="C644" s="265" t="s">
        <v>26</v>
      </c>
      <c r="D644" s="310"/>
      <c r="E644" s="46" t="s">
        <v>1214</v>
      </c>
      <c r="F644" s="22">
        <v>6</v>
      </c>
      <c r="G644" s="175" t="s">
        <v>415</v>
      </c>
      <c r="H644" s="405"/>
      <c r="I644" s="185"/>
      <c r="J644" s="71"/>
      <c r="K644" s="194"/>
      <c r="L644" s="67"/>
      <c r="M644" s="67"/>
      <c r="N644" s="67"/>
      <c r="O644" s="73"/>
      <c r="P644" s="237"/>
      <c r="Q644" s="255"/>
      <c r="R644" s="175" t="s">
        <v>848</v>
      </c>
      <c r="S644" s="408"/>
      <c r="T644" s="190"/>
      <c r="U644" s="22"/>
      <c r="V644" s="233"/>
      <c r="W644" s="239"/>
      <c r="X644" s="403"/>
      <c r="Y644" s="258"/>
    </row>
    <row r="645" spans="1:25" hidden="1" x14ac:dyDescent="0.3">
      <c r="A645" s="47">
        <f>IF(B645="","",SUBTOTAL(3,$B$3:B645)-1)</f>
        <v>7</v>
      </c>
      <c r="B645" s="278" t="s">
        <v>295</v>
      </c>
      <c r="C645" s="278" t="s">
        <v>26</v>
      </c>
      <c r="D645" s="300">
        <v>345514872</v>
      </c>
      <c r="E645" s="46" t="s">
        <v>1214</v>
      </c>
      <c r="F645" s="22">
        <v>6</v>
      </c>
      <c r="G645" s="175" t="s">
        <v>415</v>
      </c>
      <c r="H645" s="405"/>
      <c r="I645" s="185"/>
      <c r="J645" s="71"/>
      <c r="K645" s="194"/>
      <c r="L645" s="67"/>
      <c r="M645" s="67"/>
      <c r="N645" s="67"/>
      <c r="O645" s="73"/>
      <c r="P645" s="237"/>
      <c r="Q645" s="255"/>
      <c r="R645" s="318" t="s">
        <v>0</v>
      </c>
      <c r="S645" s="408" t="s">
        <v>0</v>
      </c>
      <c r="T645" s="190"/>
      <c r="U645" s="22"/>
      <c r="V645" s="233"/>
      <c r="W645" s="239"/>
      <c r="X645" s="403"/>
      <c r="Y645" s="258"/>
    </row>
    <row r="646" spans="1:25" hidden="1" x14ac:dyDescent="0.3">
      <c r="A646" s="47">
        <f>IF(B646="","",SUBTOTAL(3,$B$3:B646)-1)</f>
        <v>7</v>
      </c>
      <c r="B646" s="26" t="s">
        <v>164</v>
      </c>
      <c r="C646" s="26" t="s">
        <v>26</v>
      </c>
      <c r="D646" s="163"/>
      <c r="E646" s="46">
        <f t="shared" ref="E646:E654" si="3">($AA$2-O646)*$AB$2+Q646</f>
        <v>0</v>
      </c>
      <c r="F646" s="142">
        <v>7</v>
      </c>
      <c r="G646" s="175"/>
      <c r="H646" s="405" t="s">
        <v>696</v>
      </c>
      <c r="I646" s="185"/>
      <c r="J646" s="67"/>
      <c r="K646" s="194"/>
      <c r="L646" s="180"/>
      <c r="M646" s="180"/>
      <c r="N646" s="180"/>
      <c r="O646" s="181"/>
      <c r="P646" s="237"/>
      <c r="Q646" s="255"/>
      <c r="R646" s="175"/>
      <c r="S646" s="411" t="s">
        <v>848</v>
      </c>
      <c r="T646" s="190"/>
      <c r="U646" s="22"/>
      <c r="V646" s="233"/>
      <c r="W646" s="239"/>
      <c r="X646" s="403"/>
      <c r="Y646" s="258"/>
    </row>
    <row r="647" spans="1:25" hidden="1" x14ac:dyDescent="0.3">
      <c r="A647" s="47">
        <f>IF(B647="","",SUBTOTAL(3,$B$3:B647)-1)</f>
        <v>7</v>
      </c>
      <c r="B647" s="26" t="s">
        <v>578</v>
      </c>
      <c r="C647" s="26" t="s">
        <v>26</v>
      </c>
      <c r="D647" s="163"/>
      <c r="E647" s="46">
        <f t="shared" si="3"/>
        <v>0</v>
      </c>
      <c r="F647" s="142">
        <v>7</v>
      </c>
      <c r="G647" s="175"/>
      <c r="H647" s="405" t="s">
        <v>696</v>
      </c>
      <c r="I647" s="185"/>
      <c r="J647" s="67"/>
      <c r="K647" s="194"/>
      <c r="L647" s="180"/>
      <c r="M647" s="180"/>
      <c r="N647" s="180"/>
      <c r="O647" s="181"/>
      <c r="P647" s="237"/>
      <c r="Q647" s="255"/>
      <c r="R647" s="175"/>
      <c r="S647" s="411" t="s">
        <v>848</v>
      </c>
      <c r="T647" s="190"/>
      <c r="U647" s="22"/>
      <c r="V647" s="233"/>
      <c r="W647" s="239"/>
      <c r="X647" s="403"/>
      <c r="Y647" s="258"/>
    </row>
    <row r="648" spans="1:25" hidden="1" x14ac:dyDescent="0.3">
      <c r="A648" s="47">
        <f>IF(B648="","",SUBTOTAL(3,$B$3:B648)-1)</f>
        <v>7</v>
      </c>
      <c r="B648" s="26" t="s">
        <v>539</v>
      </c>
      <c r="C648" s="26" t="s">
        <v>26</v>
      </c>
      <c r="D648" s="26">
        <v>845802625</v>
      </c>
      <c r="E648" s="46">
        <f t="shared" si="3"/>
        <v>0</v>
      </c>
      <c r="F648" s="22">
        <v>8</v>
      </c>
      <c r="G648" s="175" t="s">
        <v>415</v>
      </c>
      <c r="H648" s="405" t="s">
        <v>2</v>
      </c>
      <c r="I648" s="185" t="s">
        <v>634</v>
      </c>
      <c r="J648" s="67"/>
      <c r="K648" s="194"/>
      <c r="L648" s="180"/>
      <c r="M648" s="180"/>
      <c r="N648" s="180"/>
      <c r="O648" s="181"/>
      <c r="P648" s="237"/>
      <c r="Q648" s="255"/>
      <c r="R648" s="175" t="s">
        <v>1</v>
      </c>
      <c r="S648" s="411" t="s">
        <v>848</v>
      </c>
      <c r="T648" s="190" t="s">
        <v>0</v>
      </c>
      <c r="U648" s="22"/>
      <c r="V648" s="233"/>
      <c r="W648" s="239"/>
      <c r="X648" s="403"/>
      <c r="Y648" s="258"/>
    </row>
    <row r="649" spans="1:25" hidden="1" x14ac:dyDescent="0.3">
      <c r="A649" s="47">
        <f>IF(B649="","",SUBTOTAL(3,$B$3:B649)-1)</f>
        <v>7</v>
      </c>
      <c r="B649" s="26" t="s">
        <v>451</v>
      </c>
      <c r="C649" s="26" t="s">
        <v>26</v>
      </c>
      <c r="D649" s="26">
        <v>7952822636</v>
      </c>
      <c r="E649" s="46">
        <f t="shared" si="3"/>
        <v>0</v>
      </c>
      <c r="F649" s="22">
        <v>8</v>
      </c>
      <c r="G649" s="175" t="s">
        <v>415</v>
      </c>
      <c r="H649" s="405" t="s">
        <v>2</v>
      </c>
      <c r="I649" s="185"/>
      <c r="J649" s="67"/>
      <c r="K649" s="194"/>
      <c r="L649" s="180"/>
      <c r="M649" s="180"/>
      <c r="N649" s="180"/>
      <c r="O649" s="181"/>
      <c r="P649" s="237"/>
      <c r="Q649" s="255"/>
      <c r="R649" s="175" t="s">
        <v>0</v>
      </c>
      <c r="S649" s="411" t="s">
        <v>848</v>
      </c>
      <c r="T649" s="190"/>
      <c r="U649" s="22"/>
      <c r="V649" s="233"/>
      <c r="W649" s="239"/>
      <c r="X649" s="403"/>
      <c r="Y649" s="258"/>
    </row>
    <row r="650" spans="1:25" hidden="1" x14ac:dyDescent="0.3">
      <c r="A650" s="47">
        <f>IF(B650="","",SUBTOTAL(3,$B$3:B650)-1)</f>
        <v>7</v>
      </c>
      <c r="B650" s="26" t="s">
        <v>434</v>
      </c>
      <c r="C650" s="26" t="s">
        <v>26</v>
      </c>
      <c r="D650" s="26">
        <v>974773131</v>
      </c>
      <c r="E650" s="46">
        <f t="shared" si="3"/>
        <v>0</v>
      </c>
      <c r="F650" s="22">
        <v>8</v>
      </c>
      <c r="G650" s="175" t="s">
        <v>415</v>
      </c>
      <c r="H650" s="405" t="s">
        <v>2</v>
      </c>
      <c r="I650" s="185"/>
      <c r="J650" s="67"/>
      <c r="K650" s="194"/>
      <c r="L650" s="180"/>
      <c r="M650" s="180"/>
      <c r="N650" s="180"/>
      <c r="O650" s="181"/>
      <c r="P650" s="237"/>
      <c r="Q650" s="255"/>
      <c r="R650" s="175" t="s">
        <v>0</v>
      </c>
      <c r="S650" s="411" t="s">
        <v>848</v>
      </c>
      <c r="T650" s="190"/>
      <c r="U650" s="22"/>
      <c r="V650" s="233"/>
      <c r="W650" s="239"/>
      <c r="X650" s="403"/>
      <c r="Y650" s="258"/>
    </row>
    <row r="651" spans="1:25" hidden="1" x14ac:dyDescent="0.3">
      <c r="A651" s="47">
        <f>IF(B651="","",SUBTOTAL(3,$B$3:B651)-1)</f>
        <v>7</v>
      </c>
      <c r="B651" s="24" t="s">
        <v>483</v>
      </c>
      <c r="C651" s="24" t="s">
        <v>26</v>
      </c>
      <c r="D651" s="163">
        <v>345514872</v>
      </c>
      <c r="E651" s="46">
        <f t="shared" si="3"/>
        <v>0</v>
      </c>
      <c r="F651" s="22">
        <v>9</v>
      </c>
      <c r="G651" s="175" t="s">
        <v>415</v>
      </c>
      <c r="H651" s="409" t="s">
        <v>660</v>
      </c>
      <c r="I651" s="187"/>
      <c r="J651" s="67"/>
      <c r="K651" s="194"/>
      <c r="L651" s="180"/>
      <c r="M651" s="180"/>
      <c r="N651" s="180"/>
      <c r="O651" s="181"/>
      <c r="P651" s="237"/>
      <c r="Q651" s="255"/>
      <c r="R651" s="175" t="s">
        <v>1</v>
      </c>
      <c r="S651" s="411" t="s">
        <v>1</v>
      </c>
      <c r="T651" s="190"/>
      <c r="U651" s="22"/>
      <c r="V651" s="233"/>
      <c r="W651" s="239"/>
      <c r="X651" s="403"/>
      <c r="Y651" s="258"/>
    </row>
    <row r="652" spans="1:25" hidden="1" x14ac:dyDescent="0.3">
      <c r="A652" s="47">
        <f>IF(B652="","",SUBTOTAL(3,$B$3:B652)-1)</f>
        <v>7</v>
      </c>
      <c r="B652" s="25" t="s">
        <v>346</v>
      </c>
      <c r="C652" s="25" t="s">
        <v>72</v>
      </c>
      <c r="D652" s="25"/>
      <c r="E652" s="46">
        <f t="shared" si="3"/>
        <v>0</v>
      </c>
      <c r="F652" s="22">
        <v>12</v>
      </c>
      <c r="G652" s="175"/>
      <c r="H652" s="405"/>
      <c r="I652" s="185"/>
      <c r="J652" s="67"/>
      <c r="K652" s="194"/>
      <c r="L652" s="67"/>
      <c r="M652" s="67"/>
      <c r="N652" s="67"/>
      <c r="O652" s="73"/>
      <c r="P652" s="237"/>
      <c r="Q652" s="255"/>
      <c r="R652" s="175" t="s">
        <v>415</v>
      </c>
      <c r="S652" s="411"/>
      <c r="T652" s="190"/>
      <c r="U652" s="22"/>
      <c r="V652" s="233"/>
      <c r="W652" s="239"/>
      <c r="X652" s="403"/>
      <c r="Y652" s="258"/>
    </row>
    <row r="653" spans="1:25" hidden="1" x14ac:dyDescent="0.3">
      <c r="A653" s="47">
        <f>IF(B653="","",SUBTOTAL(3,$B$3:B653)-1)</f>
        <v>7</v>
      </c>
      <c r="B653" s="25" t="s">
        <v>594</v>
      </c>
      <c r="C653" s="25" t="s">
        <v>72</v>
      </c>
      <c r="D653" s="163"/>
      <c r="E653" s="46">
        <f t="shared" si="3"/>
        <v>0</v>
      </c>
      <c r="F653" s="22">
        <v>9</v>
      </c>
      <c r="G653" s="175" t="s">
        <v>415</v>
      </c>
      <c r="H653" s="409" t="s">
        <v>660</v>
      </c>
      <c r="I653" s="187"/>
      <c r="J653" s="67"/>
      <c r="K653" s="194"/>
      <c r="L653" s="180"/>
      <c r="M653" s="180"/>
      <c r="N653" s="180"/>
      <c r="O653" s="181"/>
      <c r="P653" s="237"/>
      <c r="Q653" s="255"/>
      <c r="R653" s="175" t="s">
        <v>2</v>
      </c>
      <c r="S653" s="411" t="s">
        <v>1</v>
      </c>
      <c r="T653" s="190"/>
      <c r="U653" s="22"/>
      <c r="V653" s="233"/>
      <c r="W653" s="239"/>
      <c r="X653" s="403"/>
      <c r="Y653" s="258"/>
    </row>
    <row r="654" spans="1:25" hidden="1" x14ac:dyDescent="0.3">
      <c r="A654" s="47">
        <f>IF(B654="","",SUBTOTAL(3,$B$3:B654)-1)</f>
        <v>7</v>
      </c>
      <c r="B654" s="24" t="s">
        <v>178</v>
      </c>
      <c r="C654" s="24" t="s">
        <v>38</v>
      </c>
      <c r="D654" s="163"/>
      <c r="E654" s="46">
        <f t="shared" si="3"/>
        <v>0</v>
      </c>
      <c r="F654" s="22">
        <v>8</v>
      </c>
      <c r="G654" s="175" t="s">
        <v>415</v>
      </c>
      <c r="H654" s="405" t="s">
        <v>635</v>
      </c>
      <c r="I654" s="185"/>
      <c r="J654" s="67"/>
      <c r="K654" s="194"/>
      <c r="L654" s="180"/>
      <c r="M654" s="180"/>
      <c r="N654" s="180"/>
      <c r="O654" s="181"/>
      <c r="P654" s="237"/>
      <c r="Q654" s="255"/>
      <c r="R654" s="175" t="s">
        <v>0</v>
      </c>
      <c r="S654" s="411" t="s">
        <v>1</v>
      </c>
      <c r="T654" s="190"/>
      <c r="U654" s="22"/>
      <c r="V654" s="233"/>
      <c r="W654" s="239"/>
      <c r="X654" s="403"/>
      <c r="Y654" s="258"/>
    </row>
    <row r="655" spans="1:25" hidden="1" x14ac:dyDescent="0.3">
      <c r="A655" s="47">
        <f>IF(B655="","",SUBTOTAL(3,$B$3:B655)-1)</f>
        <v>7</v>
      </c>
      <c r="B655" s="39" t="s">
        <v>1106</v>
      </c>
      <c r="C655" s="24" t="s">
        <v>1100</v>
      </c>
      <c r="D655" s="163"/>
      <c r="E655" s="46"/>
      <c r="F655" s="142">
        <v>7</v>
      </c>
      <c r="G655" s="176" t="s">
        <v>415</v>
      </c>
      <c r="H655" s="406"/>
      <c r="I655" s="185"/>
      <c r="J655" s="67"/>
      <c r="K655" s="194"/>
      <c r="L655" s="180"/>
      <c r="M655" s="180"/>
      <c r="N655" s="180"/>
      <c r="O655" s="181"/>
      <c r="P655" s="237"/>
      <c r="Q655" s="255"/>
      <c r="R655" s="175" t="s">
        <v>2</v>
      </c>
      <c r="S655" s="411"/>
      <c r="T655" s="190"/>
      <c r="U655" s="22"/>
      <c r="V655" s="233"/>
      <c r="W655" s="239"/>
      <c r="X655" s="403"/>
      <c r="Y655" s="258"/>
    </row>
    <row r="656" spans="1:25" hidden="1" x14ac:dyDescent="0.3">
      <c r="A656" s="47">
        <f>IF(B656="","",SUBTOTAL(3,$B$3:B656)-1)</f>
        <v>7</v>
      </c>
      <c r="B656" s="24" t="s">
        <v>541</v>
      </c>
      <c r="C656" s="24" t="s">
        <v>542</v>
      </c>
      <c r="D656" s="163"/>
      <c r="E656" s="46">
        <f>($AA$2-O656)*$AB$2+Q656</f>
        <v>0</v>
      </c>
      <c r="F656" s="22">
        <v>9</v>
      </c>
      <c r="G656" s="175" t="s">
        <v>415</v>
      </c>
      <c r="H656" s="411"/>
      <c r="I656" s="190"/>
      <c r="J656" s="68"/>
      <c r="K656" s="195"/>
      <c r="L656" s="182"/>
      <c r="M656" s="182"/>
      <c r="N656" s="182"/>
      <c r="O656" s="181"/>
      <c r="P656" s="237"/>
      <c r="Q656" s="255"/>
      <c r="R656" s="175" t="s">
        <v>1</v>
      </c>
      <c r="S656" s="411"/>
      <c r="T656" s="190"/>
      <c r="U656" s="22"/>
      <c r="V656" s="233"/>
      <c r="W656" s="239"/>
      <c r="X656" s="403"/>
      <c r="Y656" s="258"/>
    </row>
    <row r="657" spans="1:25" hidden="1" x14ac:dyDescent="0.3">
      <c r="A657" s="47">
        <f>IF(B657="","",SUBTOTAL(3,$B$3:B657)-1)</f>
        <v>7</v>
      </c>
      <c r="B657" s="380" t="s">
        <v>1272</v>
      </c>
      <c r="C657" s="380" t="s">
        <v>19</v>
      </c>
      <c r="D657" s="380">
        <v>987425989</v>
      </c>
      <c r="E657" s="46" t="s">
        <v>1356</v>
      </c>
      <c r="F657" s="382">
        <v>1</v>
      </c>
      <c r="G657" s="175" t="s">
        <v>826</v>
      </c>
      <c r="H657" s="405"/>
      <c r="I657" s="185"/>
      <c r="J657" s="71"/>
      <c r="K657" s="194"/>
      <c r="L657" s="67"/>
      <c r="M657" s="67"/>
      <c r="N657" s="67"/>
      <c r="O657" s="73"/>
      <c r="P657" s="237"/>
      <c r="Q657" s="255"/>
      <c r="R657" s="175" t="s">
        <v>0</v>
      </c>
      <c r="S657" s="411"/>
      <c r="T657" s="190"/>
      <c r="U657" s="22"/>
      <c r="V657" s="233"/>
      <c r="W657" s="239"/>
      <c r="X657" s="403"/>
      <c r="Y657" s="383" t="s">
        <v>1376</v>
      </c>
    </row>
    <row r="658" spans="1:25" hidden="1" x14ac:dyDescent="0.3">
      <c r="A658" s="47">
        <f>IF(B658="","",SUBTOTAL(3,$B$3:B658)-1)</f>
        <v>7</v>
      </c>
      <c r="B658" s="3" t="s">
        <v>1184</v>
      </c>
      <c r="C658" s="26" t="s">
        <v>19</v>
      </c>
      <c r="D658" s="25"/>
      <c r="E658" s="46"/>
      <c r="F658" s="22">
        <v>2</v>
      </c>
      <c r="G658" s="176"/>
      <c r="H658" s="405" t="s">
        <v>634</v>
      </c>
      <c r="I658" s="185" t="s">
        <v>634</v>
      </c>
      <c r="J658" s="67"/>
      <c r="K658" s="194"/>
      <c r="L658" s="67"/>
      <c r="M658" s="67"/>
      <c r="N658" s="67"/>
      <c r="O658" s="73"/>
      <c r="P658" s="237"/>
      <c r="Q658" s="255"/>
      <c r="R658" s="175"/>
      <c r="S658" s="411"/>
      <c r="T658" s="190" t="s">
        <v>0</v>
      </c>
      <c r="U658" s="22"/>
      <c r="V658" s="233"/>
      <c r="W658" s="239"/>
      <c r="X658" s="403"/>
      <c r="Y658" s="258"/>
    </row>
    <row r="659" spans="1:25" hidden="1" x14ac:dyDescent="0.3">
      <c r="A659" s="47">
        <f>IF(B659="","",SUBTOTAL(3,$B$3:B659)-1)</f>
        <v>7</v>
      </c>
      <c r="B659" s="3" t="s">
        <v>1169</v>
      </c>
      <c r="C659" s="26" t="s">
        <v>19</v>
      </c>
      <c r="D659" s="25"/>
      <c r="E659" s="46"/>
      <c r="F659" s="22">
        <v>2</v>
      </c>
      <c r="G659" s="176"/>
      <c r="H659" s="405" t="s">
        <v>634</v>
      </c>
      <c r="I659" s="185" t="s">
        <v>634</v>
      </c>
      <c r="J659" s="67"/>
      <c r="K659" s="194"/>
      <c r="L659" s="67"/>
      <c r="M659" s="67"/>
      <c r="N659" s="67"/>
      <c r="O659" s="73"/>
      <c r="P659" s="237"/>
      <c r="Q659" s="255"/>
      <c r="R659" s="175"/>
      <c r="S659" s="411"/>
      <c r="T659" s="190" t="s">
        <v>0</v>
      </c>
      <c r="U659" s="22"/>
      <c r="V659" s="233"/>
      <c r="W659" s="239"/>
      <c r="X659" s="403"/>
      <c r="Y659" s="258"/>
    </row>
    <row r="660" spans="1:25" hidden="1" x14ac:dyDescent="0.3">
      <c r="A660" s="47">
        <f>IF(B660="","",SUBTOTAL(3,$B$3:B660)-1)</f>
        <v>7</v>
      </c>
      <c r="B660" s="26" t="s">
        <v>10</v>
      </c>
      <c r="C660" s="26" t="s">
        <v>19</v>
      </c>
      <c r="D660" s="26">
        <v>372507497</v>
      </c>
      <c r="E660" s="46"/>
      <c r="F660" s="21">
        <v>2</v>
      </c>
      <c r="G660" s="175"/>
      <c r="H660" s="405" t="s">
        <v>860</v>
      </c>
      <c r="I660" s="185" t="s">
        <v>860</v>
      </c>
      <c r="J660" s="67"/>
      <c r="K660" s="194" t="s">
        <v>721</v>
      </c>
      <c r="L660" s="180"/>
      <c r="M660" s="180"/>
      <c r="N660" s="180"/>
      <c r="O660" s="181"/>
      <c r="P660" s="237"/>
      <c r="Q660" s="255"/>
      <c r="R660" s="175"/>
      <c r="S660" s="411"/>
      <c r="T660" s="190" t="s">
        <v>1</v>
      </c>
      <c r="U660" s="22"/>
      <c r="V660" s="233"/>
      <c r="W660" s="239"/>
      <c r="X660" s="403"/>
      <c r="Y660" s="258"/>
    </row>
    <row r="661" spans="1:25" hidden="1" x14ac:dyDescent="0.3">
      <c r="A661" s="47">
        <f>IF(B661="","",SUBTOTAL(3,$B$3:B661)-1)</f>
        <v>7</v>
      </c>
      <c r="B661" s="265" t="s">
        <v>1231</v>
      </c>
      <c r="C661" s="265" t="s">
        <v>19</v>
      </c>
      <c r="D661" s="265">
        <v>987216197</v>
      </c>
      <c r="E661" s="46" t="s">
        <v>1214</v>
      </c>
      <c r="F661" s="300">
        <v>2</v>
      </c>
      <c r="G661" s="175" t="s">
        <v>826</v>
      </c>
      <c r="H661" s="405" t="s">
        <v>634</v>
      </c>
      <c r="I661" s="185" t="s">
        <v>634</v>
      </c>
      <c r="J661" s="71"/>
      <c r="K661" s="194"/>
      <c r="L661" s="67"/>
      <c r="M661" s="67"/>
      <c r="N661" s="67"/>
      <c r="O661" s="73"/>
      <c r="P661" s="237"/>
      <c r="Q661" s="255"/>
      <c r="R661" s="175" t="s">
        <v>0</v>
      </c>
      <c r="S661" s="411"/>
      <c r="T661" s="190" t="s">
        <v>0</v>
      </c>
      <c r="U661" s="22"/>
      <c r="V661" s="233"/>
      <c r="W661" s="239"/>
      <c r="X661" s="403"/>
      <c r="Y661" s="320">
        <v>2</v>
      </c>
    </row>
    <row r="662" spans="1:25" hidden="1" x14ac:dyDescent="0.3">
      <c r="A662" s="47">
        <f>IF(B662="","",SUBTOTAL(3,$B$3:B662)-1)</f>
        <v>7</v>
      </c>
      <c r="B662" s="25" t="s">
        <v>569</v>
      </c>
      <c r="C662" s="25" t="s">
        <v>19</v>
      </c>
      <c r="D662" s="24"/>
      <c r="E662" s="46"/>
      <c r="F662" s="142">
        <v>3</v>
      </c>
      <c r="G662" s="176" t="s">
        <v>660</v>
      </c>
      <c r="H662" s="405"/>
      <c r="I662" s="185"/>
      <c r="J662" s="67"/>
      <c r="K662" s="194"/>
      <c r="L662" s="180"/>
      <c r="M662" s="180"/>
      <c r="N662" s="180"/>
      <c r="O662" s="181"/>
      <c r="P662" s="237"/>
      <c r="Q662" s="255"/>
      <c r="R662" s="175" t="s">
        <v>0</v>
      </c>
      <c r="S662" s="411"/>
      <c r="T662" s="190"/>
      <c r="U662" s="22"/>
      <c r="V662" s="233"/>
      <c r="W662" s="239"/>
      <c r="X662" s="403"/>
      <c r="Y662" s="258"/>
    </row>
    <row r="663" spans="1:25" hidden="1" x14ac:dyDescent="0.3">
      <c r="A663" s="47">
        <f>IF(B663="","",SUBTOTAL(3,$B$3:B663)-1)</f>
        <v>7</v>
      </c>
      <c r="B663" s="24" t="s">
        <v>910</v>
      </c>
      <c r="C663" s="24" t="s">
        <v>19</v>
      </c>
      <c r="D663" s="24"/>
      <c r="E663" s="46"/>
      <c r="F663" s="142">
        <v>4</v>
      </c>
      <c r="G663" s="175"/>
      <c r="H663" s="408" t="s">
        <v>634</v>
      </c>
      <c r="I663" s="186" t="s">
        <v>634</v>
      </c>
      <c r="J663" s="67"/>
      <c r="K663" s="194"/>
      <c r="L663" s="67"/>
      <c r="M663" s="67"/>
      <c r="N663" s="67"/>
      <c r="O663" s="73"/>
      <c r="P663" s="237"/>
      <c r="Q663" s="255"/>
      <c r="R663" s="175"/>
      <c r="S663" s="411"/>
      <c r="T663" s="190" t="s">
        <v>0</v>
      </c>
      <c r="U663" s="22"/>
      <c r="V663" s="233"/>
      <c r="W663" s="239"/>
      <c r="X663" s="403"/>
      <c r="Y663" s="258"/>
    </row>
    <row r="664" spans="1:25" hidden="1" x14ac:dyDescent="0.3">
      <c r="A664" s="47">
        <f>IF(B664="","",SUBTOTAL(3,$B$3:B664)-1)</f>
        <v>7</v>
      </c>
      <c r="B664" s="24" t="s">
        <v>527</v>
      </c>
      <c r="C664" s="24" t="s">
        <v>19</v>
      </c>
      <c r="D664" s="163"/>
      <c r="E664" s="46"/>
      <c r="F664" s="142">
        <v>4</v>
      </c>
      <c r="G664" s="175" t="s">
        <v>826</v>
      </c>
      <c r="H664" s="406"/>
      <c r="I664" s="188"/>
      <c r="J664" s="142"/>
      <c r="K664" s="196"/>
      <c r="L664" s="67"/>
      <c r="M664" s="67"/>
      <c r="N664" s="67"/>
      <c r="O664" s="73"/>
      <c r="P664" s="237"/>
      <c r="Q664" s="255"/>
      <c r="R664" s="175" t="s">
        <v>1</v>
      </c>
      <c r="S664" s="411"/>
      <c r="T664" s="190"/>
      <c r="U664" s="22"/>
      <c r="V664" s="233"/>
      <c r="W664" s="239"/>
      <c r="X664" s="403"/>
      <c r="Y664" s="258"/>
    </row>
    <row r="665" spans="1:25" hidden="1" x14ac:dyDescent="0.3">
      <c r="A665" s="47">
        <f>IF(B665="","",SUBTOTAL(3,$B$3:B665)-1)</f>
        <v>7</v>
      </c>
      <c r="B665" s="269" t="s">
        <v>1236</v>
      </c>
      <c r="C665" s="269" t="s">
        <v>19</v>
      </c>
      <c r="D665" s="269">
        <v>706937556</v>
      </c>
      <c r="E665" s="46" t="s">
        <v>1214</v>
      </c>
      <c r="F665" s="371">
        <v>4</v>
      </c>
      <c r="G665" s="175"/>
      <c r="H665" s="405" t="s">
        <v>634</v>
      </c>
      <c r="I665" s="185"/>
      <c r="J665" s="71"/>
      <c r="K665" s="194"/>
      <c r="L665" s="67"/>
      <c r="M665" s="67"/>
      <c r="N665" s="67"/>
      <c r="O665" s="73"/>
      <c r="P665" s="237"/>
      <c r="Q665" s="255"/>
      <c r="R665" s="175"/>
      <c r="S665" s="411"/>
      <c r="T665" s="190"/>
      <c r="U665" s="22"/>
      <c r="V665" s="233"/>
      <c r="W665" s="239"/>
      <c r="X665" s="403"/>
      <c r="Y665" s="323">
        <v>4</v>
      </c>
    </row>
    <row r="666" spans="1:25" hidden="1" x14ac:dyDescent="0.3">
      <c r="A666" s="47">
        <f>IF(B666="","",SUBTOTAL(3,$B$3:B666)-1)</f>
        <v>7</v>
      </c>
      <c r="B666" s="26" t="s">
        <v>149</v>
      </c>
      <c r="C666" s="26" t="s">
        <v>19</v>
      </c>
      <c r="D666" s="164"/>
      <c r="E666" s="46">
        <f>($AA$2-O666)*$AB$2+Q666</f>
        <v>0</v>
      </c>
      <c r="F666" s="142">
        <v>6</v>
      </c>
      <c r="G666" s="175"/>
      <c r="H666" s="405"/>
      <c r="I666" s="185"/>
      <c r="J666" s="67"/>
      <c r="K666" s="194"/>
      <c r="L666" s="67"/>
      <c r="M666" s="67"/>
      <c r="N666" s="67"/>
      <c r="O666" s="73"/>
      <c r="P666" s="237"/>
      <c r="Q666" s="255"/>
      <c r="R666" s="175"/>
      <c r="S666" s="411"/>
      <c r="T666" s="190"/>
      <c r="U666" s="22"/>
      <c r="V666" s="233"/>
      <c r="W666" s="239"/>
      <c r="X666" s="403"/>
      <c r="Y666" s="258"/>
    </row>
    <row r="667" spans="1:25" hidden="1" x14ac:dyDescent="0.3">
      <c r="A667" s="47">
        <f>IF(B667="","",SUBTOTAL(3,$B$3:B667)-1)</f>
        <v>7</v>
      </c>
      <c r="B667" s="24" t="s">
        <v>525</v>
      </c>
      <c r="C667" s="24" t="s">
        <v>19</v>
      </c>
      <c r="D667" s="24">
        <v>327461046</v>
      </c>
      <c r="E667" s="46"/>
      <c r="F667" s="142">
        <v>6</v>
      </c>
      <c r="G667" s="176" t="s">
        <v>660</v>
      </c>
      <c r="H667" s="405"/>
      <c r="I667" s="185"/>
      <c r="J667" s="67"/>
      <c r="K667" s="194"/>
      <c r="L667" s="67"/>
      <c r="M667" s="67"/>
      <c r="N667" s="67"/>
      <c r="O667" s="73"/>
      <c r="P667" s="237" t="s">
        <v>1</v>
      </c>
      <c r="Q667" s="255"/>
      <c r="R667" s="175" t="s">
        <v>0</v>
      </c>
      <c r="S667" s="411"/>
      <c r="T667" s="190"/>
      <c r="U667" s="22"/>
      <c r="V667" s="233"/>
      <c r="W667" s="239" t="s">
        <v>848</v>
      </c>
      <c r="X667" s="403"/>
      <c r="Y667" s="258"/>
    </row>
    <row r="668" spans="1:25" hidden="1" x14ac:dyDescent="0.3">
      <c r="A668" s="47">
        <f>IF(B668="","",SUBTOTAL(3,$B$3:B668)-1)</f>
        <v>7</v>
      </c>
      <c r="B668" s="24" t="s">
        <v>1204</v>
      </c>
      <c r="C668" s="24" t="s">
        <v>19</v>
      </c>
      <c r="D668" s="24"/>
      <c r="E668" s="46"/>
      <c r="F668" s="22">
        <v>10</v>
      </c>
      <c r="G668" s="175"/>
      <c r="H668" s="405" t="s">
        <v>696</v>
      </c>
      <c r="I668" s="185"/>
      <c r="J668" s="67"/>
      <c r="K668" s="194"/>
      <c r="L668" s="180"/>
      <c r="M668" s="180"/>
      <c r="N668" s="180"/>
      <c r="O668" s="181"/>
      <c r="P668" s="237"/>
      <c r="Q668" s="255"/>
      <c r="R668" s="175"/>
      <c r="S668" s="411" t="s">
        <v>661</v>
      </c>
      <c r="T668" s="190"/>
      <c r="U668" s="22"/>
      <c r="V668" s="233"/>
      <c r="W668" s="239"/>
      <c r="X668" s="403"/>
      <c r="Y668" s="258"/>
    </row>
    <row r="669" spans="1:25" hidden="1" x14ac:dyDescent="0.3">
      <c r="A669" s="47">
        <f>IF(B669="","",SUBTOTAL(3,$B$3:B669)-1)</f>
        <v>7</v>
      </c>
      <c r="B669" s="26" t="s">
        <v>181</v>
      </c>
      <c r="C669" s="26" t="s">
        <v>19</v>
      </c>
      <c r="D669" s="26"/>
      <c r="E669" s="46">
        <f>($AA$2-O669)*$AB$2+Q669</f>
        <v>0</v>
      </c>
      <c r="F669" s="22">
        <v>10</v>
      </c>
      <c r="G669" s="175" t="s">
        <v>415</v>
      </c>
      <c r="H669" s="405" t="s">
        <v>635</v>
      </c>
      <c r="I669" s="185"/>
      <c r="J669" s="67"/>
      <c r="K669" s="194"/>
      <c r="L669" s="67"/>
      <c r="M669" s="67"/>
      <c r="N669" s="67"/>
      <c r="O669" s="73"/>
      <c r="P669" s="237"/>
      <c r="Q669" s="255"/>
      <c r="R669" s="175" t="s">
        <v>1</v>
      </c>
      <c r="S669" s="411" t="s">
        <v>1</v>
      </c>
      <c r="T669" s="190"/>
      <c r="U669" s="22"/>
      <c r="V669" s="233"/>
      <c r="W669" s="239"/>
      <c r="X669" s="403"/>
      <c r="Y669" s="258"/>
    </row>
    <row r="670" spans="1:25" hidden="1" x14ac:dyDescent="0.3">
      <c r="A670" s="47">
        <f>IF(B670="","",SUBTOTAL(3,$B$3:B670)-1)</f>
        <v>7</v>
      </c>
      <c r="B670" s="143" t="s">
        <v>818</v>
      </c>
      <c r="C670" s="143" t="s">
        <v>19</v>
      </c>
      <c r="D670" s="143">
        <v>344818159</v>
      </c>
      <c r="E670" s="46"/>
      <c r="F670" s="22">
        <v>10</v>
      </c>
      <c r="G670" s="176" t="s">
        <v>415</v>
      </c>
      <c r="H670" s="405" t="s">
        <v>660</v>
      </c>
      <c r="I670" s="188"/>
      <c r="J670" s="142"/>
      <c r="K670" s="196" t="s">
        <v>721</v>
      </c>
      <c r="L670" s="67"/>
      <c r="M670" s="67"/>
      <c r="N670" s="67"/>
      <c r="O670" s="73"/>
      <c r="P670" s="237"/>
      <c r="Q670" s="255"/>
      <c r="R670" s="175" t="s">
        <v>2</v>
      </c>
      <c r="S670" s="414" t="s">
        <v>2</v>
      </c>
      <c r="T670" s="190"/>
      <c r="U670" s="22"/>
      <c r="V670" s="233"/>
      <c r="W670" s="239"/>
      <c r="X670" s="403"/>
      <c r="Y670" s="258"/>
    </row>
    <row r="671" spans="1:25" hidden="1" x14ac:dyDescent="0.3">
      <c r="A671" s="47">
        <f>IF(B671="","",SUBTOTAL(3,$B$3:B671)-1)</f>
        <v>7</v>
      </c>
      <c r="B671" s="24" t="s">
        <v>240</v>
      </c>
      <c r="C671" s="24" t="s">
        <v>19</v>
      </c>
      <c r="D671" s="163"/>
      <c r="E671" s="46">
        <f>($AA$2-O671)*$AB$2+Q671</f>
        <v>0</v>
      </c>
      <c r="F671" s="21">
        <v>10</v>
      </c>
      <c r="G671" s="175" t="s">
        <v>415</v>
      </c>
      <c r="H671" s="405" t="s">
        <v>696</v>
      </c>
      <c r="I671" s="185"/>
      <c r="J671" s="71"/>
      <c r="K671" s="194"/>
      <c r="L671" s="180"/>
      <c r="M671" s="180"/>
      <c r="N671" s="180"/>
      <c r="O671" s="181"/>
      <c r="P671" s="237"/>
      <c r="Q671" s="255"/>
      <c r="R671" s="175" t="s">
        <v>848</v>
      </c>
      <c r="S671" s="411" t="s">
        <v>661</v>
      </c>
      <c r="T671" s="190"/>
      <c r="U671" s="22"/>
      <c r="V671" s="233"/>
      <c r="W671" s="239"/>
      <c r="X671" s="403"/>
      <c r="Y671" s="258"/>
    </row>
    <row r="672" spans="1:25" hidden="1" x14ac:dyDescent="0.3">
      <c r="A672" s="47">
        <f>IF(B672="","",SUBTOTAL(3,$B$3:B672)-1)</f>
        <v>7</v>
      </c>
      <c r="B672" s="24" t="s">
        <v>363</v>
      </c>
      <c r="C672" s="24" t="s">
        <v>19</v>
      </c>
      <c r="D672" s="163"/>
      <c r="E672" s="46">
        <f>($AA$2-O672)*$AB$2+Q672</f>
        <v>0</v>
      </c>
      <c r="F672" s="22">
        <v>12</v>
      </c>
      <c r="G672" s="175"/>
      <c r="H672" s="405"/>
      <c r="I672" s="185"/>
      <c r="J672" s="67"/>
      <c r="K672" s="194"/>
      <c r="L672" s="67"/>
      <c r="M672" s="67"/>
      <c r="N672" s="67"/>
      <c r="O672" s="73"/>
      <c r="P672" s="237"/>
      <c r="Q672" s="255"/>
      <c r="R672" s="175" t="s">
        <v>415</v>
      </c>
      <c r="S672" s="411"/>
      <c r="T672" s="190"/>
      <c r="U672" s="22"/>
      <c r="V672" s="233"/>
      <c r="W672" s="239"/>
      <c r="X672" s="403"/>
      <c r="Y672" s="258"/>
    </row>
    <row r="673" spans="1:25" hidden="1" x14ac:dyDescent="0.3">
      <c r="A673" s="47">
        <f>IF(B673="","",SUBTOTAL(3,$B$3:B673)-1)</f>
        <v>7</v>
      </c>
      <c r="B673" s="24" t="s">
        <v>258</v>
      </c>
      <c r="C673" s="24" t="s">
        <v>19</v>
      </c>
      <c r="D673" s="163"/>
      <c r="E673" s="46">
        <f>($AA$2-O673)*$AB$2+Q673</f>
        <v>0</v>
      </c>
      <c r="F673" s="22" t="s">
        <v>1213</v>
      </c>
      <c r="G673" s="175"/>
      <c r="H673" s="405"/>
      <c r="I673" s="185"/>
      <c r="J673" s="67"/>
      <c r="K673" s="194"/>
      <c r="L673" s="67"/>
      <c r="M673" s="67"/>
      <c r="N673" s="67"/>
      <c r="O673" s="73"/>
      <c r="P673" s="237"/>
      <c r="Q673" s="255"/>
      <c r="R673" s="175"/>
      <c r="S673" s="411"/>
      <c r="T673" s="190"/>
      <c r="U673" s="22"/>
      <c r="V673" s="233"/>
      <c r="W673" s="239"/>
      <c r="X673" s="403"/>
      <c r="Y673" s="258"/>
    </row>
    <row r="674" spans="1:25" hidden="1" x14ac:dyDescent="0.3">
      <c r="A674" s="47">
        <f>IF(B674="","",SUBTOTAL(3,$B$3:B674)-1)</f>
        <v>7</v>
      </c>
      <c r="B674" s="271" t="s">
        <v>1339</v>
      </c>
      <c r="C674" s="269" t="s">
        <v>19</v>
      </c>
      <c r="D674" s="301">
        <v>355697767</v>
      </c>
      <c r="E674" s="46" t="s">
        <v>1214</v>
      </c>
      <c r="F674" s="22">
        <v>6</v>
      </c>
      <c r="G674" s="175"/>
      <c r="H674" s="405"/>
      <c r="I674" s="185"/>
      <c r="J674" s="71"/>
      <c r="K674" s="194"/>
      <c r="L674" s="67"/>
      <c r="M674" s="67"/>
      <c r="N674" s="67"/>
      <c r="O674" s="73"/>
      <c r="P674" s="237"/>
      <c r="Q674" s="255"/>
      <c r="R674" s="318"/>
      <c r="S674" s="408" t="s">
        <v>0</v>
      </c>
      <c r="T674" s="190"/>
      <c r="U674" s="22"/>
      <c r="V674" s="233"/>
      <c r="W674" s="239"/>
      <c r="X674" s="403"/>
      <c r="Y674" s="258"/>
    </row>
    <row r="675" spans="1:25" hidden="1" x14ac:dyDescent="0.3">
      <c r="A675" s="47">
        <f>IF(B675="","",SUBTOTAL(3,$B$3:B675)-1)</f>
        <v>7</v>
      </c>
      <c r="B675" s="24" t="s">
        <v>350</v>
      </c>
      <c r="C675" s="24" t="s">
        <v>19</v>
      </c>
      <c r="D675" s="163"/>
      <c r="E675" s="46">
        <f>($AA$2-O675)*$AB$2+Q675</f>
        <v>0</v>
      </c>
      <c r="F675" s="22">
        <v>12</v>
      </c>
      <c r="G675" s="175" t="s">
        <v>660</v>
      </c>
      <c r="H675" s="405"/>
      <c r="I675" s="185"/>
      <c r="J675" s="67"/>
      <c r="K675" s="194"/>
      <c r="L675" s="67"/>
      <c r="M675" s="67"/>
      <c r="N675" s="67"/>
      <c r="O675" s="73"/>
      <c r="P675" s="237"/>
      <c r="Q675" s="255"/>
      <c r="R675" s="175" t="s">
        <v>0</v>
      </c>
      <c r="S675" s="411"/>
      <c r="T675" s="190"/>
      <c r="U675" s="22"/>
      <c r="V675" s="233"/>
      <c r="W675" s="239"/>
      <c r="X675" s="403"/>
      <c r="Y675" s="258"/>
    </row>
    <row r="676" spans="1:25" hidden="1" x14ac:dyDescent="0.3">
      <c r="A676" s="47">
        <f>IF(B676="","",SUBTOTAL(3,$B$3:B676)-1)</f>
        <v>7</v>
      </c>
      <c r="B676" s="265" t="s">
        <v>349</v>
      </c>
      <c r="C676" s="265" t="s">
        <v>19</v>
      </c>
      <c r="D676" s="300">
        <v>975206130</v>
      </c>
      <c r="E676" s="46" t="s">
        <v>1214</v>
      </c>
      <c r="F676" s="22">
        <v>6</v>
      </c>
      <c r="G676" s="175" t="s">
        <v>1332</v>
      </c>
      <c r="H676" s="405"/>
      <c r="I676" s="185"/>
      <c r="J676" s="71"/>
      <c r="K676" s="194"/>
      <c r="L676" s="67"/>
      <c r="M676" s="67"/>
      <c r="N676" s="67"/>
      <c r="O676" s="73"/>
      <c r="P676" s="237"/>
      <c r="Q676" s="255"/>
      <c r="R676" s="318" t="s">
        <v>2</v>
      </c>
      <c r="S676" s="408"/>
      <c r="T676" s="190"/>
      <c r="U676" s="22"/>
      <c r="V676" s="233"/>
      <c r="W676" s="239"/>
      <c r="X676" s="403"/>
      <c r="Y676" s="258"/>
    </row>
    <row r="677" spans="1:25" hidden="1" x14ac:dyDescent="0.3">
      <c r="A677" s="47">
        <f>IF(B677="","",SUBTOTAL(3,$B$3:B677)-1)</f>
        <v>7</v>
      </c>
      <c r="B677" s="174" t="s">
        <v>525</v>
      </c>
      <c r="C677" s="174" t="s">
        <v>19</v>
      </c>
      <c r="D677" s="17">
        <v>327461046</v>
      </c>
      <c r="E677" s="46" t="s">
        <v>1214</v>
      </c>
      <c r="F677" s="22">
        <v>6</v>
      </c>
      <c r="G677" s="175" t="s">
        <v>415</v>
      </c>
      <c r="H677" s="405"/>
      <c r="I677" s="185"/>
      <c r="J677" s="71"/>
      <c r="K677" s="194"/>
      <c r="L677" s="67"/>
      <c r="M677" s="67"/>
      <c r="N677" s="67"/>
      <c r="O677" s="73"/>
      <c r="P677" s="237"/>
      <c r="Q677" s="255"/>
      <c r="R677" s="175" t="s">
        <v>0</v>
      </c>
      <c r="S677" s="408">
        <v>6</v>
      </c>
      <c r="T677" s="190"/>
      <c r="U677" s="22"/>
      <c r="V677" s="233"/>
      <c r="W677" s="239"/>
      <c r="X677" s="403"/>
      <c r="Y677" s="258"/>
    </row>
    <row r="678" spans="1:25" hidden="1" x14ac:dyDescent="0.3">
      <c r="A678" s="47">
        <f>IF(B678="","",SUBTOTAL(3,$B$3:B678)-1)</f>
        <v>7</v>
      </c>
      <c r="B678" s="278" t="s">
        <v>1256</v>
      </c>
      <c r="C678" s="278" t="s">
        <v>19</v>
      </c>
      <c r="D678" s="300">
        <v>909222494</v>
      </c>
      <c r="E678" s="46" t="s">
        <v>1214</v>
      </c>
      <c r="F678" s="22">
        <v>6</v>
      </c>
      <c r="G678" s="175" t="s">
        <v>415</v>
      </c>
      <c r="H678" s="405"/>
      <c r="I678" s="185"/>
      <c r="J678" s="71"/>
      <c r="K678" s="194"/>
      <c r="L678" s="67"/>
      <c r="M678" s="67"/>
      <c r="N678" s="67"/>
      <c r="O678" s="73"/>
      <c r="P678" s="237"/>
      <c r="Q678" s="255"/>
      <c r="R678" s="175" t="s">
        <v>848</v>
      </c>
      <c r="S678" s="408" t="s">
        <v>0</v>
      </c>
      <c r="T678" s="190"/>
      <c r="U678" s="22"/>
      <c r="V678" s="233"/>
      <c r="W678" s="239"/>
      <c r="X678" s="403"/>
      <c r="Y678" s="258"/>
    </row>
    <row r="679" spans="1:25" hidden="1" x14ac:dyDescent="0.3">
      <c r="A679" s="47">
        <f>IF(B679="","",SUBTOTAL(3,$B$3:B679)-1)</f>
        <v>7</v>
      </c>
      <c r="B679" s="26" t="s">
        <v>727</v>
      </c>
      <c r="C679" s="26" t="s">
        <v>19</v>
      </c>
      <c r="D679" s="26"/>
      <c r="E679" s="46">
        <f>($AA$2-O679)*$AB$2+Q679</f>
        <v>0</v>
      </c>
      <c r="F679" s="142">
        <v>7</v>
      </c>
      <c r="G679" s="175"/>
      <c r="H679" s="405" t="s">
        <v>635</v>
      </c>
      <c r="I679" s="185" t="s">
        <v>634</v>
      </c>
      <c r="J679" s="67"/>
      <c r="K679" s="194"/>
      <c r="L679" s="67"/>
      <c r="M679" s="67"/>
      <c r="N679" s="67"/>
      <c r="O679" s="73"/>
      <c r="P679" s="237"/>
      <c r="Q679" s="255"/>
      <c r="R679" s="175"/>
      <c r="S679" s="411" t="s">
        <v>2</v>
      </c>
      <c r="T679" s="190" t="s">
        <v>0</v>
      </c>
      <c r="U679" s="22"/>
      <c r="V679" s="233"/>
      <c r="W679" s="239"/>
      <c r="X679" s="403"/>
      <c r="Y679" s="258"/>
    </row>
    <row r="680" spans="1:25" hidden="1" x14ac:dyDescent="0.3">
      <c r="A680" s="47">
        <f>IF(B680="","",SUBTOTAL(3,$B$3:B680)-1)</f>
        <v>7</v>
      </c>
      <c r="B680" s="143" t="s">
        <v>739</v>
      </c>
      <c r="C680" s="143" t="s">
        <v>19</v>
      </c>
      <c r="D680" s="143">
        <v>369298992</v>
      </c>
      <c r="E680" s="46"/>
      <c r="F680" s="142">
        <v>7</v>
      </c>
      <c r="G680" s="175" t="s">
        <v>415</v>
      </c>
      <c r="H680" s="406" t="s">
        <v>635</v>
      </c>
      <c r="I680" s="188"/>
      <c r="J680" s="142"/>
      <c r="K680" s="196" t="s">
        <v>721</v>
      </c>
      <c r="L680" s="67"/>
      <c r="M680" s="67"/>
      <c r="N680" s="67"/>
      <c r="O680" s="73"/>
      <c r="P680" s="237"/>
      <c r="Q680" s="255"/>
      <c r="R680" s="175" t="s">
        <v>0</v>
      </c>
      <c r="S680" s="411" t="s">
        <v>1</v>
      </c>
      <c r="T680" s="190"/>
      <c r="U680" s="22"/>
      <c r="V680" s="233"/>
      <c r="W680" s="239"/>
      <c r="X680" s="403"/>
      <c r="Y680" s="258"/>
    </row>
    <row r="681" spans="1:25" hidden="1" x14ac:dyDescent="0.3">
      <c r="A681" s="47">
        <f>IF(B681="","",SUBTOTAL(3,$B$3:B681)-1)</f>
        <v>7</v>
      </c>
      <c r="B681" s="24" t="s">
        <v>519</v>
      </c>
      <c r="C681" s="24" t="s">
        <v>19</v>
      </c>
      <c r="D681" s="163">
        <v>388883166</v>
      </c>
      <c r="E681" s="46">
        <f>($AA$2-O681)*$AB$2+Q681</f>
        <v>0</v>
      </c>
      <c r="F681" s="22">
        <v>9</v>
      </c>
      <c r="G681" s="175" t="s">
        <v>415</v>
      </c>
      <c r="H681" s="409" t="s">
        <v>660</v>
      </c>
      <c r="I681" s="187"/>
      <c r="J681" s="67"/>
      <c r="K681" s="194"/>
      <c r="L681" s="180"/>
      <c r="M681" s="180"/>
      <c r="N681" s="180"/>
      <c r="O681" s="181"/>
      <c r="P681" s="237"/>
      <c r="Q681" s="255"/>
      <c r="R681" s="175" t="s">
        <v>1</v>
      </c>
      <c r="S681" s="411" t="s">
        <v>0</v>
      </c>
      <c r="T681" s="190"/>
      <c r="U681" s="22"/>
      <c r="V681" s="233"/>
      <c r="W681" s="239"/>
      <c r="X681" s="403"/>
      <c r="Y681" s="258"/>
    </row>
    <row r="682" spans="1:25" hidden="1" x14ac:dyDescent="0.3">
      <c r="A682" s="47">
        <f>IF(B682="","",SUBTOTAL(3,$B$3:B682)-1)</f>
        <v>7</v>
      </c>
      <c r="B682" s="24" t="s">
        <v>444</v>
      </c>
      <c r="C682" s="24" t="s">
        <v>19</v>
      </c>
      <c r="D682" s="163"/>
      <c r="E682" s="46">
        <f>($AA$2-O682)*$AB$2+Q682</f>
        <v>0</v>
      </c>
      <c r="F682" s="22">
        <v>9</v>
      </c>
      <c r="G682" s="175" t="s">
        <v>415</v>
      </c>
      <c r="H682" s="409" t="s">
        <v>2</v>
      </c>
      <c r="I682" s="187"/>
      <c r="J682" s="67" t="s">
        <v>661</v>
      </c>
      <c r="K682" s="194"/>
      <c r="L682" s="180"/>
      <c r="M682" s="180"/>
      <c r="N682" s="180"/>
      <c r="O682" s="181"/>
      <c r="P682" s="237"/>
      <c r="Q682" s="255"/>
      <c r="R682" s="175" t="s">
        <v>848</v>
      </c>
      <c r="S682" s="411" t="s">
        <v>848</v>
      </c>
      <c r="T682" s="190"/>
      <c r="U682" s="22" t="s">
        <v>0</v>
      </c>
      <c r="V682" s="233"/>
      <c r="W682" s="239"/>
      <c r="X682" s="403"/>
      <c r="Y682" s="258"/>
    </row>
    <row r="683" spans="1:25" hidden="1" x14ac:dyDescent="0.3">
      <c r="A683" s="47">
        <f>IF(B683="","",SUBTOTAL(3,$B$3:B683)-1)</f>
        <v>7</v>
      </c>
      <c r="B683" s="24" t="s">
        <v>481</v>
      </c>
      <c r="C683" s="24" t="s">
        <v>19</v>
      </c>
      <c r="D683" s="163"/>
      <c r="E683" s="46">
        <f>($AA$2-O683)*$AB$2+Q683</f>
        <v>0</v>
      </c>
      <c r="F683" s="22">
        <v>9</v>
      </c>
      <c r="G683" s="175" t="s">
        <v>415</v>
      </c>
      <c r="H683" s="409"/>
      <c r="I683" s="187"/>
      <c r="J683" s="67"/>
      <c r="K683" s="194"/>
      <c r="L683" s="180"/>
      <c r="M683" s="180"/>
      <c r="N683" s="180"/>
      <c r="O683" s="181"/>
      <c r="P683" s="237"/>
      <c r="Q683" s="255"/>
      <c r="R683" s="175" t="s">
        <v>1</v>
      </c>
      <c r="S683" s="411"/>
      <c r="T683" s="190"/>
      <c r="U683" s="22"/>
      <c r="V683" s="233"/>
      <c r="W683" s="239"/>
      <c r="X683" s="403"/>
      <c r="Y683" s="258"/>
    </row>
    <row r="684" spans="1:25" hidden="1" x14ac:dyDescent="0.3">
      <c r="A684" s="47">
        <f>IF(B684="","",SUBTOTAL(3,$B$3:B684)-1)</f>
        <v>7</v>
      </c>
      <c r="B684" s="24" t="s">
        <v>258</v>
      </c>
      <c r="C684" s="24" t="s">
        <v>19</v>
      </c>
      <c r="D684" s="163">
        <v>939150335</v>
      </c>
      <c r="E684" s="46">
        <f>($AA$2-O684)*$AB$2+Q684</f>
        <v>0</v>
      </c>
      <c r="F684" s="22">
        <v>9</v>
      </c>
      <c r="G684" s="175" t="s">
        <v>415</v>
      </c>
      <c r="H684" s="409"/>
      <c r="I684" s="187"/>
      <c r="J684" s="67" t="s">
        <v>661</v>
      </c>
      <c r="K684" s="194"/>
      <c r="L684" s="180"/>
      <c r="M684" s="180"/>
      <c r="N684" s="180"/>
      <c r="O684" s="181"/>
      <c r="P684" s="237"/>
      <c r="Q684" s="255"/>
      <c r="R684" s="175" t="s">
        <v>1</v>
      </c>
      <c r="S684" s="411"/>
      <c r="T684" s="190"/>
      <c r="U684" s="22" t="s">
        <v>1</v>
      </c>
      <c r="V684" s="233"/>
      <c r="W684" s="239"/>
      <c r="X684" s="403"/>
      <c r="Y684" s="258"/>
    </row>
    <row r="685" spans="1:25" hidden="1" x14ac:dyDescent="0.3">
      <c r="A685" s="47">
        <f>IF(B685="","",SUBTOTAL(3,$B$3:B685)-1)</f>
        <v>7</v>
      </c>
      <c r="B685" s="143" t="s">
        <v>206</v>
      </c>
      <c r="C685" s="146" t="s">
        <v>905</v>
      </c>
      <c r="D685" s="143"/>
      <c r="E685" s="46"/>
      <c r="F685" s="142">
        <v>3</v>
      </c>
      <c r="G685" s="176"/>
      <c r="H685" s="407" t="s">
        <v>634</v>
      </c>
      <c r="I685" s="189"/>
      <c r="J685" s="67"/>
      <c r="K685" s="194"/>
      <c r="L685" s="180"/>
      <c r="M685" s="180"/>
      <c r="N685" s="180"/>
      <c r="O685" s="181"/>
      <c r="P685" s="237"/>
      <c r="Q685" s="255"/>
      <c r="R685" s="175"/>
      <c r="S685" s="411"/>
      <c r="T685" s="190"/>
      <c r="U685" s="22"/>
      <c r="V685" s="233"/>
      <c r="W685" s="239"/>
      <c r="X685" s="403"/>
      <c r="Y685" s="258"/>
    </row>
    <row r="686" spans="1:25" ht="37.5" hidden="1" x14ac:dyDescent="0.3">
      <c r="A686" s="47">
        <f>IF(B686="","",SUBTOTAL(3,$B$3:B686)-1)</f>
        <v>7</v>
      </c>
      <c r="B686" s="380" t="s">
        <v>206</v>
      </c>
      <c r="C686" s="380" t="s">
        <v>62</v>
      </c>
      <c r="D686" s="380">
        <v>817793998</v>
      </c>
      <c r="E686" s="46" t="s">
        <v>1356</v>
      </c>
      <c r="F686" s="382">
        <v>3</v>
      </c>
      <c r="G686" s="175" t="s">
        <v>660</v>
      </c>
      <c r="H686" s="405" t="s">
        <v>634</v>
      </c>
      <c r="I686" s="185"/>
      <c r="J686" s="71"/>
      <c r="K686" s="194"/>
      <c r="L686" s="67"/>
      <c r="M686" s="67"/>
      <c r="N686" s="67"/>
      <c r="O686" s="73"/>
      <c r="P686" s="237"/>
      <c r="Q686" s="255"/>
      <c r="R686" s="175" t="s">
        <v>0</v>
      </c>
      <c r="S686" s="411"/>
      <c r="T686" s="190"/>
      <c r="U686" s="22"/>
      <c r="V686" s="233"/>
      <c r="W686" s="239"/>
      <c r="X686" s="403"/>
      <c r="Y686" s="383" t="s">
        <v>1378</v>
      </c>
    </row>
    <row r="687" spans="1:25" hidden="1" x14ac:dyDescent="0.3">
      <c r="A687" s="47">
        <f>IF(B687="","",SUBTOTAL(3,$B$3:B687)-1)</f>
        <v>7</v>
      </c>
      <c r="B687" s="25" t="s">
        <v>648</v>
      </c>
      <c r="C687" s="25" t="s">
        <v>62</v>
      </c>
      <c r="D687" s="163"/>
      <c r="E687" s="46">
        <f>($AA$2-O687)*$AB$2+Q687</f>
        <v>0</v>
      </c>
      <c r="F687" s="22">
        <v>10</v>
      </c>
      <c r="G687" s="175"/>
      <c r="H687" s="405" t="s">
        <v>635</v>
      </c>
      <c r="I687" s="185" t="s">
        <v>661</v>
      </c>
      <c r="J687" s="71"/>
      <c r="K687" s="194"/>
      <c r="L687" s="67"/>
      <c r="M687" s="67"/>
      <c r="N687" s="67"/>
      <c r="O687" s="73"/>
      <c r="P687" s="237"/>
      <c r="Q687" s="255"/>
      <c r="R687" s="175"/>
      <c r="S687" s="411" t="s">
        <v>848</v>
      </c>
      <c r="T687" s="190" t="s">
        <v>1</v>
      </c>
      <c r="U687" s="22"/>
      <c r="V687" s="233"/>
      <c r="W687" s="239"/>
      <c r="X687" s="403"/>
      <c r="Y687" s="258"/>
    </row>
    <row r="688" spans="1:25" hidden="1" x14ac:dyDescent="0.3">
      <c r="A688" s="47">
        <f>IF(B688="","",SUBTOTAL(3,$B$3:B688)-1)</f>
        <v>7</v>
      </c>
      <c r="B688" s="143" t="s">
        <v>795</v>
      </c>
      <c r="C688" s="143" t="s">
        <v>62</v>
      </c>
      <c r="D688" s="143">
        <v>978323737</v>
      </c>
      <c r="E688" s="46"/>
      <c r="F688" s="142">
        <v>7</v>
      </c>
      <c r="G688" s="175" t="s">
        <v>415</v>
      </c>
      <c r="H688" s="406" t="s">
        <v>635</v>
      </c>
      <c r="I688" s="188"/>
      <c r="J688" s="142"/>
      <c r="K688" s="196" t="s">
        <v>721</v>
      </c>
      <c r="L688" s="67"/>
      <c r="M688" s="67"/>
      <c r="N688" s="67"/>
      <c r="O688" s="73"/>
      <c r="P688" s="237" t="s">
        <v>1</v>
      </c>
      <c r="Q688" s="255"/>
      <c r="R688" s="175" t="s">
        <v>848</v>
      </c>
      <c r="S688" s="411" t="s">
        <v>1</v>
      </c>
      <c r="T688" s="190"/>
      <c r="U688" s="22"/>
      <c r="V688" s="233"/>
      <c r="W688" s="239" t="s">
        <v>0</v>
      </c>
      <c r="X688" s="403"/>
      <c r="Y688" s="258"/>
    </row>
    <row r="689" spans="1:25" hidden="1" x14ac:dyDescent="0.3">
      <c r="A689" s="47">
        <f>IF(B689="","",SUBTOTAL(3,$B$3:B689)-1)</f>
        <v>7</v>
      </c>
      <c r="B689" s="25">
        <v>1</v>
      </c>
      <c r="C689" s="25" t="s">
        <v>62</v>
      </c>
      <c r="D689" s="163"/>
      <c r="E689" s="46"/>
      <c r="F689" s="22">
        <v>9</v>
      </c>
      <c r="G689" s="175"/>
      <c r="H689" s="409" t="s">
        <v>660</v>
      </c>
      <c r="I689" s="187"/>
      <c r="J689" s="67"/>
      <c r="K689" s="194"/>
      <c r="L689" s="180"/>
      <c r="M689" s="180"/>
      <c r="N689" s="180"/>
      <c r="O689" s="181"/>
      <c r="P689" s="237"/>
      <c r="Q689" s="255"/>
      <c r="R689" s="175"/>
      <c r="S689" s="411" t="s">
        <v>1</v>
      </c>
      <c r="T689" s="190"/>
      <c r="U689" s="22"/>
      <c r="V689" s="233"/>
      <c r="W689" s="239"/>
      <c r="X689" s="403"/>
      <c r="Y689" s="258"/>
    </row>
    <row r="690" spans="1:25" hidden="1" x14ac:dyDescent="0.3">
      <c r="A690" s="47">
        <f>IF(B690="","",SUBTOTAL(3,$B$3:B690)-1)</f>
        <v>7</v>
      </c>
      <c r="B690" s="24" t="s">
        <v>209</v>
      </c>
      <c r="C690" s="24" t="s">
        <v>62</v>
      </c>
      <c r="D690" s="163"/>
      <c r="E690" s="46">
        <f>($AA$2-O690)*$AB$2+Q690</f>
        <v>0</v>
      </c>
      <c r="F690" s="22">
        <v>9</v>
      </c>
      <c r="G690" s="175" t="s">
        <v>415</v>
      </c>
      <c r="H690" s="409"/>
      <c r="I690" s="187" t="s">
        <v>661</v>
      </c>
      <c r="J690" s="67"/>
      <c r="K690" s="194"/>
      <c r="L690" s="180"/>
      <c r="M690" s="180"/>
      <c r="N690" s="180"/>
      <c r="O690" s="181"/>
      <c r="P690" s="237"/>
      <c r="Q690" s="255"/>
      <c r="R690" s="175" t="s">
        <v>2</v>
      </c>
      <c r="S690" s="411"/>
      <c r="T690" s="190" t="s">
        <v>1</v>
      </c>
      <c r="U690" s="22"/>
      <c r="V690" s="233"/>
      <c r="W690" s="239"/>
      <c r="X690" s="403"/>
      <c r="Y690" s="258"/>
    </row>
    <row r="691" spans="1:25" hidden="1" x14ac:dyDescent="0.3">
      <c r="A691" s="47">
        <f>IF(B691="","",SUBTOTAL(3,$B$3:B691)-1)</f>
        <v>7</v>
      </c>
      <c r="B691" s="269" t="s">
        <v>27</v>
      </c>
      <c r="C691" s="269" t="s">
        <v>46</v>
      </c>
      <c r="D691" s="269">
        <v>838879839</v>
      </c>
      <c r="E691" s="46" t="s">
        <v>1214</v>
      </c>
      <c r="F691" s="301">
        <v>2</v>
      </c>
      <c r="G691" s="175" t="s">
        <v>826</v>
      </c>
      <c r="H691" s="405"/>
      <c r="I691" s="185"/>
      <c r="J691" s="71"/>
      <c r="K691" s="194"/>
      <c r="L691" s="67"/>
      <c r="M691" s="67"/>
      <c r="N691" s="67"/>
      <c r="O691" s="73"/>
      <c r="P691" s="237"/>
      <c r="Q691" s="255"/>
      <c r="R691" s="175" t="s">
        <v>0</v>
      </c>
      <c r="S691" s="411"/>
      <c r="T691" s="190"/>
      <c r="U691" s="22"/>
      <c r="V691" s="233"/>
      <c r="W691" s="239"/>
      <c r="X691" s="403"/>
      <c r="Y691" s="323">
        <v>2</v>
      </c>
    </row>
    <row r="692" spans="1:25" hidden="1" x14ac:dyDescent="0.3">
      <c r="A692" s="47">
        <f>IF(B692="","",SUBTOTAL(3,$B$3:B692)-1)</f>
        <v>7</v>
      </c>
      <c r="B692" s="265" t="s">
        <v>233</v>
      </c>
      <c r="C692" s="265" t="s">
        <v>46</v>
      </c>
      <c r="D692" s="265">
        <v>704953192</v>
      </c>
      <c r="E692" s="46" t="s">
        <v>1214</v>
      </c>
      <c r="F692" s="372">
        <v>2</v>
      </c>
      <c r="G692" s="175" t="s">
        <v>826</v>
      </c>
      <c r="H692" s="405" t="s">
        <v>634</v>
      </c>
      <c r="I692" s="185" t="s">
        <v>634</v>
      </c>
      <c r="J692" s="71"/>
      <c r="K692" s="194"/>
      <c r="L692" s="67"/>
      <c r="M692" s="67"/>
      <c r="N692" s="67"/>
      <c r="O692" s="73"/>
      <c r="P692" s="237"/>
      <c r="Q692" s="255"/>
      <c r="R692" s="175" t="s">
        <v>0</v>
      </c>
      <c r="S692" s="411"/>
      <c r="T692" s="190" t="s">
        <v>0</v>
      </c>
      <c r="U692" s="22"/>
      <c r="V692" s="233"/>
      <c r="W692" s="239"/>
      <c r="X692" s="403"/>
      <c r="Y692" s="320">
        <v>2</v>
      </c>
    </row>
    <row r="693" spans="1:25" hidden="1" x14ac:dyDescent="0.3">
      <c r="A693" s="47">
        <f>IF(B693="","",SUBTOTAL(3,$B$3:B693)-1)</f>
        <v>7</v>
      </c>
      <c r="B693" s="269" t="s">
        <v>1397</v>
      </c>
      <c r="C693" s="269" t="s">
        <v>46</v>
      </c>
      <c r="D693" s="269">
        <v>399567697</v>
      </c>
      <c r="E693" s="46" t="s">
        <v>1214</v>
      </c>
      <c r="F693" s="371">
        <v>2</v>
      </c>
      <c r="G693" s="175" t="s">
        <v>826</v>
      </c>
      <c r="H693" s="405"/>
      <c r="I693" s="185"/>
      <c r="J693" s="71"/>
      <c r="K693" s="194"/>
      <c r="L693" s="67"/>
      <c r="M693" s="67"/>
      <c r="N693" s="67"/>
      <c r="O693" s="73"/>
      <c r="P693" s="237"/>
      <c r="Q693" s="255"/>
      <c r="R693" s="175" t="s">
        <v>0</v>
      </c>
      <c r="S693" s="411"/>
      <c r="T693" s="190"/>
      <c r="U693" s="22"/>
      <c r="V693" s="233"/>
      <c r="W693" s="239"/>
      <c r="X693" s="403"/>
      <c r="Y693" s="323">
        <v>2</v>
      </c>
    </row>
    <row r="694" spans="1:25" hidden="1" x14ac:dyDescent="0.3">
      <c r="A694" s="47">
        <f>IF(B694="","",SUBTOTAL(3,$B$3:B694)-1)</f>
        <v>7</v>
      </c>
      <c r="B694" s="26" t="s">
        <v>464</v>
      </c>
      <c r="C694" s="26" t="s">
        <v>46</v>
      </c>
      <c r="D694" s="163">
        <v>973456757</v>
      </c>
      <c r="E694" s="46">
        <f>($AA$2-O694)*$AB$2+Q694</f>
        <v>0</v>
      </c>
      <c r="F694" s="22">
        <v>5</v>
      </c>
      <c r="G694" s="175"/>
      <c r="H694" s="408"/>
      <c r="I694" s="186"/>
      <c r="J694" s="68"/>
      <c r="K694" s="195"/>
      <c r="L694" s="68"/>
      <c r="M694" s="68"/>
      <c r="N694" s="68"/>
      <c r="O694" s="73"/>
      <c r="P694" s="237"/>
      <c r="Q694" s="255"/>
      <c r="R694" s="175"/>
      <c r="S694" s="411"/>
      <c r="T694" s="190"/>
      <c r="U694" s="22"/>
      <c r="V694" s="233"/>
      <c r="W694" s="239"/>
      <c r="X694" s="403"/>
      <c r="Y694" s="258"/>
    </row>
    <row r="695" spans="1:25" hidden="1" x14ac:dyDescent="0.3">
      <c r="A695" s="47">
        <f>IF(B695="","",SUBTOTAL(3,$B$3:B695)-1)</f>
        <v>7</v>
      </c>
      <c r="B695" s="269" t="s">
        <v>1267</v>
      </c>
      <c r="C695" s="269" t="s">
        <v>46</v>
      </c>
      <c r="D695" s="269">
        <v>973456757</v>
      </c>
      <c r="E695" s="46" t="s">
        <v>1214</v>
      </c>
      <c r="F695" s="300">
        <v>5</v>
      </c>
      <c r="G695" s="175" t="s">
        <v>826</v>
      </c>
      <c r="H695" s="405"/>
      <c r="I695" s="185"/>
      <c r="J695" s="71"/>
      <c r="K695" s="194"/>
      <c r="L695" s="67"/>
      <c r="M695" s="67"/>
      <c r="N695" s="67"/>
      <c r="O695" s="73"/>
      <c r="P695" s="237"/>
      <c r="Q695" s="255"/>
      <c r="R695" s="175" t="s">
        <v>2</v>
      </c>
      <c r="S695" s="411"/>
      <c r="T695" s="190"/>
      <c r="U695" s="22"/>
      <c r="V695" s="233"/>
      <c r="W695" s="239"/>
      <c r="X695" s="403"/>
      <c r="Y695" s="323" t="s">
        <v>1319</v>
      </c>
    </row>
    <row r="696" spans="1:25" hidden="1" x14ac:dyDescent="0.3">
      <c r="A696" s="47">
        <f>IF(B696="","",SUBTOTAL(3,$B$3:B696)-1)</f>
        <v>7</v>
      </c>
      <c r="B696" s="24" t="s">
        <v>823</v>
      </c>
      <c r="C696" s="25" t="s">
        <v>46</v>
      </c>
      <c r="D696" s="24"/>
      <c r="E696" s="46"/>
      <c r="F696" s="22">
        <v>10</v>
      </c>
      <c r="G696" s="175"/>
      <c r="H696" s="409"/>
      <c r="I696" s="187"/>
      <c r="J696" s="67"/>
      <c r="K696" s="194"/>
      <c r="L696" s="180"/>
      <c r="M696" s="180"/>
      <c r="N696" s="180"/>
      <c r="O696" s="181"/>
      <c r="P696" s="237"/>
      <c r="Q696" s="255"/>
      <c r="R696" s="175"/>
      <c r="S696" s="411"/>
      <c r="T696" s="190"/>
      <c r="U696" s="22"/>
      <c r="V696" s="233"/>
      <c r="W696" s="239"/>
      <c r="X696" s="403"/>
      <c r="Y696" s="258"/>
    </row>
    <row r="697" spans="1:25" hidden="1" x14ac:dyDescent="0.3">
      <c r="A697" s="47">
        <f>IF(B697="","",SUBTOTAL(3,$B$3:B697)-1)</f>
        <v>7</v>
      </c>
      <c r="B697" s="25" t="s">
        <v>159</v>
      </c>
      <c r="C697" s="25" t="s">
        <v>46</v>
      </c>
      <c r="D697" s="26"/>
      <c r="E697" s="46">
        <f t="shared" ref="E697:E709" si="4">($AA$2-O697)*$AB$2+Q697</f>
        <v>0</v>
      </c>
      <c r="F697" s="22">
        <v>10</v>
      </c>
      <c r="G697" s="175"/>
      <c r="H697" s="405"/>
      <c r="I697" s="185"/>
      <c r="J697" s="71"/>
      <c r="K697" s="194"/>
      <c r="L697" s="180"/>
      <c r="M697" s="180"/>
      <c r="N697" s="180"/>
      <c r="O697" s="181"/>
      <c r="P697" s="237"/>
      <c r="Q697" s="255"/>
      <c r="R697" s="175"/>
      <c r="S697" s="411"/>
      <c r="T697" s="190"/>
      <c r="U697" s="22"/>
      <c r="V697" s="233"/>
      <c r="W697" s="239"/>
      <c r="X697" s="403"/>
      <c r="Y697" s="258"/>
    </row>
    <row r="698" spans="1:25" hidden="1" x14ac:dyDescent="0.3">
      <c r="A698" s="47">
        <f>IF(B698="","",SUBTOTAL(3,$B$3:B698)-1)</f>
        <v>7</v>
      </c>
      <c r="B698" s="39" t="s">
        <v>683</v>
      </c>
      <c r="C698" s="24" t="s">
        <v>46</v>
      </c>
      <c r="D698" s="163"/>
      <c r="E698" s="46">
        <f t="shared" si="4"/>
        <v>0</v>
      </c>
      <c r="F698" s="22">
        <v>11</v>
      </c>
      <c r="G698" s="175"/>
      <c r="H698" s="405" t="s">
        <v>635</v>
      </c>
      <c r="I698" s="185"/>
      <c r="J698" s="67"/>
      <c r="K698" s="194"/>
      <c r="L698" s="67"/>
      <c r="M698" s="67"/>
      <c r="N698" s="67"/>
      <c r="O698" s="73"/>
      <c r="P698" s="237"/>
      <c r="Q698" s="255"/>
      <c r="R698" s="175"/>
      <c r="S698" s="411" t="s">
        <v>2</v>
      </c>
      <c r="T698" s="190"/>
      <c r="U698" s="22"/>
      <c r="V698" s="233"/>
      <c r="W698" s="239"/>
      <c r="X698" s="403"/>
      <c r="Y698" s="258"/>
    </row>
    <row r="699" spans="1:25" hidden="1" x14ac:dyDescent="0.3">
      <c r="A699" s="47">
        <f>IF(B699="","",SUBTOTAL(3,$B$3:B699)-1)</f>
        <v>7</v>
      </c>
      <c r="B699" s="24" t="s">
        <v>668</v>
      </c>
      <c r="C699" s="24" t="s">
        <v>46</v>
      </c>
      <c r="D699" s="163"/>
      <c r="E699" s="46">
        <f t="shared" si="4"/>
        <v>0</v>
      </c>
      <c r="F699" s="22">
        <v>11</v>
      </c>
      <c r="G699" s="175"/>
      <c r="H699" s="405" t="s">
        <v>635</v>
      </c>
      <c r="I699" s="186"/>
      <c r="J699" s="68"/>
      <c r="K699" s="195"/>
      <c r="L699" s="68"/>
      <c r="M699" s="68"/>
      <c r="N699" s="68"/>
      <c r="O699" s="73"/>
      <c r="P699" s="237"/>
      <c r="Q699" s="255"/>
      <c r="R699" s="175"/>
      <c r="S699" s="411" t="s">
        <v>1</v>
      </c>
      <c r="T699" s="190"/>
      <c r="U699" s="22"/>
      <c r="V699" s="233"/>
      <c r="W699" s="239"/>
      <c r="X699" s="403"/>
      <c r="Y699" s="258"/>
    </row>
    <row r="700" spans="1:25" hidden="1" x14ac:dyDescent="0.3">
      <c r="A700" s="47">
        <f>IF(B700="","",SUBTOTAL(3,$B$3:B700)-1)</f>
        <v>7</v>
      </c>
      <c r="B700" s="24" t="s">
        <v>534</v>
      </c>
      <c r="C700" s="24" t="s">
        <v>46</v>
      </c>
      <c r="D700" s="24">
        <v>334160978</v>
      </c>
      <c r="E700" s="46">
        <f t="shared" si="4"/>
        <v>0</v>
      </c>
      <c r="F700" s="22">
        <v>11</v>
      </c>
      <c r="G700" s="175"/>
      <c r="H700" s="405"/>
      <c r="I700" s="185"/>
      <c r="J700" s="67"/>
      <c r="K700" s="194"/>
      <c r="L700" s="67"/>
      <c r="M700" s="67"/>
      <c r="N700" s="67"/>
      <c r="O700" s="73"/>
      <c r="P700" s="237"/>
      <c r="Q700" s="255"/>
      <c r="R700" s="175"/>
      <c r="S700" s="411"/>
      <c r="T700" s="190"/>
      <c r="U700" s="22"/>
      <c r="V700" s="233"/>
      <c r="W700" s="239"/>
      <c r="X700" s="403"/>
      <c r="Y700" s="258"/>
    </row>
    <row r="701" spans="1:25" hidden="1" x14ac:dyDescent="0.3">
      <c r="A701" s="47">
        <f>IF(B701="","",SUBTOTAL(3,$B$3:B701)-1)</f>
        <v>7</v>
      </c>
      <c r="B701" s="24" t="s">
        <v>570</v>
      </c>
      <c r="C701" s="24" t="s">
        <v>46</v>
      </c>
      <c r="D701" s="24"/>
      <c r="E701" s="46">
        <f t="shared" si="4"/>
        <v>0</v>
      </c>
      <c r="F701" s="22">
        <v>11</v>
      </c>
      <c r="G701" s="175" t="s">
        <v>415</v>
      </c>
      <c r="H701" s="405"/>
      <c r="I701" s="185"/>
      <c r="J701" s="67"/>
      <c r="K701" s="194"/>
      <c r="L701" s="180"/>
      <c r="M701" s="180"/>
      <c r="N701" s="180"/>
      <c r="O701" s="181"/>
      <c r="P701" s="237"/>
      <c r="Q701" s="255"/>
      <c r="R701" s="175" t="s">
        <v>574</v>
      </c>
      <c r="S701" s="411"/>
      <c r="T701" s="190"/>
      <c r="U701" s="22"/>
      <c r="V701" s="233"/>
      <c r="W701" s="239"/>
      <c r="X701" s="403"/>
      <c r="Y701" s="258"/>
    </row>
    <row r="702" spans="1:25" hidden="1" x14ac:dyDescent="0.3">
      <c r="A702" s="47">
        <f>IF(B702="","",SUBTOTAL(3,$B$3:B702)-1)</f>
        <v>7</v>
      </c>
      <c r="B702" s="24" t="s">
        <v>348</v>
      </c>
      <c r="C702" s="242" t="s">
        <v>46</v>
      </c>
      <c r="D702" s="163"/>
      <c r="E702" s="46">
        <f t="shared" si="4"/>
        <v>0</v>
      </c>
      <c r="F702" s="22">
        <v>12</v>
      </c>
      <c r="G702" s="175" t="s">
        <v>660</v>
      </c>
      <c r="H702" s="405"/>
      <c r="I702" s="185"/>
      <c r="J702" s="67"/>
      <c r="K702" s="194"/>
      <c r="L702" s="67"/>
      <c r="M702" s="67"/>
      <c r="N702" s="67"/>
      <c r="O702" s="73"/>
      <c r="P702" s="237"/>
      <c r="Q702" s="255"/>
      <c r="R702" s="175" t="s">
        <v>1</v>
      </c>
      <c r="S702" s="411"/>
      <c r="T702" s="190"/>
      <c r="U702" s="22"/>
      <c r="V702" s="233"/>
      <c r="W702" s="239"/>
      <c r="X702" s="403"/>
      <c r="Y702" s="258"/>
    </row>
    <row r="703" spans="1:25" hidden="1" x14ac:dyDescent="0.3">
      <c r="A703" s="47">
        <f>IF(B703="","",SUBTOTAL(3,$B$3:B703)-1)</f>
        <v>7</v>
      </c>
      <c r="B703" s="24" t="s">
        <v>367</v>
      </c>
      <c r="C703" s="24" t="s">
        <v>46</v>
      </c>
      <c r="D703" s="163"/>
      <c r="E703" s="46">
        <f t="shared" si="4"/>
        <v>0</v>
      </c>
      <c r="F703" s="22">
        <v>12</v>
      </c>
      <c r="G703" s="175"/>
      <c r="H703" s="405"/>
      <c r="I703" s="185"/>
      <c r="J703" s="67"/>
      <c r="K703" s="194"/>
      <c r="L703" s="67"/>
      <c r="M703" s="67"/>
      <c r="N703" s="67"/>
      <c r="O703" s="73"/>
      <c r="P703" s="237"/>
      <c r="Q703" s="255"/>
      <c r="R703" s="175" t="s">
        <v>415</v>
      </c>
      <c r="S703" s="411"/>
      <c r="T703" s="190"/>
      <c r="U703" s="22"/>
      <c r="V703" s="233"/>
      <c r="W703" s="239"/>
      <c r="X703" s="403"/>
      <c r="Y703" s="258"/>
    </row>
    <row r="704" spans="1:25" hidden="1" x14ac:dyDescent="0.3">
      <c r="A704" s="47">
        <f>IF(B704="","",SUBTOTAL(3,$B$3:B704)-1)</f>
        <v>7</v>
      </c>
      <c r="B704" s="25" t="s">
        <v>313</v>
      </c>
      <c r="C704" s="25" t="s">
        <v>46</v>
      </c>
      <c r="D704" s="164">
        <v>383750646</v>
      </c>
      <c r="E704" s="46">
        <f t="shared" si="4"/>
        <v>0</v>
      </c>
      <c r="F704" s="22">
        <v>11</v>
      </c>
      <c r="G704" s="175" t="s">
        <v>415</v>
      </c>
      <c r="H704" s="405" t="s">
        <v>1</v>
      </c>
      <c r="I704" s="185" t="s">
        <v>661</v>
      </c>
      <c r="J704" s="67"/>
      <c r="K704" s="194"/>
      <c r="L704" s="180"/>
      <c r="M704" s="180"/>
      <c r="N704" s="180"/>
      <c r="O704" s="181"/>
      <c r="P704" s="237"/>
      <c r="Q704" s="255"/>
      <c r="R704" s="175"/>
      <c r="S704" s="411" t="s">
        <v>1</v>
      </c>
      <c r="T704" s="190">
        <v>1</v>
      </c>
      <c r="U704" s="22"/>
      <c r="V704" s="233"/>
      <c r="W704" s="239"/>
      <c r="X704" s="403"/>
      <c r="Y704" s="258"/>
    </row>
    <row r="705" spans="1:25" hidden="1" x14ac:dyDescent="0.3">
      <c r="A705" s="47">
        <f>IF(B705="","",SUBTOTAL(3,$B$3:B705)-1)</f>
        <v>7</v>
      </c>
      <c r="B705" s="24" t="s">
        <v>317</v>
      </c>
      <c r="C705" s="24" t="s">
        <v>46</v>
      </c>
      <c r="D705" s="25">
        <v>394044379</v>
      </c>
      <c r="E705" s="46">
        <f t="shared" si="4"/>
        <v>0</v>
      </c>
      <c r="F705" s="22">
        <v>11</v>
      </c>
      <c r="G705" s="175" t="s">
        <v>660</v>
      </c>
      <c r="H705" s="405"/>
      <c r="I705" s="185" t="s">
        <v>661</v>
      </c>
      <c r="J705" s="67"/>
      <c r="K705" s="194"/>
      <c r="L705" s="180"/>
      <c r="M705" s="180"/>
      <c r="N705" s="180"/>
      <c r="O705" s="181"/>
      <c r="P705" s="237"/>
      <c r="Q705" s="255"/>
      <c r="R705" s="175" t="s">
        <v>0</v>
      </c>
      <c r="S705" s="411" t="s">
        <v>710</v>
      </c>
      <c r="T705" s="190"/>
      <c r="U705" s="22"/>
      <c r="V705" s="233"/>
      <c r="W705" s="239"/>
      <c r="X705" s="403"/>
      <c r="Y705" s="258"/>
    </row>
    <row r="706" spans="1:25" hidden="1" x14ac:dyDescent="0.3">
      <c r="A706" s="47">
        <f>IF(B706="","",SUBTOTAL(3,$B$3:B706)-1)</f>
        <v>7</v>
      </c>
      <c r="B706" s="26" t="s">
        <v>736</v>
      </c>
      <c r="C706" s="26" t="s">
        <v>46</v>
      </c>
      <c r="D706" s="26"/>
      <c r="E706" s="46">
        <f t="shared" si="4"/>
        <v>0</v>
      </c>
      <c r="F706" s="142">
        <v>7</v>
      </c>
      <c r="G706" s="175"/>
      <c r="H706" s="405"/>
      <c r="I706" s="185"/>
      <c r="J706" s="67"/>
      <c r="K706" s="194"/>
      <c r="L706" s="67"/>
      <c r="M706" s="67"/>
      <c r="N706" s="67"/>
      <c r="O706" s="73"/>
      <c r="P706" s="237"/>
      <c r="Q706" s="255"/>
      <c r="R706" s="175"/>
      <c r="S706" s="411"/>
      <c r="T706" s="190"/>
      <c r="U706" s="22"/>
      <c r="V706" s="233"/>
      <c r="W706" s="239"/>
      <c r="X706" s="403"/>
      <c r="Y706" s="258"/>
    </row>
    <row r="707" spans="1:25" hidden="1" x14ac:dyDescent="0.3">
      <c r="A707" s="47">
        <f>IF(B707="","",SUBTOTAL(3,$B$3:B707)-1)</f>
        <v>7</v>
      </c>
      <c r="B707" s="24" t="s">
        <v>643</v>
      </c>
      <c r="C707" s="24" t="s">
        <v>46</v>
      </c>
      <c r="D707" s="24"/>
      <c r="E707" s="46">
        <f t="shared" si="4"/>
        <v>0</v>
      </c>
      <c r="F707" s="22">
        <v>8</v>
      </c>
      <c r="G707" s="175"/>
      <c r="H707" s="405"/>
      <c r="I707" s="185"/>
      <c r="J707" s="67"/>
      <c r="K707" s="194"/>
      <c r="L707" s="67"/>
      <c r="M707" s="67"/>
      <c r="N707" s="67"/>
      <c r="O707" s="73"/>
      <c r="P707" s="237"/>
      <c r="Q707" s="255"/>
      <c r="R707" s="175"/>
      <c r="S707" s="411"/>
      <c r="T707" s="190"/>
      <c r="U707" s="22"/>
      <c r="V707" s="233"/>
      <c r="W707" s="239"/>
      <c r="X707" s="403"/>
      <c r="Y707" s="258"/>
    </row>
    <row r="708" spans="1:25" hidden="1" x14ac:dyDescent="0.3">
      <c r="A708" s="47">
        <f>IF(B708="","",SUBTOTAL(3,$B$3:B708)-1)</f>
        <v>7</v>
      </c>
      <c r="B708" s="24" t="s">
        <v>189</v>
      </c>
      <c r="C708" s="24" t="s">
        <v>46</v>
      </c>
      <c r="D708" s="163"/>
      <c r="E708" s="46">
        <f t="shared" si="4"/>
        <v>0</v>
      </c>
      <c r="F708" s="22">
        <v>9</v>
      </c>
      <c r="G708" s="175"/>
      <c r="H708" s="409" t="s">
        <v>696</v>
      </c>
      <c r="I708" s="187" t="s">
        <v>634</v>
      </c>
      <c r="J708" s="67" t="s">
        <v>661</v>
      </c>
      <c r="K708" s="194"/>
      <c r="L708" s="67"/>
      <c r="M708" s="67"/>
      <c r="N708" s="67"/>
      <c r="O708" s="73"/>
      <c r="P708" s="237"/>
      <c r="Q708" s="255"/>
      <c r="R708" s="175"/>
      <c r="S708" s="411" t="s">
        <v>661</v>
      </c>
      <c r="T708" s="190" t="s">
        <v>0</v>
      </c>
      <c r="U708" s="22" t="s">
        <v>0</v>
      </c>
      <c r="V708" s="233"/>
      <c r="W708" s="239"/>
      <c r="X708" s="403"/>
      <c r="Y708" s="258"/>
    </row>
    <row r="709" spans="1:25" hidden="1" x14ac:dyDescent="0.3">
      <c r="A709" s="47">
        <f>IF(B709="","",SUBTOTAL(3,$B$3:B709)-1)</f>
        <v>7</v>
      </c>
      <c r="B709" s="24" t="s">
        <v>227</v>
      </c>
      <c r="C709" s="24" t="s">
        <v>46</v>
      </c>
      <c r="D709" s="24"/>
      <c r="E709" s="46">
        <f t="shared" si="4"/>
        <v>0</v>
      </c>
      <c r="F709" s="22">
        <v>9</v>
      </c>
      <c r="G709" s="175" t="s">
        <v>415</v>
      </c>
      <c r="H709" s="409" t="s">
        <v>660</v>
      </c>
      <c r="I709" s="187"/>
      <c r="J709" s="67"/>
      <c r="K709" s="194"/>
      <c r="L709" s="180"/>
      <c r="M709" s="180"/>
      <c r="N709" s="180"/>
      <c r="O709" s="181"/>
      <c r="P709" s="237"/>
      <c r="Q709" s="255"/>
      <c r="R709" s="175" t="s">
        <v>1</v>
      </c>
      <c r="S709" s="411" t="s">
        <v>0</v>
      </c>
      <c r="T709" s="190"/>
      <c r="U709" s="22"/>
      <c r="V709" s="233"/>
      <c r="W709" s="239"/>
      <c r="X709" s="403"/>
      <c r="Y709" s="258"/>
    </row>
    <row r="710" spans="1:25" hidden="1" x14ac:dyDescent="0.3">
      <c r="A710" s="47">
        <f>IF(B710="","",SUBTOTAL(3,$B$3:B710)-1)</f>
        <v>7</v>
      </c>
      <c r="B710" s="253" t="s">
        <v>10</v>
      </c>
      <c r="C710" s="26" t="s">
        <v>37</v>
      </c>
      <c r="D710" s="25"/>
      <c r="E710" s="46"/>
      <c r="F710" s="22">
        <v>2</v>
      </c>
      <c r="G710" s="176"/>
      <c r="H710" s="405" t="s">
        <v>634</v>
      </c>
      <c r="I710" s="185" t="s">
        <v>634</v>
      </c>
      <c r="J710" s="67"/>
      <c r="K710" s="194"/>
      <c r="L710" s="67"/>
      <c r="M710" s="67"/>
      <c r="N710" s="67"/>
      <c r="O710" s="73"/>
      <c r="P710" s="237"/>
      <c r="Q710" s="255"/>
      <c r="R710" s="175"/>
      <c r="S710" s="411"/>
      <c r="T710" s="190" t="s">
        <v>0</v>
      </c>
      <c r="U710" s="22"/>
      <c r="V710" s="233"/>
      <c r="W710" s="239"/>
      <c r="X710" s="403"/>
      <c r="Y710" s="258"/>
    </row>
    <row r="711" spans="1:25" hidden="1" x14ac:dyDescent="0.3">
      <c r="A711" s="47">
        <f>IF(B711="","",SUBTOTAL(3,$B$3:B711)-1)</f>
        <v>7</v>
      </c>
      <c r="B711" s="269" t="s">
        <v>1232</v>
      </c>
      <c r="C711" s="269" t="s">
        <v>37</v>
      </c>
      <c r="D711" s="269">
        <v>372507497</v>
      </c>
      <c r="E711" s="46" t="s">
        <v>1214</v>
      </c>
      <c r="F711" s="301">
        <v>2</v>
      </c>
      <c r="G711" s="175" t="s">
        <v>826</v>
      </c>
      <c r="H711" s="405"/>
      <c r="I711" s="185"/>
      <c r="J711" s="71"/>
      <c r="K711" s="194"/>
      <c r="L711" s="67"/>
      <c r="M711" s="67"/>
      <c r="N711" s="67"/>
      <c r="O711" s="73"/>
      <c r="P711" s="237"/>
      <c r="Q711" s="255"/>
      <c r="R711" s="175" t="s">
        <v>0</v>
      </c>
      <c r="S711" s="411"/>
      <c r="T711" s="190"/>
      <c r="U711" s="22"/>
      <c r="V711" s="233"/>
      <c r="W711" s="239"/>
      <c r="X711" s="403"/>
      <c r="Y711" s="323">
        <v>2</v>
      </c>
    </row>
    <row r="712" spans="1:25" hidden="1" x14ac:dyDescent="0.3">
      <c r="A712" s="47">
        <f>IF(B712="","",SUBTOTAL(3,$B$3:B712)-1)</f>
        <v>7</v>
      </c>
      <c r="B712" s="25" t="s">
        <v>177</v>
      </c>
      <c r="C712" s="25" t="s">
        <v>37</v>
      </c>
      <c r="D712" s="24">
        <v>704964318</v>
      </c>
      <c r="E712" s="46">
        <f>($AA$2-O712)*$AB$2+Q712</f>
        <v>0</v>
      </c>
      <c r="F712" s="22">
        <v>8</v>
      </c>
      <c r="G712" s="175" t="s">
        <v>415</v>
      </c>
      <c r="H712" s="405" t="s">
        <v>635</v>
      </c>
      <c r="I712" s="185"/>
      <c r="J712" s="67" t="s">
        <v>661</v>
      </c>
      <c r="K712" s="194"/>
      <c r="L712" s="180"/>
      <c r="M712" s="180"/>
      <c r="N712" s="180"/>
      <c r="O712" s="181"/>
      <c r="P712" s="237"/>
      <c r="Q712" s="255"/>
      <c r="R712" s="175" t="s">
        <v>0</v>
      </c>
      <c r="S712" s="411" t="s">
        <v>1</v>
      </c>
      <c r="T712" s="190"/>
      <c r="U712" s="22" t="s">
        <v>0</v>
      </c>
      <c r="V712" s="233"/>
      <c r="W712" s="239"/>
      <c r="X712" s="403"/>
      <c r="Y712" s="258"/>
    </row>
    <row r="713" spans="1:25" hidden="1" x14ac:dyDescent="0.3">
      <c r="A713" s="47">
        <f>IF(B713="","",SUBTOTAL(3,$B$3:B713)-1)</f>
        <v>7</v>
      </c>
      <c r="B713" s="26" t="s">
        <v>1119</v>
      </c>
      <c r="C713" s="26" t="s">
        <v>997</v>
      </c>
      <c r="D713" s="164"/>
      <c r="E713" s="46"/>
      <c r="F713" s="22">
        <v>8</v>
      </c>
      <c r="G713" s="176" t="s">
        <v>415</v>
      </c>
      <c r="H713" s="405"/>
      <c r="I713" s="185"/>
      <c r="J713" s="67"/>
      <c r="K713" s="194"/>
      <c r="L713" s="67"/>
      <c r="M713" s="67"/>
      <c r="N713" s="67"/>
      <c r="O713" s="73"/>
      <c r="P713" s="237"/>
      <c r="Q713" s="255"/>
      <c r="R713" s="175" t="s">
        <v>1</v>
      </c>
      <c r="S713" s="411"/>
      <c r="T713" s="190"/>
      <c r="U713" s="22"/>
      <c r="V713" s="233"/>
      <c r="W713" s="239"/>
      <c r="X713" s="403"/>
      <c r="Y713" s="258"/>
    </row>
    <row r="714" spans="1:25" hidden="1" x14ac:dyDescent="0.3">
      <c r="A714" s="47">
        <f>IF(B714="","",SUBTOTAL(3,$B$3:B714)-1)</f>
        <v>7</v>
      </c>
      <c r="B714" s="380" t="s">
        <v>1366</v>
      </c>
      <c r="C714" s="380" t="s">
        <v>997</v>
      </c>
      <c r="D714" s="381"/>
      <c r="E714" s="46" t="s">
        <v>1356</v>
      </c>
      <c r="F714" s="380">
        <v>8</v>
      </c>
      <c r="G714" s="175"/>
      <c r="H714" s="405" t="s">
        <v>635</v>
      </c>
      <c r="I714" s="185"/>
      <c r="J714" s="71"/>
      <c r="K714" s="194"/>
      <c r="L714" s="67"/>
      <c r="M714" s="67"/>
      <c r="N714" s="67"/>
      <c r="O714" s="73"/>
      <c r="P714" s="237"/>
      <c r="Q714" s="255"/>
      <c r="R714" s="175"/>
      <c r="S714" s="411" t="s">
        <v>2</v>
      </c>
      <c r="T714" s="190"/>
      <c r="U714" s="22"/>
      <c r="V714" s="233"/>
      <c r="W714" s="239"/>
      <c r="X714" s="403"/>
      <c r="Y714" s="383" t="s">
        <v>764</v>
      </c>
    </row>
    <row r="715" spans="1:25" hidden="1" x14ac:dyDescent="0.3">
      <c r="A715" s="47">
        <f>IF(B715="","",SUBTOTAL(3,$B$3:B715)-1)</f>
        <v>7</v>
      </c>
      <c r="B715" s="269" t="s">
        <v>206</v>
      </c>
      <c r="C715" s="269" t="s">
        <v>1257</v>
      </c>
      <c r="D715" s="301">
        <v>846994464</v>
      </c>
      <c r="E715" s="46" t="s">
        <v>1214</v>
      </c>
      <c r="F715" s="21">
        <v>6</v>
      </c>
      <c r="G715" s="175" t="s">
        <v>415</v>
      </c>
      <c r="H715" s="405"/>
      <c r="I715" s="185"/>
      <c r="J715" s="71"/>
      <c r="K715" s="194"/>
      <c r="L715" s="67"/>
      <c r="M715" s="67"/>
      <c r="N715" s="67"/>
      <c r="O715" s="73"/>
      <c r="P715" s="237"/>
      <c r="Q715" s="255"/>
      <c r="R715" s="175" t="s">
        <v>848</v>
      </c>
      <c r="S715" s="408"/>
      <c r="T715" s="190"/>
      <c r="U715" s="22"/>
      <c r="V715" s="233"/>
      <c r="W715" s="239"/>
      <c r="X715" s="403"/>
      <c r="Y715" s="258"/>
    </row>
    <row r="716" spans="1:25" hidden="1" x14ac:dyDescent="0.3">
      <c r="A716" s="47">
        <f>IF(B716="","",SUBTOTAL(3,$B$3:B716)-1)</f>
        <v>7</v>
      </c>
      <c r="B716" s="380" t="s">
        <v>1371</v>
      </c>
      <c r="C716" s="380" t="s">
        <v>56</v>
      </c>
      <c r="D716" s="381"/>
      <c r="E716" s="46" t="s">
        <v>1356</v>
      </c>
      <c r="F716" s="382">
        <v>2</v>
      </c>
      <c r="G716" s="175" t="s">
        <v>826</v>
      </c>
      <c r="H716" s="405"/>
      <c r="I716" s="185"/>
      <c r="J716" s="71"/>
      <c r="K716" s="194"/>
      <c r="L716" s="67"/>
      <c r="M716" s="67"/>
      <c r="N716" s="67"/>
      <c r="O716" s="73"/>
      <c r="P716" s="237"/>
      <c r="Q716" s="255"/>
      <c r="R716" s="175" t="s">
        <v>1</v>
      </c>
      <c r="S716" s="411"/>
      <c r="T716" s="190"/>
      <c r="U716" s="22"/>
      <c r="V716" s="233"/>
      <c r="W716" s="239"/>
      <c r="X716" s="403"/>
      <c r="Y716" s="383" t="s">
        <v>1386</v>
      </c>
    </row>
    <row r="717" spans="1:25" hidden="1" x14ac:dyDescent="0.3">
      <c r="A717" s="47">
        <f>IF(B717="","",SUBTOTAL(3,$B$3:B717)-1)</f>
        <v>7</v>
      </c>
      <c r="B717" s="143" t="s">
        <v>844</v>
      </c>
      <c r="C717" s="143" t="s">
        <v>56</v>
      </c>
      <c r="D717" s="143">
        <v>947999822</v>
      </c>
      <c r="E717" s="46"/>
      <c r="F717" s="142">
        <v>3</v>
      </c>
      <c r="G717" s="176" t="s">
        <v>660</v>
      </c>
      <c r="H717" s="406"/>
      <c r="I717" s="188"/>
      <c r="J717" s="142"/>
      <c r="K717" s="196" t="s">
        <v>721</v>
      </c>
      <c r="L717" s="67"/>
      <c r="M717" s="67"/>
      <c r="N717" s="67"/>
      <c r="O717" s="73"/>
      <c r="P717" s="237" t="s">
        <v>1</v>
      </c>
      <c r="Q717" s="255"/>
      <c r="R717" s="175" t="s">
        <v>0</v>
      </c>
      <c r="S717" s="411"/>
      <c r="T717" s="190"/>
      <c r="U717" s="22"/>
      <c r="V717" s="233"/>
      <c r="W717" s="239" t="s">
        <v>848</v>
      </c>
      <c r="X717" s="403"/>
      <c r="Y717" s="258"/>
    </row>
    <row r="718" spans="1:25" hidden="1" x14ac:dyDescent="0.3">
      <c r="A718" s="47">
        <f>IF(B718="","",SUBTOTAL(3,$B$3:B718)-1)</f>
        <v>7</v>
      </c>
      <c r="B718" s="26" t="s">
        <v>1147</v>
      </c>
      <c r="C718" s="26" t="s">
        <v>56</v>
      </c>
      <c r="D718" s="25">
        <v>776603330</v>
      </c>
      <c r="E718" s="46">
        <f>($AA$2-O718)*$AB$2+Q718</f>
        <v>0</v>
      </c>
      <c r="F718" s="369">
        <v>6</v>
      </c>
      <c r="G718" s="175" t="s">
        <v>660</v>
      </c>
      <c r="H718" s="405"/>
      <c r="I718" s="185"/>
      <c r="J718" s="67"/>
      <c r="K718" s="194"/>
      <c r="L718" s="67"/>
      <c r="M718" s="67"/>
      <c r="N718" s="67"/>
      <c r="O718" s="73"/>
      <c r="P718" s="237"/>
      <c r="Q718" s="255"/>
      <c r="R718" s="252" t="s">
        <v>1</v>
      </c>
      <c r="S718" s="411"/>
      <c r="T718" s="190"/>
      <c r="U718" s="22"/>
      <c r="V718" s="233"/>
      <c r="W718" s="239"/>
      <c r="X718" s="403"/>
      <c r="Y718" s="258"/>
    </row>
    <row r="719" spans="1:25" hidden="1" x14ac:dyDescent="0.3">
      <c r="A719" s="47">
        <f>IF(B719="","",SUBTOTAL(3,$B$3:B719)-1)</f>
        <v>7</v>
      </c>
      <c r="B719" s="3" t="s">
        <v>1147</v>
      </c>
      <c r="C719" s="3" t="s">
        <v>56</v>
      </c>
      <c r="D719" s="303">
        <v>776603330</v>
      </c>
      <c r="E719" s="46" t="s">
        <v>1214</v>
      </c>
      <c r="F719" s="22">
        <v>6</v>
      </c>
      <c r="G719" s="175" t="s">
        <v>415</v>
      </c>
      <c r="H719" s="405"/>
      <c r="I719" s="185"/>
      <c r="J719" s="71"/>
      <c r="K719" s="194"/>
      <c r="L719" s="67"/>
      <c r="M719" s="67"/>
      <c r="N719" s="67"/>
      <c r="O719" s="73"/>
      <c r="P719" s="237"/>
      <c r="Q719" s="255"/>
      <c r="R719" s="175" t="s">
        <v>848</v>
      </c>
      <c r="S719" s="408"/>
      <c r="T719" s="190"/>
      <c r="U719" s="22"/>
      <c r="V719" s="233"/>
      <c r="W719" s="239"/>
      <c r="X719" s="403"/>
      <c r="Y719" s="258"/>
    </row>
    <row r="720" spans="1:25" hidden="1" x14ac:dyDescent="0.3">
      <c r="A720" s="47">
        <f>IF(B720="","",SUBTOTAL(3,$B$3:B720)-1)</f>
        <v>7</v>
      </c>
      <c r="B720" s="24" t="s">
        <v>293</v>
      </c>
      <c r="C720" s="24" t="s">
        <v>56</v>
      </c>
      <c r="D720" s="163"/>
      <c r="E720" s="46"/>
      <c r="F720" s="22">
        <v>10</v>
      </c>
      <c r="G720" s="175" t="s">
        <v>415</v>
      </c>
      <c r="H720" s="405" t="s">
        <v>635</v>
      </c>
      <c r="I720" s="185"/>
      <c r="J720" s="71"/>
      <c r="K720" s="194"/>
      <c r="L720" s="67"/>
      <c r="M720" s="67"/>
      <c r="N720" s="67"/>
      <c r="O720" s="73"/>
      <c r="P720" s="237"/>
      <c r="Q720" s="255"/>
      <c r="R720" s="175" t="s">
        <v>1</v>
      </c>
      <c r="S720" s="411" t="s">
        <v>0</v>
      </c>
      <c r="T720" s="190"/>
      <c r="U720" s="22"/>
      <c r="V720" s="233"/>
      <c r="W720" s="239"/>
      <c r="X720" s="403"/>
      <c r="Y720" s="258"/>
    </row>
    <row r="721" spans="1:25" hidden="1" x14ac:dyDescent="0.3">
      <c r="A721" s="47">
        <f>IF(B721="","",SUBTOTAL(3,$B$3:B721)-1)</f>
        <v>7</v>
      </c>
      <c r="B721" s="26" t="s">
        <v>706</v>
      </c>
      <c r="C721" s="26" t="s">
        <v>56</v>
      </c>
      <c r="D721" s="26"/>
      <c r="E721" s="46">
        <f t="shared" ref="E721:E733" si="5">($AA$2-O721)*$AB$2+Q721</f>
        <v>0</v>
      </c>
      <c r="F721" s="22">
        <v>10</v>
      </c>
      <c r="G721" s="175"/>
      <c r="H721" s="405"/>
      <c r="I721" s="185"/>
      <c r="J721" s="67"/>
      <c r="K721" s="194"/>
      <c r="L721" s="67"/>
      <c r="M721" s="67"/>
      <c r="N721" s="67"/>
      <c r="O721" s="73"/>
      <c r="P721" s="237"/>
      <c r="Q721" s="255"/>
      <c r="R721" s="175"/>
      <c r="S721" s="411"/>
      <c r="T721" s="190"/>
      <c r="U721" s="22"/>
      <c r="V721" s="233"/>
      <c r="W721" s="239"/>
      <c r="X721" s="403"/>
      <c r="Y721" s="258"/>
    </row>
    <row r="722" spans="1:25" hidden="1" x14ac:dyDescent="0.3">
      <c r="A722" s="47">
        <f>IF(B722="","",SUBTOTAL(3,$B$3:B722)-1)</f>
        <v>7</v>
      </c>
      <c r="B722" s="25" t="s">
        <v>651</v>
      </c>
      <c r="C722" s="25" t="s">
        <v>56</v>
      </c>
      <c r="D722" s="163"/>
      <c r="E722" s="46">
        <f t="shared" si="5"/>
        <v>0</v>
      </c>
      <c r="F722" s="22">
        <v>10</v>
      </c>
      <c r="G722" s="175"/>
      <c r="H722" s="405"/>
      <c r="I722" s="185"/>
      <c r="J722" s="71"/>
      <c r="K722" s="194"/>
      <c r="L722" s="67"/>
      <c r="M722" s="67"/>
      <c r="N722" s="67"/>
      <c r="O722" s="73"/>
      <c r="P722" s="237"/>
      <c r="Q722" s="255"/>
      <c r="R722" s="175"/>
      <c r="S722" s="411"/>
      <c r="T722" s="190"/>
      <c r="U722" s="22"/>
      <c r="V722" s="233"/>
      <c r="W722" s="239"/>
      <c r="X722" s="403"/>
      <c r="Y722" s="258"/>
    </row>
    <row r="723" spans="1:25" hidden="1" x14ac:dyDescent="0.3">
      <c r="A723" s="47">
        <f>IF(B723="","",SUBTOTAL(3,$B$3:B723)-1)</f>
        <v>7</v>
      </c>
      <c r="B723" s="25" t="s">
        <v>992</v>
      </c>
      <c r="C723" s="25" t="s">
        <v>56</v>
      </c>
      <c r="D723" s="26"/>
      <c r="E723" s="46">
        <f t="shared" si="5"/>
        <v>0</v>
      </c>
      <c r="F723" s="22">
        <v>10</v>
      </c>
      <c r="G723" s="175"/>
      <c r="H723" s="405" t="s">
        <v>635</v>
      </c>
      <c r="I723" s="185"/>
      <c r="J723" s="71"/>
      <c r="K723" s="194"/>
      <c r="L723" s="180"/>
      <c r="M723" s="180"/>
      <c r="N723" s="180"/>
      <c r="O723" s="181"/>
      <c r="P723" s="237"/>
      <c r="Q723" s="255"/>
      <c r="R723" s="175"/>
      <c r="S723" s="411" t="s">
        <v>0</v>
      </c>
      <c r="T723" s="190"/>
      <c r="U723" s="22"/>
      <c r="V723" s="233"/>
      <c r="W723" s="239"/>
      <c r="X723" s="403"/>
      <c r="Y723" s="258"/>
    </row>
    <row r="724" spans="1:25" hidden="1" x14ac:dyDescent="0.3">
      <c r="A724" s="47">
        <f>IF(B724="","",SUBTOTAL(3,$B$3:B724)-1)</f>
        <v>7</v>
      </c>
      <c r="B724" s="24" t="s">
        <v>233</v>
      </c>
      <c r="C724" s="24" t="s">
        <v>56</v>
      </c>
      <c r="D724" s="163"/>
      <c r="E724" s="46">
        <f t="shared" si="5"/>
        <v>0</v>
      </c>
      <c r="F724" s="22">
        <v>10</v>
      </c>
      <c r="G724" s="175" t="s">
        <v>415</v>
      </c>
      <c r="H724" s="405" t="s">
        <v>696</v>
      </c>
      <c r="I724" s="185" t="s">
        <v>661</v>
      </c>
      <c r="J724" s="71"/>
      <c r="K724" s="194"/>
      <c r="L724" s="180"/>
      <c r="M724" s="180"/>
      <c r="N724" s="180"/>
      <c r="O724" s="181"/>
      <c r="P724" s="237"/>
      <c r="Q724" s="255"/>
      <c r="R724" s="175" t="s">
        <v>848</v>
      </c>
      <c r="S724" s="411" t="s">
        <v>661</v>
      </c>
      <c r="T724" s="190" t="s">
        <v>1</v>
      </c>
      <c r="U724" s="22"/>
      <c r="V724" s="233"/>
      <c r="W724" s="239"/>
      <c r="X724" s="403"/>
      <c r="Y724" s="258"/>
    </row>
    <row r="725" spans="1:25" hidden="1" x14ac:dyDescent="0.3">
      <c r="A725" s="47">
        <f>IF(B725="","",SUBTOTAL(3,$B$3:B725)-1)</f>
        <v>7</v>
      </c>
      <c r="B725" s="25" t="s">
        <v>697</v>
      </c>
      <c r="C725" s="25" t="s">
        <v>56</v>
      </c>
      <c r="D725" s="163"/>
      <c r="E725" s="46">
        <f t="shared" si="5"/>
        <v>0</v>
      </c>
      <c r="F725" s="21">
        <v>11</v>
      </c>
      <c r="G725" s="175"/>
      <c r="H725" s="405" t="s">
        <v>696</v>
      </c>
      <c r="I725" s="185" t="s">
        <v>661</v>
      </c>
      <c r="J725" s="67"/>
      <c r="K725" s="194"/>
      <c r="L725" s="67"/>
      <c r="M725" s="67"/>
      <c r="N725" s="67"/>
      <c r="O725" s="73"/>
      <c r="P725" s="237"/>
      <c r="Q725" s="255"/>
      <c r="R725" s="175"/>
      <c r="S725" s="411" t="s">
        <v>661</v>
      </c>
      <c r="T725" s="190">
        <v>2</v>
      </c>
      <c r="U725" s="22"/>
      <c r="V725" s="233"/>
      <c r="W725" s="239"/>
      <c r="X725" s="403"/>
      <c r="Y725" s="258"/>
    </row>
    <row r="726" spans="1:25" hidden="1" x14ac:dyDescent="0.3">
      <c r="A726" s="47">
        <f>IF(B726="","",SUBTOTAL(3,$B$3:B726)-1)</f>
        <v>7</v>
      </c>
      <c r="B726" s="25" t="s">
        <v>716</v>
      </c>
      <c r="C726" s="25" t="s">
        <v>56</v>
      </c>
      <c r="D726" s="163"/>
      <c r="E726" s="46">
        <f t="shared" si="5"/>
        <v>0</v>
      </c>
      <c r="F726" s="22">
        <v>11</v>
      </c>
      <c r="G726" s="175" t="s">
        <v>415</v>
      </c>
      <c r="H726" s="405"/>
      <c r="I726" s="185"/>
      <c r="J726" s="67"/>
      <c r="K726" s="194"/>
      <c r="L726" s="180"/>
      <c r="M726" s="180"/>
      <c r="N726" s="180"/>
      <c r="O726" s="181"/>
      <c r="P726" s="237"/>
      <c r="Q726" s="255"/>
      <c r="R726" s="175" t="s">
        <v>661</v>
      </c>
      <c r="S726" s="411"/>
      <c r="T726" s="190"/>
      <c r="U726" s="22"/>
      <c r="V726" s="233"/>
      <c r="W726" s="239"/>
      <c r="X726" s="403"/>
      <c r="Y726" s="258"/>
    </row>
    <row r="727" spans="1:25" hidden="1" x14ac:dyDescent="0.3">
      <c r="A727" s="47">
        <f>IF(B727="","",SUBTOTAL(3,$B$3:B727)-1)</f>
        <v>7</v>
      </c>
      <c r="B727" s="24" t="s">
        <v>610</v>
      </c>
      <c r="C727" s="24" t="s">
        <v>56</v>
      </c>
      <c r="D727" s="163"/>
      <c r="E727" s="46">
        <f t="shared" si="5"/>
        <v>0</v>
      </c>
      <c r="F727" s="22">
        <v>12</v>
      </c>
      <c r="G727" s="175"/>
      <c r="H727" s="405"/>
      <c r="I727" s="185"/>
      <c r="J727" s="67"/>
      <c r="K727" s="194"/>
      <c r="L727" s="67"/>
      <c r="M727" s="67"/>
      <c r="N727" s="67"/>
      <c r="O727" s="73"/>
      <c r="P727" s="237"/>
      <c r="Q727" s="255"/>
      <c r="R727" s="175" t="s">
        <v>1</v>
      </c>
      <c r="S727" s="411"/>
      <c r="T727" s="190"/>
      <c r="U727" s="22"/>
      <c r="V727" s="233"/>
      <c r="W727" s="239"/>
      <c r="X727" s="403"/>
      <c r="Y727" s="258"/>
    </row>
    <row r="728" spans="1:25" hidden="1" x14ac:dyDescent="0.3">
      <c r="A728" s="47">
        <f>IF(B728="","",SUBTOTAL(3,$B$3:B728)-1)</f>
        <v>7</v>
      </c>
      <c r="B728" s="24" t="s">
        <v>559</v>
      </c>
      <c r="C728" s="242" t="s">
        <v>56</v>
      </c>
      <c r="D728" s="163"/>
      <c r="E728" s="46">
        <f t="shared" si="5"/>
        <v>0</v>
      </c>
      <c r="F728" s="21">
        <v>12</v>
      </c>
      <c r="G728" s="175" t="s">
        <v>660</v>
      </c>
      <c r="H728" s="405"/>
      <c r="I728" s="185"/>
      <c r="J728" s="67"/>
      <c r="K728" s="194"/>
      <c r="L728" s="67"/>
      <c r="M728" s="67"/>
      <c r="N728" s="67"/>
      <c r="O728" s="73"/>
      <c r="P728" s="237"/>
      <c r="Q728" s="255"/>
      <c r="R728" s="175" t="s">
        <v>0</v>
      </c>
      <c r="S728" s="411"/>
      <c r="T728" s="190"/>
      <c r="U728" s="22"/>
      <c r="V728" s="233"/>
      <c r="W728" s="239"/>
      <c r="X728" s="403"/>
      <c r="Y728" s="258"/>
    </row>
    <row r="729" spans="1:25" hidden="1" x14ac:dyDescent="0.3">
      <c r="A729" s="47">
        <f>IF(B729="","",SUBTOTAL(3,$B$3:B729)-1)</f>
        <v>7</v>
      </c>
      <c r="B729" s="24" t="s">
        <v>293</v>
      </c>
      <c r="C729" s="63" t="s">
        <v>56</v>
      </c>
      <c r="D729" s="163"/>
      <c r="E729" s="46">
        <f t="shared" si="5"/>
        <v>0</v>
      </c>
      <c r="F729" s="22">
        <v>10</v>
      </c>
      <c r="G729" s="175" t="s">
        <v>415</v>
      </c>
      <c r="H729" s="405"/>
      <c r="I729" s="185"/>
      <c r="J729" s="71"/>
      <c r="K729" s="194"/>
      <c r="L729" s="180"/>
      <c r="M729" s="180"/>
      <c r="N729" s="180"/>
      <c r="O729" s="181"/>
      <c r="P729" s="237"/>
      <c r="Q729" s="255"/>
      <c r="R729" s="175" t="s">
        <v>0</v>
      </c>
      <c r="S729" s="411"/>
      <c r="T729" s="190"/>
      <c r="U729" s="22"/>
      <c r="V729" s="233"/>
      <c r="W729" s="239"/>
      <c r="X729" s="403"/>
      <c r="Y729" s="258"/>
    </row>
    <row r="730" spans="1:25" hidden="1" x14ac:dyDescent="0.3">
      <c r="A730" s="47">
        <f>IF(B730="","",SUBTOTAL(3,$B$3:B730)-1)</f>
        <v>7</v>
      </c>
      <c r="B730" s="24" t="s">
        <v>253</v>
      </c>
      <c r="C730" s="244" t="s">
        <v>56</v>
      </c>
      <c r="D730" s="163"/>
      <c r="E730" s="46">
        <f t="shared" si="5"/>
        <v>0</v>
      </c>
      <c r="F730" s="22" t="s">
        <v>1213</v>
      </c>
      <c r="G730" s="175" t="s">
        <v>660</v>
      </c>
      <c r="H730" s="405"/>
      <c r="I730" s="185"/>
      <c r="J730" s="67"/>
      <c r="K730" s="194"/>
      <c r="L730" s="67"/>
      <c r="M730" s="67"/>
      <c r="N730" s="67"/>
      <c r="O730" s="73"/>
      <c r="P730" s="237"/>
      <c r="Q730" s="255"/>
      <c r="R730" s="175" t="s">
        <v>1</v>
      </c>
      <c r="S730" s="411"/>
      <c r="T730" s="190"/>
      <c r="U730" s="22"/>
      <c r="V730" s="233"/>
      <c r="W730" s="239"/>
      <c r="X730" s="403"/>
      <c r="Y730" s="258"/>
    </row>
    <row r="731" spans="1:25" hidden="1" x14ac:dyDescent="0.3">
      <c r="A731" s="47">
        <f>IF(B731="","",SUBTOTAL(3,$B$3:B731)-1)</f>
        <v>7</v>
      </c>
      <c r="B731" s="25" t="s">
        <v>419</v>
      </c>
      <c r="C731" s="241" t="s">
        <v>56</v>
      </c>
      <c r="D731" s="163"/>
      <c r="E731" s="46">
        <f t="shared" si="5"/>
        <v>0</v>
      </c>
      <c r="F731" s="22" t="s">
        <v>1213</v>
      </c>
      <c r="G731" s="175" t="s">
        <v>660</v>
      </c>
      <c r="H731" s="405"/>
      <c r="I731" s="185"/>
      <c r="J731" s="67"/>
      <c r="K731" s="194"/>
      <c r="L731" s="67"/>
      <c r="M731" s="67"/>
      <c r="N731" s="67"/>
      <c r="O731" s="73"/>
      <c r="P731" s="237"/>
      <c r="Q731" s="255"/>
      <c r="R731" s="175" t="s">
        <v>1</v>
      </c>
      <c r="S731" s="411"/>
      <c r="T731" s="190"/>
      <c r="U731" s="22"/>
      <c r="V731" s="233"/>
      <c r="W731" s="239"/>
      <c r="X731" s="403"/>
      <c r="Y731" s="258"/>
    </row>
    <row r="732" spans="1:25" hidden="1" x14ac:dyDescent="0.3">
      <c r="A732" s="47">
        <f>IF(B732="","",SUBTOTAL(3,$B$3:B732)-1)</f>
        <v>7</v>
      </c>
      <c r="B732" s="25" t="s">
        <v>243</v>
      </c>
      <c r="C732" s="25" t="s">
        <v>56</v>
      </c>
      <c r="D732" s="163"/>
      <c r="E732" s="46">
        <f t="shared" si="5"/>
        <v>0</v>
      </c>
      <c r="F732" s="22">
        <v>10</v>
      </c>
      <c r="G732" s="175" t="s">
        <v>415</v>
      </c>
      <c r="H732" s="405" t="s">
        <v>696</v>
      </c>
      <c r="I732" s="185"/>
      <c r="J732" s="71"/>
      <c r="K732" s="194"/>
      <c r="L732" s="180"/>
      <c r="M732" s="180"/>
      <c r="N732" s="180"/>
      <c r="O732" s="181"/>
      <c r="P732" s="237"/>
      <c r="Q732" s="255"/>
      <c r="R732" s="175" t="s">
        <v>0</v>
      </c>
      <c r="S732" s="411" t="s">
        <v>661</v>
      </c>
      <c r="T732" s="190"/>
      <c r="U732" s="22"/>
      <c r="V732" s="233"/>
      <c r="W732" s="239"/>
      <c r="X732" s="403"/>
      <c r="Y732" s="258"/>
    </row>
    <row r="733" spans="1:25" hidden="1" x14ac:dyDescent="0.3">
      <c r="A733" s="47">
        <f>IF(B733="","",SUBTOTAL(3,$B$3:B733)-1)</f>
        <v>7</v>
      </c>
      <c r="B733" s="64" t="s">
        <v>605</v>
      </c>
      <c r="C733" s="25" t="s">
        <v>56</v>
      </c>
      <c r="D733" s="24">
        <v>939420076</v>
      </c>
      <c r="E733" s="46">
        <f t="shared" si="5"/>
        <v>0</v>
      </c>
      <c r="F733" s="22">
        <v>12</v>
      </c>
      <c r="G733" s="175" t="s">
        <v>660</v>
      </c>
      <c r="H733" s="405"/>
      <c r="I733" s="185"/>
      <c r="J733" s="67"/>
      <c r="K733" s="194"/>
      <c r="L733" s="67"/>
      <c r="M733" s="67"/>
      <c r="N733" s="67"/>
      <c r="O733" s="73"/>
      <c r="P733" s="237"/>
      <c r="Q733" s="255"/>
      <c r="R733" s="175" t="s">
        <v>0</v>
      </c>
      <c r="S733" s="411"/>
      <c r="T733" s="190"/>
      <c r="U733" s="22"/>
      <c r="V733" s="233"/>
      <c r="W733" s="239"/>
      <c r="X733" s="403"/>
      <c r="Y733" s="258"/>
    </row>
    <row r="734" spans="1:25" hidden="1" x14ac:dyDescent="0.3">
      <c r="A734" s="47">
        <f>IF(B734="","",SUBTOTAL(3,$B$3:B734)-1)</f>
        <v>7</v>
      </c>
      <c r="B734" s="143" t="s">
        <v>796</v>
      </c>
      <c r="C734" s="143" t="s">
        <v>56</v>
      </c>
      <c r="D734" s="143">
        <v>932955580</v>
      </c>
      <c r="E734" s="46"/>
      <c r="F734" s="142">
        <v>7</v>
      </c>
      <c r="G734" s="175" t="s">
        <v>415</v>
      </c>
      <c r="H734" s="406" t="s">
        <v>696</v>
      </c>
      <c r="I734" s="188" t="s">
        <v>634</v>
      </c>
      <c r="J734" s="142"/>
      <c r="K734" s="196" t="s">
        <v>721</v>
      </c>
      <c r="L734" s="67"/>
      <c r="M734" s="67"/>
      <c r="N734" s="67"/>
      <c r="O734" s="73"/>
      <c r="P734" s="237" t="s">
        <v>1</v>
      </c>
      <c r="Q734" s="255"/>
      <c r="R734" s="175" t="s">
        <v>0</v>
      </c>
      <c r="S734" s="411" t="s">
        <v>0</v>
      </c>
      <c r="T734" s="190" t="s">
        <v>0</v>
      </c>
      <c r="U734" s="22"/>
      <c r="V734" s="233"/>
      <c r="W734" s="239" t="s">
        <v>0</v>
      </c>
      <c r="X734" s="403"/>
      <c r="Y734" s="258"/>
    </row>
    <row r="735" spans="1:25" hidden="1" x14ac:dyDescent="0.3">
      <c r="A735" s="47">
        <f>IF(B735="","",SUBTOTAL(3,$B$3:B735)-1)</f>
        <v>7</v>
      </c>
      <c r="B735" s="26" t="s">
        <v>511</v>
      </c>
      <c r="C735" s="26" t="s">
        <v>56</v>
      </c>
      <c r="D735" s="143"/>
      <c r="E735" s="46"/>
      <c r="F735" s="22">
        <v>8</v>
      </c>
      <c r="G735" s="175" t="s">
        <v>415</v>
      </c>
      <c r="H735" s="406"/>
      <c r="I735" s="188"/>
      <c r="J735" s="142"/>
      <c r="K735" s="196"/>
      <c r="L735" s="67"/>
      <c r="M735" s="67"/>
      <c r="N735" s="67"/>
      <c r="O735" s="73"/>
      <c r="P735" s="237"/>
      <c r="Q735" s="255"/>
      <c r="R735" s="175" t="s">
        <v>1</v>
      </c>
      <c r="S735" s="411"/>
      <c r="T735" s="190"/>
      <c r="U735" s="22"/>
      <c r="V735" s="233"/>
      <c r="W735" s="239"/>
      <c r="X735" s="403"/>
      <c r="Y735" s="258"/>
    </row>
    <row r="736" spans="1:25" hidden="1" x14ac:dyDescent="0.3">
      <c r="A736" s="47">
        <f>IF(B736="","",SUBTOTAL(3,$B$3:B736)-1)</f>
        <v>7</v>
      </c>
      <c r="B736" s="26" t="s">
        <v>511</v>
      </c>
      <c r="C736" s="26" t="s">
        <v>56</v>
      </c>
      <c r="D736" s="26">
        <v>939253654</v>
      </c>
      <c r="E736" s="46">
        <f>($AA$2-O736)*$AB$2+Q736</f>
        <v>0</v>
      </c>
      <c r="F736" s="22">
        <v>8</v>
      </c>
      <c r="G736" s="175"/>
      <c r="H736" s="405" t="s">
        <v>660</v>
      </c>
      <c r="I736" s="185"/>
      <c r="J736" s="67"/>
      <c r="K736" s="194"/>
      <c r="L736" s="67"/>
      <c r="M736" s="67"/>
      <c r="N736" s="67"/>
      <c r="O736" s="73"/>
      <c r="P736" s="237"/>
      <c r="Q736" s="255"/>
      <c r="R736" s="175"/>
      <c r="S736" s="411" t="s">
        <v>0</v>
      </c>
      <c r="T736" s="190"/>
      <c r="U736" s="22"/>
      <c r="V736" s="233"/>
      <c r="W736" s="239"/>
      <c r="X736" s="403"/>
      <c r="Y736" s="258"/>
    </row>
    <row r="737" spans="1:25" hidden="1" x14ac:dyDescent="0.3">
      <c r="A737" s="47">
        <f>IF(B737="","",SUBTOTAL(3,$B$3:B737)-1)</f>
        <v>7</v>
      </c>
      <c r="B737" s="26" t="s">
        <v>201</v>
      </c>
      <c r="C737" s="26" t="s">
        <v>56</v>
      </c>
      <c r="D737" s="26"/>
      <c r="E737" s="46"/>
      <c r="F737" s="22">
        <v>9</v>
      </c>
      <c r="G737" s="175"/>
      <c r="H737" s="405" t="s">
        <v>660</v>
      </c>
      <c r="I737" s="185"/>
      <c r="J737" s="67"/>
      <c r="K737" s="194"/>
      <c r="L737" s="180"/>
      <c r="M737" s="180"/>
      <c r="N737" s="180"/>
      <c r="O737" s="181"/>
      <c r="P737" s="237"/>
      <c r="Q737" s="255"/>
      <c r="R737" s="175"/>
      <c r="S737" s="411" t="s">
        <v>0</v>
      </c>
      <c r="T737" s="190"/>
      <c r="U737" s="22"/>
      <c r="V737" s="233"/>
      <c r="W737" s="239"/>
      <c r="X737" s="403"/>
      <c r="Y737" s="258"/>
    </row>
    <row r="738" spans="1:25" hidden="1" x14ac:dyDescent="0.3">
      <c r="A738" s="47">
        <f>IF(B738="","",SUBTOTAL(3,$B$3:B738)-1)</f>
        <v>7</v>
      </c>
      <c r="B738" s="160" t="s">
        <v>1090</v>
      </c>
      <c r="C738" s="143" t="s">
        <v>56</v>
      </c>
      <c r="D738" s="143"/>
      <c r="E738" s="46"/>
      <c r="F738" s="22">
        <v>9</v>
      </c>
      <c r="G738" s="175" t="s">
        <v>415</v>
      </c>
      <c r="H738" s="409" t="s">
        <v>660</v>
      </c>
      <c r="I738" s="188"/>
      <c r="J738" s="142"/>
      <c r="K738" s="196"/>
      <c r="L738" s="67"/>
      <c r="M738" s="67"/>
      <c r="N738" s="67"/>
      <c r="O738" s="73"/>
      <c r="P738" s="237"/>
      <c r="Q738" s="255"/>
      <c r="R738" s="175" t="s">
        <v>1</v>
      </c>
      <c r="S738" s="411" t="s">
        <v>1</v>
      </c>
      <c r="T738" s="190"/>
      <c r="U738" s="22"/>
      <c r="V738" s="233"/>
      <c r="W738" s="239"/>
      <c r="X738" s="403"/>
      <c r="Y738" s="258"/>
    </row>
    <row r="739" spans="1:25" hidden="1" x14ac:dyDescent="0.3">
      <c r="A739" s="47">
        <f>IF(B739="","",SUBTOTAL(3,$B$3:B739)-1)</f>
        <v>7</v>
      </c>
      <c r="B739" s="24" t="s">
        <v>293</v>
      </c>
      <c r="C739" s="24" t="s">
        <v>56</v>
      </c>
      <c r="D739" s="163"/>
      <c r="E739" s="46">
        <f>($AA$2-O739)*$AB$2+Q739</f>
        <v>0</v>
      </c>
      <c r="F739" s="21">
        <v>9</v>
      </c>
      <c r="G739" s="175" t="s">
        <v>415</v>
      </c>
      <c r="H739" s="409" t="s">
        <v>660</v>
      </c>
      <c r="I739" s="187"/>
      <c r="J739" s="67"/>
      <c r="K739" s="194"/>
      <c r="L739" s="180"/>
      <c r="M739" s="180"/>
      <c r="N739" s="180"/>
      <c r="O739" s="181"/>
      <c r="P739" s="237"/>
      <c r="Q739" s="255"/>
      <c r="R739" s="175" t="s">
        <v>0</v>
      </c>
      <c r="S739" s="411" t="s">
        <v>0</v>
      </c>
      <c r="T739" s="190"/>
      <c r="U739" s="22"/>
      <c r="V739" s="233"/>
      <c r="W739" s="239"/>
      <c r="X739" s="403"/>
      <c r="Y739" s="258"/>
    </row>
    <row r="740" spans="1:25" hidden="1" x14ac:dyDescent="0.3">
      <c r="A740" s="47">
        <f>IF(B740="","",SUBTOTAL(3,$B$3:B740)-1)</f>
        <v>7</v>
      </c>
      <c r="B740" s="269" t="s">
        <v>1307</v>
      </c>
      <c r="C740" s="269" t="s">
        <v>56</v>
      </c>
      <c r="D740" s="269">
        <v>377128770</v>
      </c>
      <c r="E740" s="46" t="s">
        <v>1214</v>
      </c>
      <c r="F740" s="371">
        <v>9</v>
      </c>
      <c r="G740" s="175" t="s">
        <v>415</v>
      </c>
      <c r="H740" s="405" t="s">
        <v>696</v>
      </c>
      <c r="I740" s="185"/>
      <c r="J740" s="71"/>
      <c r="K740" s="194"/>
      <c r="L740" s="67"/>
      <c r="M740" s="67"/>
      <c r="N740" s="67"/>
      <c r="O740" s="73"/>
      <c r="P740" s="237"/>
      <c r="Q740" s="255"/>
      <c r="R740" s="175" t="s">
        <v>661</v>
      </c>
      <c r="S740" s="411" t="s">
        <v>661</v>
      </c>
      <c r="T740" s="190"/>
      <c r="U740" s="22"/>
      <c r="V740" s="233"/>
      <c r="W740" s="239"/>
      <c r="X740" s="403"/>
      <c r="Y740" s="323" t="s">
        <v>1327</v>
      </c>
    </row>
    <row r="741" spans="1:25" hidden="1" x14ac:dyDescent="0.3">
      <c r="A741" s="47">
        <f>IF(B741="","",SUBTOTAL(3,$B$3:B741)-1)</f>
        <v>7</v>
      </c>
      <c r="B741" s="26" t="s">
        <v>362</v>
      </c>
      <c r="C741" s="26" t="s">
        <v>45</v>
      </c>
      <c r="D741" s="26"/>
      <c r="E741" s="46"/>
      <c r="F741" s="142">
        <v>4</v>
      </c>
      <c r="G741" s="175"/>
      <c r="H741" s="405"/>
      <c r="I741" s="185"/>
      <c r="J741" s="67"/>
      <c r="K741" s="194"/>
      <c r="L741" s="180"/>
      <c r="M741" s="180"/>
      <c r="N741" s="180"/>
      <c r="O741" s="181"/>
      <c r="P741" s="237"/>
      <c r="Q741" s="255"/>
      <c r="R741" s="175"/>
      <c r="S741" s="411"/>
      <c r="T741" s="190"/>
      <c r="U741" s="22"/>
      <c r="V741" s="233"/>
      <c r="W741" s="239"/>
      <c r="X741" s="403"/>
      <c r="Y741" s="258"/>
    </row>
    <row r="742" spans="1:25" hidden="1" x14ac:dyDescent="0.3">
      <c r="A742" s="47">
        <f>IF(B742="","",SUBTOTAL(3,$B$3:B742)-1)</f>
        <v>7</v>
      </c>
      <c r="B742" s="26" t="s">
        <v>468</v>
      </c>
      <c r="C742" s="26" t="s">
        <v>45</v>
      </c>
      <c r="D742" s="163">
        <v>964313208</v>
      </c>
      <c r="E742" s="46"/>
      <c r="F742" s="22">
        <v>5</v>
      </c>
      <c r="G742" s="176" t="s">
        <v>660</v>
      </c>
      <c r="H742" s="408"/>
      <c r="I742" s="186"/>
      <c r="J742" s="68"/>
      <c r="K742" s="195"/>
      <c r="L742" s="68"/>
      <c r="M742" s="68"/>
      <c r="N742" s="68"/>
      <c r="O742" s="73"/>
      <c r="P742" s="237"/>
      <c r="Q742" s="255"/>
      <c r="R742" s="175" t="s">
        <v>0</v>
      </c>
      <c r="S742" s="411"/>
      <c r="T742" s="190"/>
      <c r="U742" s="22"/>
      <c r="V742" s="233"/>
      <c r="W742" s="239" t="s">
        <v>0</v>
      </c>
      <c r="X742" s="403"/>
      <c r="Y742" s="258"/>
    </row>
    <row r="743" spans="1:25" hidden="1" x14ac:dyDescent="0.3">
      <c r="A743" s="47">
        <f>IF(B743="","",SUBTOTAL(3,$B$3:B743)-1)</f>
        <v>7</v>
      </c>
      <c r="B743" s="143" t="s">
        <v>266</v>
      </c>
      <c r="C743" s="143" t="s">
        <v>45</v>
      </c>
      <c r="D743" s="143">
        <v>376623620</v>
      </c>
      <c r="E743" s="46"/>
      <c r="F743" s="22">
        <v>10</v>
      </c>
      <c r="G743" s="176" t="s">
        <v>415</v>
      </c>
      <c r="H743" s="406"/>
      <c r="I743" s="188"/>
      <c r="J743" s="142"/>
      <c r="K743" s="196" t="s">
        <v>721</v>
      </c>
      <c r="L743" s="67"/>
      <c r="M743" s="67"/>
      <c r="N743" s="67"/>
      <c r="O743" s="73"/>
      <c r="P743" s="237"/>
      <c r="Q743" s="255"/>
      <c r="R743" s="175" t="s">
        <v>1</v>
      </c>
      <c r="S743" s="411"/>
      <c r="T743" s="190"/>
      <c r="U743" s="22"/>
      <c r="V743" s="233"/>
      <c r="W743" s="239"/>
      <c r="X743" s="403"/>
      <c r="Y743" s="258"/>
    </row>
    <row r="744" spans="1:25" hidden="1" x14ac:dyDescent="0.3">
      <c r="A744" s="47">
        <f>IF(B744="","",SUBTOTAL(3,$B$3:B744)-1)</f>
        <v>7</v>
      </c>
      <c r="B744" s="24" t="s">
        <v>266</v>
      </c>
      <c r="C744" s="24" t="s">
        <v>45</v>
      </c>
      <c r="D744" s="26"/>
      <c r="E744" s="46">
        <f>($AA$2-O744)*$AB$2+Q744</f>
        <v>0</v>
      </c>
      <c r="F744" s="22">
        <v>10</v>
      </c>
      <c r="G744" s="175" t="s">
        <v>415</v>
      </c>
      <c r="H744" s="405" t="s">
        <v>660</v>
      </c>
      <c r="I744" s="185"/>
      <c r="J744" s="71"/>
      <c r="K744" s="194"/>
      <c r="L744" s="67"/>
      <c r="M744" s="67"/>
      <c r="N744" s="67"/>
      <c r="O744" s="73"/>
      <c r="P744" s="237"/>
      <c r="Q744" s="255"/>
      <c r="R744" s="175" t="s">
        <v>1</v>
      </c>
      <c r="S744" s="414" t="s">
        <v>2</v>
      </c>
      <c r="T744" s="190"/>
      <c r="U744" s="22"/>
      <c r="V744" s="233"/>
      <c r="W744" s="239"/>
      <c r="X744" s="403"/>
      <c r="Y744" s="258"/>
    </row>
    <row r="745" spans="1:25" hidden="1" x14ac:dyDescent="0.3">
      <c r="A745" s="47">
        <f>IF(B745="","",SUBTOTAL(3,$B$3:B745)-1)</f>
        <v>7</v>
      </c>
      <c r="B745" s="24" t="s">
        <v>282</v>
      </c>
      <c r="C745" s="244" t="s">
        <v>45</v>
      </c>
      <c r="D745" s="24"/>
      <c r="E745" s="46">
        <f>($AA$2-O745)*$AB$2+Q745</f>
        <v>0</v>
      </c>
      <c r="F745" s="22" t="s">
        <v>1213</v>
      </c>
      <c r="G745" s="175" t="s">
        <v>660</v>
      </c>
      <c r="H745" s="405"/>
      <c r="I745" s="185"/>
      <c r="J745" s="67"/>
      <c r="K745" s="194"/>
      <c r="L745" s="67"/>
      <c r="M745" s="67"/>
      <c r="N745" s="67"/>
      <c r="O745" s="73"/>
      <c r="P745" s="237"/>
      <c r="Q745" s="255"/>
      <c r="R745" s="175" t="s">
        <v>0</v>
      </c>
      <c r="S745" s="411"/>
      <c r="T745" s="190"/>
      <c r="U745" s="22"/>
      <c r="V745" s="233"/>
      <c r="W745" s="239"/>
      <c r="X745" s="403"/>
      <c r="Y745" s="258"/>
    </row>
    <row r="746" spans="1:25" hidden="1" x14ac:dyDescent="0.3">
      <c r="A746" s="47">
        <f>IF(B746="","",SUBTOTAL(3,$B$3:B746)-1)</f>
        <v>7</v>
      </c>
      <c r="B746" s="24" t="s">
        <v>502</v>
      </c>
      <c r="C746" s="24" t="s">
        <v>45</v>
      </c>
      <c r="D746" s="163">
        <v>362931457</v>
      </c>
      <c r="E746" s="46">
        <f>($AA$2-O746)*$AB$2+Q746</f>
        <v>0</v>
      </c>
      <c r="F746" s="22">
        <v>9</v>
      </c>
      <c r="G746" s="175" t="s">
        <v>415</v>
      </c>
      <c r="H746" s="409" t="s">
        <v>660</v>
      </c>
      <c r="I746" s="187"/>
      <c r="J746" s="67"/>
      <c r="K746" s="194"/>
      <c r="L746" s="180"/>
      <c r="M746" s="180"/>
      <c r="N746" s="180"/>
      <c r="O746" s="181"/>
      <c r="P746" s="237"/>
      <c r="Q746" s="255"/>
      <c r="R746" s="175" t="s">
        <v>0</v>
      </c>
      <c r="S746" s="411" t="s">
        <v>0</v>
      </c>
      <c r="T746" s="190"/>
      <c r="U746" s="22"/>
      <c r="V746" s="233"/>
      <c r="W746" s="239"/>
      <c r="X746" s="403"/>
      <c r="Y746" s="258"/>
    </row>
    <row r="747" spans="1:25" hidden="1" x14ac:dyDescent="0.3">
      <c r="A747" s="47">
        <f>IF(B747="","",SUBTOTAL(3,$B$3:B747)-1)</f>
        <v>7</v>
      </c>
      <c r="B747" s="24" t="s">
        <v>188</v>
      </c>
      <c r="C747" s="24" t="s">
        <v>45</v>
      </c>
      <c r="D747" s="24">
        <v>939740830</v>
      </c>
      <c r="E747" s="46">
        <f>($AA$2-O747)*$AB$2+Q747</f>
        <v>0</v>
      </c>
      <c r="F747" s="22">
        <v>9</v>
      </c>
      <c r="G747" s="175"/>
      <c r="H747" s="409" t="s">
        <v>660</v>
      </c>
      <c r="I747" s="187" t="s">
        <v>661</v>
      </c>
      <c r="J747" s="67"/>
      <c r="K747" s="194"/>
      <c r="L747" s="180"/>
      <c r="M747" s="180"/>
      <c r="N747" s="180"/>
      <c r="O747" s="181"/>
      <c r="P747" s="237"/>
      <c r="Q747" s="255"/>
      <c r="R747" s="175"/>
      <c r="S747" s="411" t="s">
        <v>1</v>
      </c>
      <c r="T747" s="190" t="s">
        <v>1</v>
      </c>
      <c r="U747" s="22"/>
      <c r="V747" s="233"/>
      <c r="W747" s="239"/>
      <c r="X747" s="403"/>
      <c r="Y747" s="258"/>
    </row>
    <row r="748" spans="1:25" hidden="1" x14ac:dyDescent="0.3">
      <c r="A748" s="47">
        <f>IF(B748="","",SUBTOTAL(3,$B$3:B748)-1)</f>
        <v>7</v>
      </c>
      <c r="B748" s="24" t="s">
        <v>1087</v>
      </c>
      <c r="C748" s="24" t="s">
        <v>45</v>
      </c>
      <c r="D748" s="25"/>
      <c r="E748" s="46"/>
      <c r="F748" s="22">
        <v>9</v>
      </c>
      <c r="G748" s="175" t="s">
        <v>415</v>
      </c>
      <c r="H748" s="405"/>
      <c r="I748" s="185"/>
      <c r="J748" s="67"/>
      <c r="K748" s="194"/>
      <c r="L748" s="180"/>
      <c r="M748" s="180"/>
      <c r="N748" s="180"/>
      <c r="O748" s="181"/>
      <c r="P748" s="237"/>
      <c r="Q748" s="255"/>
      <c r="R748" s="175" t="s">
        <v>2</v>
      </c>
      <c r="S748" s="411"/>
      <c r="T748" s="190"/>
      <c r="U748" s="22"/>
      <c r="V748" s="233"/>
      <c r="W748" s="239"/>
      <c r="X748" s="403"/>
      <c r="Y748" s="258"/>
    </row>
    <row r="749" spans="1:25" hidden="1" x14ac:dyDescent="0.3">
      <c r="A749" s="47">
        <f>IF(B749="","",SUBTOTAL(3,$B$3:B749)-1)</f>
        <v>7</v>
      </c>
      <c r="B749" s="24" t="s">
        <v>588</v>
      </c>
      <c r="C749" s="24" t="s">
        <v>649</v>
      </c>
      <c r="D749" s="163"/>
      <c r="E749" s="46">
        <f>($AA$2-O749)*$AB$2+Q749</f>
        <v>0</v>
      </c>
      <c r="F749" s="22">
        <v>11</v>
      </c>
      <c r="G749" s="175"/>
      <c r="H749" s="405" t="s">
        <v>635</v>
      </c>
      <c r="I749" s="186"/>
      <c r="J749" s="68"/>
      <c r="K749" s="195"/>
      <c r="L749" s="68"/>
      <c r="M749" s="68"/>
      <c r="N749" s="68"/>
      <c r="O749" s="73"/>
      <c r="P749" s="237"/>
      <c r="Q749" s="255"/>
      <c r="R749" s="175"/>
      <c r="S749" s="411" t="s">
        <v>1</v>
      </c>
      <c r="T749" s="190"/>
      <c r="U749" s="22"/>
      <c r="V749" s="233"/>
      <c r="W749" s="239"/>
      <c r="X749" s="403"/>
      <c r="Y749" s="258"/>
    </row>
    <row r="750" spans="1:25" hidden="1" x14ac:dyDescent="0.3">
      <c r="A750" s="47">
        <f>IF(B750="","",SUBTOTAL(3,$B$3:B750)-1)</f>
        <v>7</v>
      </c>
      <c r="B750" s="143" t="s">
        <v>851</v>
      </c>
      <c r="C750" s="146" t="s">
        <v>649</v>
      </c>
      <c r="D750" s="143"/>
      <c r="E750" s="46"/>
      <c r="F750" s="21" t="s">
        <v>1213</v>
      </c>
      <c r="G750" s="175"/>
      <c r="H750" s="406"/>
      <c r="I750" s="188"/>
      <c r="J750" s="142"/>
      <c r="K750" s="196"/>
      <c r="L750" s="67"/>
      <c r="M750" s="67"/>
      <c r="N750" s="67"/>
      <c r="O750" s="73"/>
      <c r="P750" s="237"/>
      <c r="Q750" s="255"/>
      <c r="R750" s="175"/>
      <c r="S750" s="411"/>
      <c r="T750" s="190"/>
      <c r="U750" s="22"/>
      <c r="V750" s="233"/>
      <c r="W750" s="239"/>
      <c r="X750" s="403"/>
      <c r="Y750" s="258"/>
    </row>
    <row r="751" spans="1:25" hidden="1" x14ac:dyDescent="0.3">
      <c r="A751" s="47">
        <f>IF(B751="","",SUBTOTAL(3,$B$3:B751)-1)</f>
        <v>7</v>
      </c>
      <c r="B751" s="26" t="s">
        <v>147</v>
      </c>
      <c r="C751" s="26" t="s">
        <v>17</v>
      </c>
      <c r="D751" s="163"/>
      <c r="E751" s="46">
        <f>($AA$2-O751)*$AB$2+Q751</f>
        <v>0</v>
      </c>
      <c r="F751" s="142">
        <v>6</v>
      </c>
      <c r="G751" s="176" t="s">
        <v>660</v>
      </c>
      <c r="H751" s="405" t="s">
        <v>634</v>
      </c>
      <c r="I751" s="185"/>
      <c r="J751" s="67"/>
      <c r="K751" s="194"/>
      <c r="L751" s="67"/>
      <c r="M751" s="67"/>
      <c r="N751" s="67"/>
      <c r="O751" s="73"/>
      <c r="P751" s="237" t="s">
        <v>1</v>
      </c>
      <c r="Q751" s="255"/>
      <c r="R751" s="175" t="s">
        <v>0</v>
      </c>
      <c r="S751" s="411"/>
      <c r="T751" s="190"/>
      <c r="U751" s="22"/>
      <c r="V751" s="233"/>
      <c r="W751" s="239" t="s">
        <v>848</v>
      </c>
      <c r="X751" s="403"/>
      <c r="Y751" s="258"/>
    </row>
    <row r="752" spans="1:25" hidden="1" x14ac:dyDescent="0.3">
      <c r="A752" s="47">
        <f>IF(B752="","",SUBTOTAL(3,$B$3:B752)-1)</f>
        <v>7</v>
      </c>
      <c r="B752" s="3" t="s">
        <v>147</v>
      </c>
      <c r="C752" s="3" t="s">
        <v>17</v>
      </c>
      <c r="D752" s="22"/>
      <c r="E752" s="46" t="s">
        <v>1214</v>
      </c>
      <c r="F752" s="22">
        <v>6</v>
      </c>
      <c r="G752" s="175" t="s">
        <v>415</v>
      </c>
      <c r="H752" s="405"/>
      <c r="I752" s="185"/>
      <c r="J752" s="71"/>
      <c r="K752" s="194"/>
      <c r="L752" s="67"/>
      <c r="M752" s="67"/>
      <c r="N752" s="67"/>
      <c r="O752" s="73"/>
      <c r="P752" s="237"/>
      <c r="Q752" s="255"/>
      <c r="R752" s="175" t="s">
        <v>0</v>
      </c>
      <c r="S752" s="408"/>
      <c r="T752" s="190"/>
      <c r="U752" s="22"/>
      <c r="V752" s="233"/>
      <c r="W752" s="239"/>
      <c r="X752" s="403"/>
      <c r="Y752" s="258"/>
    </row>
    <row r="753" spans="1:25" hidden="1" x14ac:dyDescent="0.3">
      <c r="A753" s="47">
        <f>IF(B753="","",SUBTOTAL(3,$B$3:B753)-1)</f>
        <v>7</v>
      </c>
      <c r="B753" s="143" t="s">
        <v>977</v>
      </c>
      <c r="C753" s="143" t="s">
        <v>788</v>
      </c>
      <c r="D753" s="143"/>
      <c r="E753" s="46"/>
      <c r="F753" s="22">
        <v>5</v>
      </c>
      <c r="G753" s="176"/>
      <c r="H753" s="407"/>
      <c r="I753" s="189" t="s">
        <v>634</v>
      </c>
      <c r="J753" s="142"/>
      <c r="K753" s="196"/>
      <c r="L753" s="67"/>
      <c r="M753" s="67"/>
      <c r="N753" s="67"/>
      <c r="O753" s="73"/>
      <c r="P753" s="237"/>
      <c r="Q753" s="255"/>
      <c r="R753" s="175"/>
      <c r="S753" s="411"/>
      <c r="T753" s="190" t="s">
        <v>0</v>
      </c>
      <c r="U753" s="22"/>
      <c r="V753" s="233"/>
      <c r="W753" s="239"/>
      <c r="X753" s="403"/>
      <c r="Y753" s="258"/>
    </row>
    <row r="754" spans="1:25" hidden="1" x14ac:dyDescent="0.3">
      <c r="A754" s="47">
        <f>IF(B754="","",SUBTOTAL(3,$B$3:B754)-1)</f>
        <v>7</v>
      </c>
      <c r="B754" s="143" t="s">
        <v>787</v>
      </c>
      <c r="C754" s="143" t="s">
        <v>788</v>
      </c>
      <c r="D754" s="143"/>
      <c r="E754" s="46"/>
      <c r="F754" s="142">
        <v>7</v>
      </c>
      <c r="G754" s="175" t="s">
        <v>415</v>
      </c>
      <c r="H754" s="406" t="s">
        <v>635</v>
      </c>
      <c r="I754" s="188"/>
      <c r="J754" s="142"/>
      <c r="K754" s="196" t="s">
        <v>721</v>
      </c>
      <c r="L754" s="67"/>
      <c r="M754" s="67"/>
      <c r="N754" s="67"/>
      <c r="O754" s="73"/>
      <c r="P754" s="237"/>
      <c r="Q754" s="255"/>
      <c r="R754" s="175" t="s">
        <v>0</v>
      </c>
      <c r="S754" s="411" t="s">
        <v>1</v>
      </c>
      <c r="T754" s="190"/>
      <c r="U754" s="22"/>
      <c r="V754" s="233"/>
      <c r="W754" s="239"/>
      <c r="X754" s="403"/>
      <c r="Y754" s="258"/>
    </row>
    <row r="755" spans="1:25" hidden="1" x14ac:dyDescent="0.3">
      <c r="A755" s="47">
        <f>IF(B755="","",SUBTOTAL(3,$B$3:B755)-1)</f>
        <v>7</v>
      </c>
      <c r="B755" s="24" t="s">
        <v>355</v>
      </c>
      <c r="C755" s="24" t="s">
        <v>125</v>
      </c>
      <c r="D755" s="163"/>
      <c r="E755" s="46">
        <f>($AA$2-O755)*$AB$2+Q755</f>
        <v>0</v>
      </c>
      <c r="F755" s="22">
        <v>12</v>
      </c>
      <c r="G755" s="175" t="s">
        <v>660</v>
      </c>
      <c r="H755" s="405"/>
      <c r="I755" s="185"/>
      <c r="J755" s="67"/>
      <c r="K755" s="194"/>
      <c r="L755" s="67"/>
      <c r="M755" s="67"/>
      <c r="N755" s="67"/>
      <c r="O755" s="73"/>
      <c r="P755" s="237"/>
      <c r="Q755" s="255"/>
      <c r="R755" s="175" t="s">
        <v>0</v>
      </c>
      <c r="S755" s="411"/>
      <c r="T755" s="190"/>
      <c r="U755" s="22"/>
      <c r="V755" s="233"/>
      <c r="W755" s="239"/>
      <c r="X755" s="403"/>
      <c r="Y755" s="258"/>
    </row>
    <row r="756" spans="1:25" hidden="1" x14ac:dyDescent="0.3">
      <c r="A756" s="47">
        <f>IF(B756="","",SUBTOTAL(3,$B$3:B756)-1)</f>
        <v>7</v>
      </c>
      <c r="B756" s="143" t="s">
        <v>924</v>
      </c>
      <c r="C756" s="143" t="s">
        <v>923</v>
      </c>
      <c r="D756" s="143"/>
      <c r="E756" s="46"/>
      <c r="F756" s="22">
        <v>9</v>
      </c>
      <c r="G756" s="175"/>
      <c r="H756" s="409"/>
      <c r="I756" s="188"/>
      <c r="J756" s="142"/>
      <c r="K756" s="196"/>
      <c r="L756" s="67"/>
      <c r="M756" s="67"/>
      <c r="N756" s="67"/>
      <c r="O756" s="73"/>
      <c r="P756" s="237"/>
      <c r="Q756" s="255"/>
      <c r="R756" s="175"/>
      <c r="S756" s="411"/>
      <c r="T756" s="190"/>
      <c r="U756" s="22"/>
      <c r="V756" s="233"/>
      <c r="W756" s="239"/>
      <c r="X756" s="403"/>
      <c r="Y756" s="258"/>
    </row>
    <row r="757" spans="1:25" hidden="1" x14ac:dyDescent="0.3">
      <c r="A757" s="47">
        <f>IF(B757="","",SUBTOTAL(3,$B$3:B757)-1)</f>
        <v>7</v>
      </c>
      <c r="B757" s="25" t="s">
        <v>208</v>
      </c>
      <c r="C757" s="25" t="s">
        <v>61</v>
      </c>
      <c r="D757" s="24"/>
      <c r="E757" s="46">
        <f>($AA$2-O757)*$AB$2+Q757</f>
        <v>0</v>
      </c>
      <c r="F757" s="21">
        <v>9</v>
      </c>
      <c r="G757" s="175" t="s">
        <v>415</v>
      </c>
      <c r="H757" s="409" t="s">
        <v>635</v>
      </c>
      <c r="I757" s="187" t="s">
        <v>634</v>
      </c>
      <c r="J757" s="67" t="s">
        <v>661</v>
      </c>
      <c r="K757" s="194"/>
      <c r="L757" s="180"/>
      <c r="M757" s="180"/>
      <c r="N757" s="180"/>
      <c r="O757" s="181"/>
      <c r="P757" s="237"/>
      <c r="Q757" s="255"/>
      <c r="R757" s="175" t="s">
        <v>1</v>
      </c>
      <c r="S757" s="411" t="s">
        <v>2</v>
      </c>
      <c r="T757" s="190" t="s">
        <v>0</v>
      </c>
      <c r="U757" s="22" t="s">
        <v>1</v>
      </c>
      <c r="V757" s="233"/>
      <c r="W757" s="239"/>
      <c r="X757" s="403"/>
      <c r="Y757" s="258"/>
    </row>
    <row r="758" spans="1:25" hidden="1" x14ac:dyDescent="0.3">
      <c r="A758" s="47">
        <f>IF(B758="","",SUBTOTAL(3,$B$3:B758)-1)</f>
        <v>7</v>
      </c>
      <c r="B758" s="3" t="s">
        <v>209</v>
      </c>
      <c r="C758" s="26" t="s">
        <v>92</v>
      </c>
      <c r="D758" s="25"/>
      <c r="E758" s="46"/>
      <c r="F758" s="21">
        <v>2</v>
      </c>
      <c r="G758" s="176"/>
      <c r="H758" s="405" t="s">
        <v>634</v>
      </c>
      <c r="I758" s="185" t="s">
        <v>634</v>
      </c>
      <c r="J758" s="67"/>
      <c r="K758" s="194"/>
      <c r="L758" s="67"/>
      <c r="M758" s="67"/>
      <c r="N758" s="67"/>
      <c r="O758" s="73"/>
      <c r="P758" s="237"/>
      <c r="Q758" s="255"/>
      <c r="R758" s="175"/>
      <c r="S758" s="411"/>
      <c r="T758" s="190" t="s">
        <v>0</v>
      </c>
      <c r="U758" s="22"/>
      <c r="V758" s="233"/>
      <c r="W758" s="239"/>
      <c r="X758" s="403"/>
      <c r="Y758" s="258"/>
    </row>
    <row r="759" spans="1:25" hidden="1" x14ac:dyDescent="0.3">
      <c r="A759" s="47">
        <f>IF(B759="","",SUBTOTAL(3,$B$3:B759)-1)</f>
        <v>7</v>
      </c>
      <c r="B759" s="3" t="s">
        <v>1168</v>
      </c>
      <c r="C759" s="26" t="s">
        <v>92</v>
      </c>
      <c r="D759" s="25"/>
      <c r="E759" s="46"/>
      <c r="F759" s="22">
        <v>2</v>
      </c>
      <c r="G759" s="176"/>
      <c r="H759" s="405" t="s">
        <v>634</v>
      </c>
      <c r="I759" s="185" t="s">
        <v>634</v>
      </c>
      <c r="J759" s="67"/>
      <c r="K759" s="194"/>
      <c r="L759" s="67"/>
      <c r="M759" s="67"/>
      <c r="N759" s="67"/>
      <c r="O759" s="73"/>
      <c r="P759" s="237"/>
      <c r="Q759" s="255"/>
      <c r="R759" s="175"/>
      <c r="S759" s="411"/>
      <c r="T759" s="190" t="s">
        <v>0</v>
      </c>
      <c r="U759" s="22"/>
      <c r="V759" s="233"/>
      <c r="W759" s="239"/>
      <c r="X759" s="403"/>
      <c r="Y759" s="258"/>
    </row>
    <row r="760" spans="1:25" hidden="1" x14ac:dyDescent="0.3">
      <c r="A760" s="47">
        <f>IF(B760="","",SUBTOTAL(3,$B$3:B760)-1)</f>
        <v>7</v>
      </c>
      <c r="B760" s="3" t="s">
        <v>1171</v>
      </c>
      <c r="C760" s="26" t="s">
        <v>92</v>
      </c>
      <c r="D760" s="25"/>
      <c r="E760" s="46"/>
      <c r="F760" s="22">
        <v>2</v>
      </c>
      <c r="G760" s="176"/>
      <c r="H760" s="405" t="s">
        <v>634</v>
      </c>
      <c r="I760" s="185" t="s">
        <v>634</v>
      </c>
      <c r="J760" s="67"/>
      <c r="K760" s="194"/>
      <c r="L760" s="67"/>
      <c r="M760" s="67"/>
      <c r="N760" s="67"/>
      <c r="O760" s="73"/>
      <c r="P760" s="237"/>
      <c r="Q760" s="255"/>
      <c r="R760" s="175"/>
      <c r="S760" s="411"/>
      <c r="T760" s="190" t="s">
        <v>0</v>
      </c>
      <c r="U760" s="22"/>
      <c r="V760" s="233"/>
      <c r="W760" s="239"/>
      <c r="X760" s="403"/>
      <c r="Y760" s="258"/>
    </row>
    <row r="761" spans="1:25" hidden="1" x14ac:dyDescent="0.3">
      <c r="A761" s="47">
        <f>IF(B761="","",SUBTOTAL(3,$B$3:B761)-1)</f>
        <v>7</v>
      </c>
      <c r="B761" s="26" t="s">
        <v>827</v>
      </c>
      <c r="C761" s="26" t="s">
        <v>92</v>
      </c>
      <c r="D761" s="26" t="s">
        <v>865</v>
      </c>
      <c r="E761" s="46"/>
      <c r="F761" s="22">
        <v>2</v>
      </c>
      <c r="G761" s="175"/>
      <c r="H761" s="405" t="s">
        <v>860</v>
      </c>
      <c r="I761" s="185" t="s">
        <v>860</v>
      </c>
      <c r="J761" s="67"/>
      <c r="K761" s="194" t="s">
        <v>721</v>
      </c>
      <c r="L761" s="180"/>
      <c r="M761" s="180"/>
      <c r="N761" s="180"/>
      <c r="O761" s="181"/>
      <c r="P761" s="237"/>
      <c r="Q761" s="255"/>
      <c r="R761" s="175"/>
      <c r="S761" s="411"/>
      <c r="T761" s="190" t="s">
        <v>1</v>
      </c>
      <c r="U761" s="22"/>
      <c r="V761" s="233"/>
      <c r="W761" s="239"/>
      <c r="X761" s="403"/>
      <c r="Y761" s="258"/>
    </row>
    <row r="762" spans="1:25" hidden="1" x14ac:dyDescent="0.3">
      <c r="A762" s="47">
        <f>IF(B762="","",SUBTOTAL(3,$B$3:B762)-1)</f>
        <v>7</v>
      </c>
      <c r="B762" s="380" t="s">
        <v>1363</v>
      </c>
      <c r="C762" s="380" t="s">
        <v>92</v>
      </c>
      <c r="D762" s="380">
        <v>378031125</v>
      </c>
      <c r="E762" s="46" t="s">
        <v>1356</v>
      </c>
      <c r="F762" s="382">
        <v>3</v>
      </c>
      <c r="G762" s="175" t="s">
        <v>826</v>
      </c>
      <c r="H762" s="405"/>
      <c r="I762" s="185"/>
      <c r="J762" s="71"/>
      <c r="K762" s="194"/>
      <c r="L762" s="67"/>
      <c r="M762" s="67"/>
      <c r="N762" s="67"/>
      <c r="O762" s="73"/>
      <c r="P762" s="237"/>
      <c r="Q762" s="255"/>
      <c r="R762" s="175" t="s">
        <v>1</v>
      </c>
      <c r="S762" s="411"/>
      <c r="T762" s="190"/>
      <c r="U762" s="22"/>
      <c r="V762" s="233"/>
      <c r="W762" s="239"/>
      <c r="X762" s="403"/>
      <c r="Y762" s="383" t="s">
        <v>1376</v>
      </c>
    </row>
    <row r="763" spans="1:25" hidden="1" x14ac:dyDescent="0.3">
      <c r="A763" s="47">
        <f>IF(B763="","",SUBTOTAL(3,$B$3:B763)-1)</f>
        <v>7</v>
      </c>
      <c r="B763" s="143" t="s">
        <v>817</v>
      </c>
      <c r="C763" s="143" t="s">
        <v>92</v>
      </c>
      <c r="D763" s="143">
        <v>964074945</v>
      </c>
      <c r="E763" s="46"/>
      <c r="F763" s="142">
        <v>4</v>
      </c>
      <c r="G763" s="175" t="s">
        <v>826</v>
      </c>
      <c r="H763" s="406"/>
      <c r="I763" s="188"/>
      <c r="J763" s="142"/>
      <c r="K763" s="196"/>
      <c r="L763" s="67"/>
      <c r="M763" s="67"/>
      <c r="N763" s="67"/>
      <c r="O763" s="73"/>
      <c r="P763" s="237"/>
      <c r="Q763" s="255"/>
      <c r="R763" s="175" t="s">
        <v>1</v>
      </c>
      <c r="S763" s="411"/>
      <c r="T763" s="190"/>
      <c r="U763" s="22"/>
      <c r="V763" s="233"/>
      <c r="W763" s="239"/>
      <c r="X763" s="403"/>
      <c r="Y763" s="258"/>
    </row>
    <row r="764" spans="1:25" hidden="1" x14ac:dyDescent="0.3">
      <c r="A764" s="47">
        <f>IF(B764="","",SUBTOTAL(3,$B$3:B764)-1)</f>
        <v>7</v>
      </c>
      <c r="B764" s="24" t="s">
        <v>833</v>
      </c>
      <c r="C764" s="24" t="s">
        <v>92</v>
      </c>
      <c r="D764" s="163"/>
      <c r="E764" s="46"/>
      <c r="F764" s="142">
        <v>4</v>
      </c>
      <c r="G764" s="175" t="s">
        <v>826</v>
      </c>
      <c r="H764" s="406"/>
      <c r="I764" s="188" t="s">
        <v>634</v>
      </c>
      <c r="J764" s="142"/>
      <c r="K764" s="196"/>
      <c r="L764" s="67"/>
      <c r="M764" s="67"/>
      <c r="N764" s="67"/>
      <c r="O764" s="73"/>
      <c r="P764" s="237"/>
      <c r="Q764" s="255"/>
      <c r="R764" s="175" t="s">
        <v>1</v>
      </c>
      <c r="S764" s="411"/>
      <c r="T764" s="190" t="s">
        <v>0</v>
      </c>
      <c r="U764" s="22"/>
      <c r="V764" s="233"/>
      <c r="W764" s="239"/>
      <c r="X764" s="403"/>
      <c r="Y764" s="258"/>
    </row>
    <row r="765" spans="1:25" hidden="1" x14ac:dyDescent="0.3">
      <c r="A765" s="47">
        <f>IF(B765="","",SUBTOTAL(3,$B$3:B765)-1)</f>
        <v>7</v>
      </c>
      <c r="B765" s="265" t="s">
        <v>1258</v>
      </c>
      <c r="C765" s="265" t="s">
        <v>92</v>
      </c>
      <c r="D765" s="300">
        <v>783846657</v>
      </c>
      <c r="E765" s="46" t="s">
        <v>1214</v>
      </c>
      <c r="F765" s="22">
        <v>6</v>
      </c>
      <c r="G765" s="175" t="s">
        <v>1332</v>
      </c>
      <c r="H765" s="405"/>
      <c r="I765" s="185"/>
      <c r="J765" s="71"/>
      <c r="K765" s="194"/>
      <c r="L765" s="67"/>
      <c r="M765" s="67"/>
      <c r="N765" s="67"/>
      <c r="O765" s="73"/>
      <c r="P765" s="237"/>
      <c r="Q765" s="255"/>
      <c r="R765" s="318" t="s">
        <v>1</v>
      </c>
      <c r="S765" s="408" t="s">
        <v>1</v>
      </c>
      <c r="T765" s="190"/>
      <c r="U765" s="22"/>
      <c r="V765" s="233"/>
      <c r="W765" s="239"/>
      <c r="X765" s="403"/>
      <c r="Y765" s="258"/>
    </row>
    <row r="766" spans="1:25" hidden="1" x14ac:dyDescent="0.3">
      <c r="A766" s="47">
        <f>IF(B766="","",SUBTOTAL(3,$B$3:B766)-1)</f>
        <v>7</v>
      </c>
      <c r="B766" s="278" t="s">
        <v>1258</v>
      </c>
      <c r="C766" s="278" t="s">
        <v>92</v>
      </c>
      <c r="D766" s="304">
        <v>783846657</v>
      </c>
      <c r="E766" s="46" t="s">
        <v>1214</v>
      </c>
      <c r="F766" s="22">
        <v>6</v>
      </c>
      <c r="G766" s="175" t="s">
        <v>1332</v>
      </c>
      <c r="H766" s="405"/>
      <c r="I766" s="185"/>
      <c r="J766" s="71"/>
      <c r="K766" s="194"/>
      <c r="L766" s="67"/>
      <c r="M766" s="67"/>
      <c r="N766" s="67"/>
      <c r="O766" s="73"/>
      <c r="P766" s="237"/>
      <c r="Q766" s="255"/>
      <c r="R766" s="318" t="s">
        <v>2</v>
      </c>
      <c r="S766" s="408" t="s">
        <v>1</v>
      </c>
      <c r="T766" s="190"/>
      <c r="U766" s="22"/>
      <c r="V766" s="233"/>
      <c r="W766" s="239"/>
      <c r="X766" s="403"/>
      <c r="Y766" s="258"/>
    </row>
    <row r="767" spans="1:25" hidden="1" x14ac:dyDescent="0.3">
      <c r="A767" s="47">
        <f>IF(B767="","",SUBTOTAL(3,$B$3:B767)-1)</f>
        <v>7</v>
      </c>
      <c r="B767" s="25" t="s">
        <v>252</v>
      </c>
      <c r="C767" s="25" t="s">
        <v>92</v>
      </c>
      <c r="D767" s="163"/>
      <c r="E767" s="46">
        <f>($AA$2-O767)*$AB$2+Q767</f>
        <v>0</v>
      </c>
      <c r="F767" s="22">
        <v>10</v>
      </c>
      <c r="G767" s="175" t="s">
        <v>415</v>
      </c>
      <c r="H767" s="405" t="s">
        <v>635</v>
      </c>
      <c r="I767" s="185" t="s">
        <v>661</v>
      </c>
      <c r="J767" s="71"/>
      <c r="K767" s="194"/>
      <c r="L767" s="67"/>
      <c r="M767" s="67"/>
      <c r="N767" s="67"/>
      <c r="O767" s="73"/>
      <c r="P767" s="237"/>
      <c r="Q767" s="255"/>
      <c r="R767" s="175" t="s">
        <v>0</v>
      </c>
      <c r="S767" s="411" t="s">
        <v>0</v>
      </c>
      <c r="T767" s="190" t="s">
        <v>1</v>
      </c>
      <c r="U767" s="22"/>
      <c r="V767" s="233"/>
      <c r="W767" s="239"/>
      <c r="X767" s="403"/>
      <c r="Y767" s="258"/>
    </row>
    <row r="768" spans="1:25" hidden="1" x14ac:dyDescent="0.3">
      <c r="A768" s="47">
        <f>IF(B768="","",SUBTOTAL(3,$B$3:B768)-1)</f>
        <v>7</v>
      </c>
      <c r="B768" s="24" t="s">
        <v>292</v>
      </c>
      <c r="C768" s="24" t="s">
        <v>92</v>
      </c>
      <c r="D768" s="163"/>
      <c r="E768" s="46">
        <f>($AA$2-O768)*$AB$2+Q768</f>
        <v>0</v>
      </c>
      <c r="F768" s="22">
        <v>10</v>
      </c>
      <c r="G768" s="175" t="s">
        <v>415</v>
      </c>
      <c r="H768" s="405" t="s">
        <v>635</v>
      </c>
      <c r="I768" s="185"/>
      <c r="J768" s="71"/>
      <c r="K768" s="194"/>
      <c r="L768" s="180"/>
      <c r="M768" s="180"/>
      <c r="N768" s="180"/>
      <c r="O768" s="181"/>
      <c r="P768" s="237"/>
      <c r="Q768" s="255"/>
      <c r="R768" s="175" t="s">
        <v>1</v>
      </c>
      <c r="S768" s="411" t="s">
        <v>1</v>
      </c>
      <c r="T768" s="190"/>
      <c r="U768" s="22"/>
      <c r="V768" s="233"/>
      <c r="W768" s="239"/>
      <c r="X768" s="403"/>
      <c r="Y768" s="258"/>
    </row>
    <row r="769" spans="1:25" hidden="1" x14ac:dyDescent="0.3">
      <c r="A769" s="47">
        <f>IF(B769="","",SUBTOTAL(3,$B$3:B769)-1)</f>
        <v>7</v>
      </c>
      <c r="B769" s="24" t="s">
        <v>493</v>
      </c>
      <c r="C769" s="24" t="s">
        <v>92</v>
      </c>
      <c r="D769" s="24">
        <v>907676821</v>
      </c>
      <c r="E769" s="46">
        <f>($AA$2-O769)*$AB$2+Q769</f>
        <v>0</v>
      </c>
      <c r="F769" s="22">
        <v>11</v>
      </c>
      <c r="G769" s="175" t="s">
        <v>660</v>
      </c>
      <c r="H769" s="405" t="s">
        <v>635</v>
      </c>
      <c r="I769" s="185"/>
      <c r="J769" s="67"/>
      <c r="K769" s="194"/>
      <c r="L769" s="180"/>
      <c r="M769" s="180"/>
      <c r="N769" s="180"/>
      <c r="O769" s="181"/>
      <c r="P769" s="237"/>
      <c r="Q769" s="255"/>
      <c r="R769" s="175" t="s">
        <v>1</v>
      </c>
      <c r="S769" s="411" t="s">
        <v>0</v>
      </c>
      <c r="T769" s="190"/>
      <c r="U769" s="22"/>
      <c r="V769" s="233"/>
      <c r="W769" s="239"/>
      <c r="X769" s="403"/>
      <c r="Y769" s="258"/>
    </row>
    <row r="770" spans="1:25" hidden="1" x14ac:dyDescent="0.3">
      <c r="A770" s="47">
        <f>IF(B770="","",SUBTOTAL(3,$B$3:B770)-1)</f>
        <v>7</v>
      </c>
      <c r="B770" s="24" t="s">
        <v>323</v>
      </c>
      <c r="C770" s="24" t="s">
        <v>92</v>
      </c>
      <c r="D770" s="25">
        <v>394202755</v>
      </c>
      <c r="E770" s="46">
        <f>($AA$2-O770)*$AB$2+Q770</f>
        <v>0</v>
      </c>
      <c r="F770" s="22">
        <v>11</v>
      </c>
      <c r="G770" s="175" t="s">
        <v>660</v>
      </c>
      <c r="H770" s="405" t="s">
        <v>1</v>
      </c>
      <c r="I770" s="185" t="s">
        <v>661</v>
      </c>
      <c r="J770" s="67"/>
      <c r="K770" s="194" t="s">
        <v>660</v>
      </c>
      <c r="L770" s="180"/>
      <c r="M770" s="180"/>
      <c r="N770" s="180"/>
      <c r="O770" s="181"/>
      <c r="P770" s="237"/>
      <c r="Q770" s="255"/>
      <c r="R770" s="175" t="s">
        <v>1</v>
      </c>
      <c r="S770" s="411" t="s">
        <v>1</v>
      </c>
      <c r="T770" s="190">
        <v>2</v>
      </c>
      <c r="U770" s="22"/>
      <c r="V770" s="233" t="s">
        <v>848</v>
      </c>
      <c r="W770" s="239"/>
      <c r="X770" s="403"/>
      <c r="Y770" s="258"/>
    </row>
    <row r="771" spans="1:25" hidden="1" x14ac:dyDescent="0.3">
      <c r="A771" s="47">
        <f>IF(B771="","",SUBTOTAL(3,$B$3:B771)-1)</f>
        <v>7</v>
      </c>
      <c r="B771" s="143" t="s">
        <v>833</v>
      </c>
      <c r="C771" s="143" t="s">
        <v>92</v>
      </c>
      <c r="D771" s="143">
        <v>349579589</v>
      </c>
      <c r="E771" s="46"/>
      <c r="F771" s="142">
        <v>7</v>
      </c>
      <c r="G771" s="175" t="s">
        <v>415</v>
      </c>
      <c r="H771" s="406" t="s">
        <v>696</v>
      </c>
      <c r="I771" s="188" t="s">
        <v>634</v>
      </c>
      <c r="J771" s="142"/>
      <c r="K771" s="196" t="s">
        <v>721</v>
      </c>
      <c r="L771" s="67"/>
      <c r="M771" s="67"/>
      <c r="N771" s="67"/>
      <c r="O771" s="73"/>
      <c r="P771" s="237"/>
      <c r="Q771" s="255"/>
      <c r="R771" s="175" t="s">
        <v>0</v>
      </c>
      <c r="S771" s="411" t="s">
        <v>848</v>
      </c>
      <c r="T771" s="190" t="s">
        <v>0</v>
      </c>
      <c r="U771" s="22"/>
      <c r="V771" s="233"/>
      <c r="W771" s="239"/>
      <c r="X771" s="403"/>
      <c r="Y771" s="258"/>
    </row>
    <row r="772" spans="1:25" hidden="1" x14ac:dyDescent="0.3">
      <c r="A772" s="47">
        <f>IF(B772="","",SUBTOTAL(3,$B$3:B772)-1)</f>
        <v>7</v>
      </c>
      <c r="B772" s="26" t="s">
        <v>447</v>
      </c>
      <c r="C772" s="26" t="s">
        <v>92</v>
      </c>
      <c r="D772" s="26">
        <v>968385969</v>
      </c>
      <c r="E772" s="46">
        <f>($AA$2-O772)*$AB$2+Q772</f>
        <v>0</v>
      </c>
      <c r="F772" s="22">
        <v>8</v>
      </c>
      <c r="G772" s="175"/>
      <c r="H772" s="405" t="s">
        <v>2</v>
      </c>
      <c r="I772" s="185" t="s">
        <v>634</v>
      </c>
      <c r="J772" s="67"/>
      <c r="K772" s="194"/>
      <c r="L772" s="180"/>
      <c r="M772" s="180"/>
      <c r="N772" s="180"/>
      <c r="O772" s="181"/>
      <c r="P772" s="237"/>
      <c r="Q772" s="255"/>
      <c r="R772" s="175"/>
      <c r="S772" s="411" t="s">
        <v>848</v>
      </c>
      <c r="T772" s="190" t="s">
        <v>0</v>
      </c>
      <c r="U772" s="22"/>
      <c r="V772" s="233"/>
      <c r="W772" s="239"/>
      <c r="X772" s="403"/>
      <c r="Y772" s="258"/>
    </row>
    <row r="773" spans="1:25" hidden="1" x14ac:dyDescent="0.3">
      <c r="A773" s="47">
        <f>IF(B773="","",SUBTOTAL(3,$B$3:B773)-1)</f>
        <v>7</v>
      </c>
      <c r="B773" s="26" t="s">
        <v>442</v>
      </c>
      <c r="C773" s="26" t="s">
        <v>92</v>
      </c>
      <c r="D773" s="26">
        <v>902879469</v>
      </c>
      <c r="E773" s="46">
        <f>($AA$2-O773)*$AB$2+Q773</f>
        <v>0</v>
      </c>
      <c r="F773" s="22">
        <v>8</v>
      </c>
      <c r="G773" s="175" t="s">
        <v>415</v>
      </c>
      <c r="H773" s="405" t="s">
        <v>660</v>
      </c>
      <c r="I773" s="185"/>
      <c r="J773" s="67"/>
      <c r="K773" s="194"/>
      <c r="L773" s="180"/>
      <c r="M773" s="180"/>
      <c r="N773" s="180"/>
      <c r="O773" s="181"/>
      <c r="P773" s="237"/>
      <c r="Q773" s="255"/>
      <c r="R773" s="175" t="s">
        <v>0</v>
      </c>
      <c r="S773" s="411" t="s">
        <v>0</v>
      </c>
      <c r="T773" s="190"/>
      <c r="U773" s="22"/>
      <c r="V773" s="233"/>
      <c r="W773" s="239"/>
      <c r="X773" s="403"/>
      <c r="Y773" s="258"/>
    </row>
    <row r="774" spans="1:25" hidden="1" x14ac:dyDescent="0.3">
      <c r="A774" s="47">
        <f>IF(B774="","",SUBTOTAL(3,$B$3:B774)-1)</f>
        <v>7</v>
      </c>
      <c r="B774" s="26" t="s">
        <v>172</v>
      </c>
      <c r="C774" s="26" t="s">
        <v>92</v>
      </c>
      <c r="D774" s="26">
        <v>939960241</v>
      </c>
      <c r="E774" s="46">
        <f>($AA$2-O774)*$AB$2+Q774</f>
        <v>0</v>
      </c>
      <c r="F774" s="22">
        <v>8</v>
      </c>
      <c r="G774" s="175" t="s">
        <v>415</v>
      </c>
      <c r="H774" s="405" t="s">
        <v>2</v>
      </c>
      <c r="I774" s="185" t="s">
        <v>634</v>
      </c>
      <c r="J774" s="67"/>
      <c r="K774" s="194"/>
      <c r="L774" s="180"/>
      <c r="M774" s="180"/>
      <c r="N774" s="180"/>
      <c r="O774" s="181"/>
      <c r="P774" s="237"/>
      <c r="Q774" s="255"/>
      <c r="R774" s="175" t="s">
        <v>0</v>
      </c>
      <c r="S774" s="411" t="s">
        <v>848</v>
      </c>
      <c r="T774" s="190" t="s">
        <v>0</v>
      </c>
      <c r="U774" s="22"/>
      <c r="V774" s="233"/>
      <c r="W774" s="239"/>
      <c r="X774" s="403"/>
      <c r="Y774" s="258"/>
    </row>
    <row r="775" spans="1:25" hidden="1" x14ac:dyDescent="0.3">
      <c r="A775" s="47">
        <f>IF(B775="","",SUBTOTAL(3,$B$3:B775)-1)</f>
        <v>7</v>
      </c>
      <c r="B775" s="24" t="s">
        <v>545</v>
      </c>
      <c r="C775" s="24" t="s">
        <v>92</v>
      </c>
      <c r="D775" s="163"/>
      <c r="E775" s="46">
        <f>($AA$2-O775)*$AB$2+Q775</f>
        <v>0</v>
      </c>
      <c r="F775" s="22">
        <v>9</v>
      </c>
      <c r="G775" s="175" t="s">
        <v>415</v>
      </c>
      <c r="H775" s="411"/>
      <c r="I775" s="190"/>
      <c r="J775" s="68"/>
      <c r="K775" s="195"/>
      <c r="L775" s="182"/>
      <c r="M775" s="182"/>
      <c r="N775" s="182"/>
      <c r="O775" s="181"/>
      <c r="P775" s="237"/>
      <c r="Q775" s="255"/>
      <c r="R775" s="175" t="s">
        <v>1</v>
      </c>
      <c r="S775" s="411"/>
      <c r="T775" s="190"/>
      <c r="U775" s="22"/>
      <c r="V775" s="233"/>
      <c r="W775" s="239"/>
      <c r="X775" s="403"/>
      <c r="Y775" s="258"/>
    </row>
    <row r="776" spans="1:25" hidden="1" x14ac:dyDescent="0.3">
      <c r="A776" s="47">
        <f>IF(B776="","",SUBTOTAL(3,$B$3:B776)-1)</f>
        <v>7</v>
      </c>
      <c r="B776" s="24" t="s">
        <v>302</v>
      </c>
      <c r="C776" s="24" t="s">
        <v>92</v>
      </c>
      <c r="D776" s="163"/>
      <c r="E776" s="46">
        <f>($AA$2-O776)*$AB$2+Q776</f>
        <v>0</v>
      </c>
      <c r="F776" s="22">
        <v>9</v>
      </c>
      <c r="G776" s="175"/>
      <c r="H776" s="409" t="s">
        <v>635</v>
      </c>
      <c r="I776" s="185"/>
      <c r="J776" s="67" t="s">
        <v>661</v>
      </c>
      <c r="K776" s="194"/>
      <c r="L776" s="67"/>
      <c r="M776" s="67"/>
      <c r="N776" s="67"/>
      <c r="O776" s="73"/>
      <c r="P776" s="237"/>
      <c r="Q776" s="255"/>
      <c r="R776" s="175"/>
      <c r="S776" s="411" t="s">
        <v>2</v>
      </c>
      <c r="T776" s="190"/>
      <c r="U776" s="22" t="s">
        <v>0</v>
      </c>
      <c r="V776" s="233"/>
      <c r="W776" s="239"/>
      <c r="X776" s="403"/>
      <c r="Y776" s="258"/>
    </row>
    <row r="777" spans="1:25" hidden="1" x14ac:dyDescent="0.3">
      <c r="A777" s="47">
        <f>IF(B777="","",SUBTOTAL(3,$B$3:B777)-1)</f>
        <v>7</v>
      </c>
      <c r="B777" s="269" t="s">
        <v>1284</v>
      </c>
      <c r="C777" s="269" t="s">
        <v>121</v>
      </c>
      <c r="D777" s="269">
        <v>797989055</v>
      </c>
      <c r="E777" s="46" t="s">
        <v>1214</v>
      </c>
      <c r="F777" s="300">
        <v>4</v>
      </c>
      <c r="G777" s="175" t="s">
        <v>826</v>
      </c>
      <c r="H777" s="405"/>
      <c r="I777" s="185"/>
      <c r="J777" s="71"/>
      <c r="K777" s="194"/>
      <c r="L777" s="67"/>
      <c r="M777" s="67"/>
      <c r="N777" s="67"/>
      <c r="O777" s="73"/>
      <c r="P777" s="237"/>
      <c r="Q777" s="255"/>
      <c r="R777" s="175" t="s">
        <v>1</v>
      </c>
      <c r="S777" s="411"/>
      <c r="T777" s="190"/>
      <c r="U777" s="22"/>
      <c r="V777" s="233"/>
      <c r="W777" s="239"/>
      <c r="X777" s="403"/>
      <c r="Y777" s="323" t="s">
        <v>1026</v>
      </c>
    </row>
    <row r="778" spans="1:25" hidden="1" x14ac:dyDescent="0.3">
      <c r="A778" s="47">
        <f>IF(B778="","",SUBTOTAL(3,$B$3:B778)-1)</f>
        <v>7</v>
      </c>
      <c r="B778" s="39" t="s">
        <v>346</v>
      </c>
      <c r="C778" s="24" t="s">
        <v>121</v>
      </c>
      <c r="D778" s="163"/>
      <c r="E778" s="46">
        <f>($AA$2-O778)*$AB$2+Q778</f>
        <v>0</v>
      </c>
      <c r="F778" s="22">
        <v>11</v>
      </c>
      <c r="G778" s="175"/>
      <c r="H778" s="405" t="s">
        <v>635</v>
      </c>
      <c r="I778" s="185"/>
      <c r="J778" s="67"/>
      <c r="K778" s="194"/>
      <c r="L778" s="67"/>
      <c r="M778" s="67"/>
      <c r="N778" s="67"/>
      <c r="O778" s="73"/>
      <c r="P778" s="237"/>
      <c r="Q778" s="255"/>
      <c r="R778" s="175"/>
      <c r="S778" s="411" t="s">
        <v>2</v>
      </c>
      <c r="T778" s="190"/>
      <c r="U778" s="22"/>
      <c r="V778" s="233"/>
      <c r="W778" s="239"/>
      <c r="X778" s="403"/>
      <c r="Y778" s="258"/>
    </row>
    <row r="779" spans="1:25" hidden="1" x14ac:dyDescent="0.3">
      <c r="A779" s="47">
        <f>IF(B779="","",SUBTOTAL(3,$B$3:B779)-1)</f>
        <v>7</v>
      </c>
      <c r="B779" s="24" t="s">
        <v>238</v>
      </c>
      <c r="C779" s="24" t="s">
        <v>121</v>
      </c>
      <c r="D779" s="163"/>
      <c r="E779" s="46">
        <f>($AA$2-O779)*$AB$2+Q779</f>
        <v>0</v>
      </c>
      <c r="F779" s="21">
        <v>12</v>
      </c>
      <c r="G779" s="175"/>
      <c r="H779" s="405"/>
      <c r="I779" s="185"/>
      <c r="J779" s="67"/>
      <c r="K779" s="194"/>
      <c r="L779" s="67"/>
      <c r="M779" s="67"/>
      <c r="N779" s="67"/>
      <c r="O779" s="73"/>
      <c r="P779" s="237"/>
      <c r="Q779" s="255"/>
      <c r="R779" s="175" t="s">
        <v>415</v>
      </c>
      <c r="S779" s="411"/>
      <c r="T779" s="190"/>
      <c r="U779" s="22"/>
      <c r="V779" s="233"/>
      <c r="W779" s="239"/>
      <c r="X779" s="403"/>
      <c r="Y779" s="258"/>
    </row>
    <row r="780" spans="1:25" hidden="1" x14ac:dyDescent="0.3">
      <c r="A780" s="47">
        <f>IF(B780="","",SUBTOTAL(3,$B$3:B780)-1)</f>
        <v>7</v>
      </c>
      <c r="B780" s="24" t="s">
        <v>1207</v>
      </c>
      <c r="C780" s="24" t="s">
        <v>121</v>
      </c>
      <c r="D780" s="163"/>
      <c r="E780" s="46"/>
      <c r="F780" s="22">
        <v>9</v>
      </c>
      <c r="G780" s="175"/>
      <c r="H780" s="405" t="s">
        <v>660</v>
      </c>
      <c r="I780" s="185"/>
      <c r="J780" s="71"/>
      <c r="K780" s="194"/>
      <c r="L780" s="180"/>
      <c r="M780" s="180"/>
      <c r="N780" s="180"/>
      <c r="O780" s="181"/>
      <c r="P780" s="237"/>
      <c r="Q780" s="255"/>
      <c r="R780" s="175"/>
      <c r="S780" s="411" t="s">
        <v>0</v>
      </c>
      <c r="T780" s="190"/>
      <c r="U780" s="22"/>
      <c r="V780" s="233"/>
      <c r="W780" s="239"/>
      <c r="X780" s="403"/>
      <c r="Y780" s="258"/>
    </row>
    <row r="781" spans="1:25" hidden="1" x14ac:dyDescent="0.3">
      <c r="A781" s="47">
        <f>IF(B781="","",SUBTOTAL(3,$B$3:B781)-1)</f>
        <v>7</v>
      </c>
      <c r="B781" s="24" t="s">
        <v>670</v>
      </c>
      <c r="C781" s="24" t="s">
        <v>121</v>
      </c>
      <c r="D781" s="163"/>
      <c r="E781" s="46">
        <f>($AA$2-O781)*$AB$2+Q781</f>
        <v>0</v>
      </c>
      <c r="F781" s="21">
        <v>9</v>
      </c>
      <c r="G781" s="175" t="s">
        <v>415</v>
      </c>
      <c r="H781" s="409"/>
      <c r="I781" s="185"/>
      <c r="J781" s="67"/>
      <c r="K781" s="194"/>
      <c r="L781" s="67"/>
      <c r="M781" s="67"/>
      <c r="N781" s="67"/>
      <c r="O781" s="73"/>
      <c r="P781" s="237"/>
      <c r="Q781" s="255"/>
      <c r="R781" s="175" t="s">
        <v>2</v>
      </c>
      <c r="S781" s="411"/>
      <c r="T781" s="190"/>
      <c r="U781" s="22"/>
      <c r="V781" s="233"/>
      <c r="W781" s="239"/>
      <c r="X781" s="403"/>
      <c r="Y781" s="258"/>
    </row>
    <row r="782" spans="1:25" hidden="1" x14ac:dyDescent="0.3">
      <c r="A782" s="47">
        <f>IF(B782="","",SUBTOTAL(3,$B$3:B782)-1)</f>
        <v>7</v>
      </c>
      <c r="B782" s="26" t="s">
        <v>528</v>
      </c>
      <c r="C782" s="26" t="s">
        <v>43</v>
      </c>
      <c r="D782" s="163">
        <v>985952120</v>
      </c>
      <c r="E782" s="46">
        <f>($AA$2-O782)*$AB$2+Q782</f>
        <v>0</v>
      </c>
      <c r="F782" s="142">
        <v>4</v>
      </c>
      <c r="G782" s="175" t="s">
        <v>660</v>
      </c>
      <c r="H782" s="408"/>
      <c r="I782" s="186"/>
      <c r="J782" s="68"/>
      <c r="K782" s="195"/>
      <c r="L782" s="68"/>
      <c r="M782" s="68"/>
      <c r="N782" s="68"/>
      <c r="O782" s="73"/>
      <c r="P782" s="237" t="s">
        <v>1</v>
      </c>
      <c r="Q782" s="255"/>
      <c r="R782" s="175" t="s">
        <v>0</v>
      </c>
      <c r="S782" s="411"/>
      <c r="T782" s="190"/>
      <c r="U782" s="22"/>
      <c r="V782" s="233"/>
      <c r="W782" s="239" t="s">
        <v>848</v>
      </c>
      <c r="X782" s="403"/>
      <c r="Y782" s="258"/>
    </row>
    <row r="783" spans="1:25" hidden="1" x14ac:dyDescent="0.3">
      <c r="A783" s="47">
        <f>IF(B783="","",SUBTOTAL(3,$B$3:B783)-1)</f>
        <v>7</v>
      </c>
      <c r="B783" s="25" t="s">
        <v>149</v>
      </c>
      <c r="C783" s="25" t="s">
        <v>43</v>
      </c>
      <c r="D783" s="163"/>
      <c r="E783" s="46">
        <f>($AA$2-O783)*$AB$2+Q783</f>
        <v>0</v>
      </c>
      <c r="F783" s="22">
        <v>10</v>
      </c>
      <c r="G783" s="175" t="s">
        <v>415</v>
      </c>
      <c r="H783" s="405" t="s">
        <v>635</v>
      </c>
      <c r="I783" s="185" t="s">
        <v>661</v>
      </c>
      <c r="J783" s="71" t="s">
        <v>661</v>
      </c>
      <c r="K783" s="194"/>
      <c r="L783" s="180"/>
      <c r="M783" s="180"/>
      <c r="N783" s="180"/>
      <c r="O783" s="181"/>
      <c r="P783" s="237"/>
      <c r="Q783" s="255"/>
      <c r="R783" s="175" t="s">
        <v>848</v>
      </c>
      <c r="S783" s="411" t="s">
        <v>848</v>
      </c>
      <c r="T783" s="190" t="s">
        <v>0</v>
      </c>
      <c r="U783" s="22" t="s">
        <v>0</v>
      </c>
      <c r="V783" s="233"/>
      <c r="W783" s="239"/>
      <c r="X783" s="403"/>
      <c r="Y783" s="258"/>
    </row>
    <row r="784" spans="1:25" hidden="1" x14ac:dyDescent="0.3">
      <c r="A784" s="47">
        <f>IF(B784="","",SUBTOTAL(3,$B$3:B784)-1)</f>
        <v>7</v>
      </c>
      <c r="B784" s="24" t="s">
        <v>457</v>
      </c>
      <c r="C784" s="24" t="s">
        <v>43</v>
      </c>
      <c r="D784" s="163"/>
      <c r="E784" s="46">
        <f>($AA$2-O784)*$AB$2+Q784</f>
        <v>0</v>
      </c>
      <c r="F784" s="142">
        <v>7</v>
      </c>
      <c r="G784" s="175" t="s">
        <v>415</v>
      </c>
      <c r="H784" s="405" t="s">
        <v>635</v>
      </c>
      <c r="I784" s="185"/>
      <c r="J784" s="67"/>
      <c r="K784" s="194"/>
      <c r="L784" s="180"/>
      <c r="M784" s="180"/>
      <c r="N784" s="180"/>
      <c r="O784" s="181"/>
      <c r="P784" s="237"/>
      <c r="Q784" s="255"/>
      <c r="R784" s="175" t="s">
        <v>848</v>
      </c>
      <c r="S784" s="411" t="s">
        <v>1</v>
      </c>
      <c r="T784" s="190"/>
      <c r="U784" s="22"/>
      <c r="V784" s="233"/>
      <c r="W784" s="239"/>
      <c r="X784" s="403"/>
      <c r="Y784" s="258"/>
    </row>
    <row r="785" spans="1:25" hidden="1" x14ac:dyDescent="0.3">
      <c r="A785" s="47">
        <f>IF(B785="","",SUBTOTAL(3,$B$3:B785)-1)</f>
        <v>7</v>
      </c>
      <c r="B785" s="39" t="s">
        <v>198</v>
      </c>
      <c r="C785" s="24" t="s">
        <v>43</v>
      </c>
      <c r="D785" s="163"/>
      <c r="E785" s="46"/>
      <c r="F785" s="142">
        <v>7</v>
      </c>
      <c r="G785" s="176" t="s">
        <v>415</v>
      </c>
      <c r="H785" s="406"/>
      <c r="I785" s="185"/>
      <c r="J785" s="67"/>
      <c r="K785" s="194"/>
      <c r="L785" s="180"/>
      <c r="M785" s="180"/>
      <c r="N785" s="180"/>
      <c r="O785" s="181"/>
      <c r="P785" s="237"/>
      <c r="Q785" s="255"/>
      <c r="R785" s="175" t="s">
        <v>2</v>
      </c>
      <c r="S785" s="411"/>
      <c r="T785" s="190"/>
      <c r="U785" s="22"/>
      <c r="V785" s="233"/>
      <c r="W785" s="239"/>
      <c r="X785" s="403"/>
      <c r="Y785" s="258"/>
    </row>
    <row r="786" spans="1:25" hidden="1" x14ac:dyDescent="0.3">
      <c r="A786" s="47">
        <f>IF(B786="","",SUBTOTAL(3,$B$3:B786)-1)</f>
        <v>7</v>
      </c>
      <c r="B786" s="26" t="s">
        <v>149</v>
      </c>
      <c r="C786" s="26" t="s">
        <v>43</v>
      </c>
      <c r="D786" s="26"/>
      <c r="E786" s="46">
        <f t="shared" ref="E786:E793" si="6">($AA$2-O786)*$AB$2+Q786</f>
        <v>0</v>
      </c>
      <c r="F786" s="22">
        <v>8</v>
      </c>
      <c r="G786" s="175" t="s">
        <v>415</v>
      </c>
      <c r="H786" s="405"/>
      <c r="I786" s="185"/>
      <c r="J786" s="67"/>
      <c r="K786" s="194"/>
      <c r="L786" s="180"/>
      <c r="M786" s="180"/>
      <c r="N786" s="180"/>
      <c r="O786" s="181"/>
      <c r="P786" s="237"/>
      <c r="Q786" s="255"/>
      <c r="R786" s="175" t="s">
        <v>1</v>
      </c>
      <c r="S786" s="411"/>
      <c r="T786" s="190"/>
      <c r="U786" s="22"/>
      <c r="V786" s="233"/>
      <c r="W786" s="239"/>
      <c r="X786" s="403"/>
      <c r="Y786" s="258"/>
    </row>
    <row r="787" spans="1:25" hidden="1" x14ac:dyDescent="0.3">
      <c r="A787" s="47">
        <f>IF(B787="","",SUBTOTAL(3,$B$3:B787)-1)</f>
        <v>7</v>
      </c>
      <c r="B787" s="26" t="s">
        <v>540</v>
      </c>
      <c r="C787" s="26" t="s">
        <v>43</v>
      </c>
      <c r="D787" s="26">
        <v>379119773</v>
      </c>
      <c r="E787" s="46">
        <f t="shared" si="6"/>
        <v>0</v>
      </c>
      <c r="F787" s="22">
        <v>8</v>
      </c>
      <c r="G787" s="175" t="s">
        <v>415</v>
      </c>
      <c r="H787" s="405"/>
      <c r="I787" s="185"/>
      <c r="J787" s="67"/>
      <c r="K787" s="194"/>
      <c r="L787" s="180"/>
      <c r="M787" s="180"/>
      <c r="N787" s="180"/>
      <c r="O787" s="181"/>
      <c r="P787" s="237"/>
      <c r="Q787" s="255"/>
      <c r="R787" s="175" t="s">
        <v>0</v>
      </c>
      <c r="S787" s="411"/>
      <c r="T787" s="190"/>
      <c r="U787" s="22"/>
      <c r="V787" s="233"/>
      <c r="W787" s="239"/>
      <c r="X787" s="403"/>
      <c r="Y787" s="258"/>
    </row>
    <row r="788" spans="1:25" hidden="1" x14ac:dyDescent="0.3">
      <c r="A788" s="47">
        <f>IF(B788="","",SUBTOTAL(3,$B$3:B788)-1)</f>
        <v>7</v>
      </c>
      <c r="B788" s="24" t="s">
        <v>481</v>
      </c>
      <c r="C788" s="24" t="s">
        <v>43</v>
      </c>
      <c r="D788" s="163"/>
      <c r="E788" s="46">
        <f t="shared" si="6"/>
        <v>0</v>
      </c>
      <c r="F788" s="22">
        <v>9</v>
      </c>
      <c r="G788" s="175"/>
      <c r="H788" s="409"/>
      <c r="I788" s="187"/>
      <c r="J788" s="67"/>
      <c r="K788" s="194"/>
      <c r="L788" s="67"/>
      <c r="M788" s="67"/>
      <c r="N788" s="67"/>
      <c r="O788" s="73"/>
      <c r="P788" s="237"/>
      <c r="Q788" s="255"/>
      <c r="R788" s="175"/>
      <c r="S788" s="411"/>
      <c r="T788" s="190"/>
      <c r="U788" s="22"/>
      <c r="V788" s="233"/>
      <c r="W788" s="239"/>
      <c r="X788" s="403"/>
      <c r="Y788" s="258"/>
    </row>
    <row r="789" spans="1:25" hidden="1" x14ac:dyDescent="0.3">
      <c r="A789" s="47">
        <f>IF(B789="","",SUBTOTAL(3,$B$3:B789)-1)</f>
        <v>7</v>
      </c>
      <c r="B789" s="24" t="s">
        <v>185</v>
      </c>
      <c r="C789" s="24" t="s">
        <v>43</v>
      </c>
      <c r="D789" s="163"/>
      <c r="E789" s="46">
        <f t="shared" si="6"/>
        <v>0</v>
      </c>
      <c r="F789" s="22">
        <v>9</v>
      </c>
      <c r="G789" s="175" t="s">
        <v>415</v>
      </c>
      <c r="H789" s="409" t="s">
        <v>660</v>
      </c>
      <c r="I789" s="187" t="s">
        <v>634</v>
      </c>
      <c r="J789" s="67" t="s">
        <v>661</v>
      </c>
      <c r="K789" s="194"/>
      <c r="L789" s="180"/>
      <c r="M789" s="180"/>
      <c r="N789" s="180"/>
      <c r="O789" s="181"/>
      <c r="P789" s="237"/>
      <c r="Q789" s="255"/>
      <c r="R789" s="175" t="s">
        <v>848</v>
      </c>
      <c r="S789" s="411" t="s">
        <v>0</v>
      </c>
      <c r="T789" s="190" t="s">
        <v>0</v>
      </c>
      <c r="U789" s="22" t="s">
        <v>1</v>
      </c>
      <c r="V789" s="233"/>
      <c r="W789" s="239"/>
      <c r="X789" s="403"/>
      <c r="Y789" s="258"/>
    </row>
    <row r="790" spans="1:25" hidden="1" x14ac:dyDescent="0.3">
      <c r="A790" s="47">
        <f>IF(B790="","",SUBTOTAL(3,$B$3:B790)-1)</f>
        <v>7</v>
      </c>
      <c r="B790" s="26" t="s">
        <v>149</v>
      </c>
      <c r="C790" s="26" t="s">
        <v>35</v>
      </c>
      <c r="D790" s="163"/>
      <c r="E790" s="46">
        <f t="shared" si="6"/>
        <v>0</v>
      </c>
      <c r="F790" s="142">
        <v>4</v>
      </c>
      <c r="G790" s="175" t="s">
        <v>660</v>
      </c>
      <c r="H790" s="408"/>
      <c r="I790" s="186"/>
      <c r="J790" s="68"/>
      <c r="K790" s="195"/>
      <c r="L790" s="68"/>
      <c r="M790" s="68"/>
      <c r="N790" s="68"/>
      <c r="O790" s="73"/>
      <c r="P790" s="237"/>
      <c r="Q790" s="255"/>
      <c r="R790" s="175" t="s">
        <v>0</v>
      </c>
      <c r="S790" s="411"/>
      <c r="T790" s="190"/>
      <c r="U790" s="22"/>
      <c r="V790" s="233"/>
      <c r="W790" s="239"/>
      <c r="X790" s="403"/>
      <c r="Y790" s="258"/>
    </row>
    <row r="791" spans="1:25" hidden="1" x14ac:dyDescent="0.3">
      <c r="A791" s="47">
        <f>IF(B791="","",SUBTOTAL(3,$B$3:B791)-1)</f>
        <v>7</v>
      </c>
      <c r="B791" s="24" t="s">
        <v>315</v>
      </c>
      <c r="C791" s="24" t="s">
        <v>35</v>
      </c>
      <c r="D791" s="163"/>
      <c r="E791" s="46">
        <f t="shared" si="6"/>
        <v>0</v>
      </c>
      <c r="F791" s="22">
        <v>11</v>
      </c>
      <c r="G791" s="175" t="s">
        <v>660</v>
      </c>
      <c r="H791" s="405" t="s">
        <v>1</v>
      </c>
      <c r="I791" s="186" t="s">
        <v>661</v>
      </c>
      <c r="J791" s="68"/>
      <c r="K791" s="195" t="s">
        <v>660</v>
      </c>
      <c r="L791" s="182"/>
      <c r="M791" s="182"/>
      <c r="N791" s="182"/>
      <c r="O791" s="181"/>
      <c r="P791" s="237"/>
      <c r="Q791" s="255"/>
      <c r="R791" s="175" t="s">
        <v>0</v>
      </c>
      <c r="S791" s="411" t="s">
        <v>710</v>
      </c>
      <c r="T791" s="190"/>
      <c r="U791" s="22"/>
      <c r="V791" s="233"/>
      <c r="W791" s="239"/>
      <c r="X791" s="403"/>
      <c r="Y791" s="258"/>
    </row>
    <row r="792" spans="1:25" hidden="1" x14ac:dyDescent="0.3">
      <c r="A792" s="47">
        <f>IF(B792="","",SUBTOTAL(3,$B$3:B792)-1)</f>
        <v>7</v>
      </c>
      <c r="B792" s="24" t="s">
        <v>349</v>
      </c>
      <c r="C792" s="24" t="s">
        <v>35</v>
      </c>
      <c r="D792" s="24"/>
      <c r="E792" s="46">
        <f t="shared" si="6"/>
        <v>0</v>
      </c>
      <c r="F792" s="22">
        <v>12</v>
      </c>
      <c r="G792" s="175"/>
      <c r="H792" s="405"/>
      <c r="I792" s="185"/>
      <c r="J792" s="67"/>
      <c r="K792" s="194"/>
      <c r="L792" s="67"/>
      <c r="M792" s="67"/>
      <c r="N792" s="67"/>
      <c r="O792" s="73"/>
      <c r="P792" s="237"/>
      <c r="Q792" s="255"/>
      <c r="R792" s="175" t="s">
        <v>415</v>
      </c>
      <c r="S792" s="411"/>
      <c r="T792" s="190"/>
      <c r="U792" s="22"/>
      <c r="V792" s="233"/>
      <c r="W792" s="239"/>
      <c r="X792" s="403"/>
      <c r="Y792" s="258"/>
    </row>
    <row r="793" spans="1:25" hidden="1" x14ac:dyDescent="0.3">
      <c r="A793" s="47">
        <f>IF(B793="","",SUBTOTAL(3,$B$3:B793)-1)</f>
        <v>7</v>
      </c>
      <c r="B793" s="24" t="s">
        <v>262</v>
      </c>
      <c r="C793" s="242" t="s">
        <v>35</v>
      </c>
      <c r="D793" s="163"/>
      <c r="E793" s="46">
        <f t="shared" si="6"/>
        <v>0</v>
      </c>
      <c r="F793" s="22" t="s">
        <v>1213</v>
      </c>
      <c r="G793" s="175" t="s">
        <v>660</v>
      </c>
      <c r="H793" s="405"/>
      <c r="I793" s="185"/>
      <c r="J793" s="67"/>
      <c r="K793" s="194"/>
      <c r="L793" s="67"/>
      <c r="M793" s="67"/>
      <c r="N793" s="67"/>
      <c r="O793" s="73"/>
      <c r="P793" s="237"/>
      <c r="Q793" s="255"/>
      <c r="R793" s="175" t="s">
        <v>1</v>
      </c>
      <c r="S793" s="411"/>
      <c r="T793" s="190"/>
      <c r="U793" s="22"/>
      <c r="V793" s="233"/>
      <c r="W793" s="239"/>
      <c r="X793" s="403"/>
      <c r="Y793" s="258"/>
    </row>
    <row r="794" spans="1:25" hidden="1" x14ac:dyDescent="0.3">
      <c r="A794" s="47">
        <f>IF(B794="","",SUBTOTAL(3,$B$3:B794)-1)</f>
        <v>7</v>
      </c>
      <c r="B794" s="143" t="s">
        <v>819</v>
      </c>
      <c r="C794" s="143" t="s">
        <v>35</v>
      </c>
      <c r="D794" s="143">
        <v>344818159</v>
      </c>
      <c r="E794" s="46"/>
      <c r="F794" s="142">
        <v>7</v>
      </c>
      <c r="G794" s="176"/>
      <c r="H794" s="406" t="s">
        <v>635</v>
      </c>
      <c r="I794" s="188" t="s">
        <v>756</v>
      </c>
      <c r="J794" s="142"/>
      <c r="K794" s="196" t="s">
        <v>721</v>
      </c>
      <c r="L794" s="67"/>
      <c r="M794" s="67"/>
      <c r="N794" s="67"/>
      <c r="O794" s="73"/>
      <c r="P794" s="237"/>
      <c r="Q794" s="255"/>
      <c r="R794" s="175"/>
      <c r="S794" s="411" t="s">
        <v>2</v>
      </c>
      <c r="T794" s="190"/>
      <c r="U794" s="22"/>
      <c r="V794" s="233"/>
      <c r="W794" s="239"/>
      <c r="X794" s="403"/>
      <c r="Y794" s="258"/>
    </row>
    <row r="795" spans="1:25" hidden="1" x14ac:dyDescent="0.3">
      <c r="A795" s="47">
        <f>IF(B795="","",SUBTOTAL(3,$B$3:B795)-1)</f>
        <v>7</v>
      </c>
      <c r="B795" s="26" t="s">
        <v>198</v>
      </c>
      <c r="C795" s="26" t="s">
        <v>35</v>
      </c>
      <c r="D795" s="163"/>
      <c r="E795" s="46">
        <f>($AA$2-O795)*$AB$2+Q795</f>
        <v>0</v>
      </c>
      <c r="F795" s="142">
        <v>7</v>
      </c>
      <c r="G795" s="175" t="s">
        <v>415</v>
      </c>
      <c r="H795" s="405" t="s">
        <v>635</v>
      </c>
      <c r="I795" s="185"/>
      <c r="J795" s="67"/>
      <c r="K795" s="194"/>
      <c r="L795" s="180"/>
      <c r="M795" s="180"/>
      <c r="N795" s="180"/>
      <c r="O795" s="181"/>
      <c r="P795" s="237"/>
      <c r="Q795" s="255"/>
      <c r="R795" s="175" t="s">
        <v>848</v>
      </c>
      <c r="S795" s="411" t="s">
        <v>1</v>
      </c>
      <c r="T795" s="190"/>
      <c r="U795" s="22"/>
      <c r="V795" s="233"/>
      <c r="W795" s="239"/>
      <c r="X795" s="403"/>
      <c r="Y795" s="258"/>
    </row>
    <row r="796" spans="1:25" hidden="1" x14ac:dyDescent="0.3">
      <c r="A796" s="47">
        <f>IF(B796="","",SUBTOTAL(3,$B$3:B796)-1)</f>
        <v>7</v>
      </c>
      <c r="B796" s="143" t="s">
        <v>781</v>
      </c>
      <c r="C796" s="143" t="s">
        <v>35</v>
      </c>
      <c r="D796" s="143">
        <v>397284811</v>
      </c>
      <c r="E796" s="46"/>
      <c r="F796" s="142">
        <v>7</v>
      </c>
      <c r="G796" s="175" t="s">
        <v>415</v>
      </c>
      <c r="H796" s="406"/>
      <c r="I796" s="188"/>
      <c r="J796" s="142"/>
      <c r="K796" s="196" t="s">
        <v>721</v>
      </c>
      <c r="L796" s="67"/>
      <c r="M796" s="67"/>
      <c r="N796" s="67"/>
      <c r="O796" s="73"/>
      <c r="P796" s="237"/>
      <c r="Q796" s="255"/>
      <c r="R796" s="175" t="s">
        <v>1</v>
      </c>
      <c r="S796" s="411"/>
      <c r="T796" s="190"/>
      <c r="U796" s="22"/>
      <c r="V796" s="233"/>
      <c r="W796" s="239"/>
      <c r="X796" s="403"/>
      <c r="Y796" s="258"/>
    </row>
    <row r="797" spans="1:25" hidden="1" x14ac:dyDescent="0.3">
      <c r="A797" s="47">
        <f>IF(B797="","",SUBTOTAL(3,$B$3:B797)-1)</f>
        <v>7</v>
      </c>
      <c r="B797" s="24" t="s">
        <v>174</v>
      </c>
      <c r="C797" s="24" t="s">
        <v>35</v>
      </c>
      <c r="D797" s="163"/>
      <c r="E797" s="46">
        <f>($AA$2-O797)*$AB$2+Q797</f>
        <v>0</v>
      </c>
      <c r="F797" s="22">
        <v>8</v>
      </c>
      <c r="G797" s="175" t="s">
        <v>415</v>
      </c>
      <c r="H797" s="405" t="s">
        <v>635</v>
      </c>
      <c r="I797" s="185"/>
      <c r="J797" s="67"/>
      <c r="K797" s="194"/>
      <c r="L797" s="180"/>
      <c r="M797" s="180"/>
      <c r="N797" s="180"/>
      <c r="O797" s="181"/>
      <c r="P797" s="237"/>
      <c r="Q797" s="255"/>
      <c r="R797" s="175" t="s">
        <v>1</v>
      </c>
      <c r="S797" s="411" t="s">
        <v>1</v>
      </c>
      <c r="T797" s="190"/>
      <c r="U797" s="22"/>
      <c r="V797" s="233"/>
      <c r="W797" s="239"/>
      <c r="X797" s="403"/>
      <c r="Y797" s="258"/>
    </row>
    <row r="798" spans="1:25" hidden="1" x14ac:dyDescent="0.3">
      <c r="A798" s="47">
        <f>IF(B798="","",SUBTOTAL(3,$B$3:B798)-1)</f>
        <v>7</v>
      </c>
      <c r="B798" s="143" t="s">
        <v>755</v>
      </c>
      <c r="C798" s="143" t="s">
        <v>35</v>
      </c>
      <c r="D798" s="143"/>
      <c r="E798" s="46"/>
      <c r="F798" s="22">
        <v>9</v>
      </c>
      <c r="G798" s="176" t="s">
        <v>415</v>
      </c>
      <c r="H798" s="406" t="s">
        <v>635</v>
      </c>
      <c r="I798" s="188"/>
      <c r="J798" s="142"/>
      <c r="K798" s="196" t="s">
        <v>721</v>
      </c>
      <c r="L798" s="67"/>
      <c r="M798" s="67"/>
      <c r="N798" s="67"/>
      <c r="O798" s="73"/>
      <c r="P798" s="237"/>
      <c r="Q798" s="255"/>
      <c r="R798" s="175" t="s">
        <v>1</v>
      </c>
      <c r="S798" s="411" t="s">
        <v>2</v>
      </c>
      <c r="T798" s="190"/>
      <c r="U798" s="22"/>
      <c r="V798" s="233"/>
      <c r="W798" s="239"/>
      <c r="X798" s="403"/>
      <c r="Y798" s="258"/>
    </row>
    <row r="799" spans="1:25" hidden="1" x14ac:dyDescent="0.3">
      <c r="A799" s="47">
        <f>IF(B799="","",SUBTOTAL(3,$B$3:B799)-1)</f>
        <v>7</v>
      </c>
      <c r="B799" s="24" t="s">
        <v>212</v>
      </c>
      <c r="C799" s="24" t="s">
        <v>35</v>
      </c>
      <c r="D799" s="163"/>
      <c r="E799" s="46">
        <f>($AA$2-O799)*$AB$2+Q799</f>
        <v>0</v>
      </c>
      <c r="F799" s="22">
        <v>9</v>
      </c>
      <c r="G799" s="175" t="s">
        <v>415</v>
      </c>
      <c r="H799" s="409" t="s">
        <v>660</v>
      </c>
      <c r="I799" s="187"/>
      <c r="J799" s="67"/>
      <c r="K799" s="194"/>
      <c r="L799" s="180"/>
      <c r="M799" s="180"/>
      <c r="N799" s="180"/>
      <c r="O799" s="181"/>
      <c r="P799" s="237"/>
      <c r="Q799" s="255"/>
      <c r="R799" s="175" t="s">
        <v>848</v>
      </c>
      <c r="S799" s="411" t="s">
        <v>1</v>
      </c>
      <c r="T799" s="190"/>
      <c r="U799" s="22"/>
      <c r="V799" s="233"/>
      <c r="W799" s="239"/>
      <c r="X799" s="403"/>
      <c r="Y799" s="258"/>
    </row>
    <row r="800" spans="1:25" hidden="1" x14ac:dyDescent="0.3">
      <c r="A800" s="47">
        <f>IF(B800="","",SUBTOTAL(3,$B$3:B800)-1)</f>
        <v>7</v>
      </c>
      <c r="B800" s="26" t="s">
        <v>439</v>
      </c>
      <c r="C800" s="26" t="s">
        <v>535</v>
      </c>
      <c r="D800" s="26">
        <v>932979096</v>
      </c>
      <c r="E800" s="46">
        <f>($AA$2-O800)*$AB$2+Q800</f>
        <v>0</v>
      </c>
      <c r="F800" s="22">
        <v>8</v>
      </c>
      <c r="G800" s="175" t="s">
        <v>415</v>
      </c>
      <c r="H800" s="405"/>
      <c r="I800" s="185"/>
      <c r="J800" s="67"/>
      <c r="K800" s="194"/>
      <c r="L800" s="180"/>
      <c r="M800" s="180"/>
      <c r="N800" s="180"/>
      <c r="O800" s="181"/>
      <c r="P800" s="237"/>
      <c r="Q800" s="255"/>
      <c r="R800" s="175" t="s">
        <v>848</v>
      </c>
      <c r="S800" s="411"/>
      <c r="T800" s="190"/>
      <c r="U800" s="22"/>
      <c r="V800" s="233"/>
      <c r="W800" s="239"/>
      <c r="X800" s="403"/>
      <c r="Y800" s="258"/>
    </row>
    <row r="801" spans="1:25" hidden="1" x14ac:dyDescent="0.3">
      <c r="A801" s="47">
        <f>IF(B801="","",SUBTOTAL(3,$B$3:B801)-1)</f>
        <v>7</v>
      </c>
      <c r="B801" s="64">
        <v>1</v>
      </c>
      <c r="C801" s="25" t="s">
        <v>725</v>
      </c>
      <c r="D801" s="24"/>
      <c r="E801" s="46"/>
      <c r="F801" s="22">
        <v>10</v>
      </c>
      <c r="G801" s="175"/>
      <c r="H801" s="405" t="s">
        <v>660</v>
      </c>
      <c r="I801" s="185"/>
      <c r="J801" s="71"/>
      <c r="K801" s="194"/>
      <c r="L801" s="180"/>
      <c r="M801" s="180"/>
      <c r="N801" s="180"/>
      <c r="O801" s="181"/>
      <c r="P801" s="237"/>
      <c r="Q801" s="255"/>
      <c r="R801" s="175"/>
      <c r="S801" s="414" t="s">
        <v>2</v>
      </c>
      <c r="T801" s="190"/>
      <c r="U801" s="22"/>
      <c r="V801" s="233"/>
      <c r="W801" s="239"/>
      <c r="X801" s="403"/>
      <c r="Y801" s="258"/>
    </row>
    <row r="802" spans="1:25" hidden="1" x14ac:dyDescent="0.3">
      <c r="A802" s="47">
        <f>IF(B802="","",SUBTOTAL(3,$B$3:B802)-1)</f>
        <v>7</v>
      </c>
      <c r="B802" s="24" t="s">
        <v>724</v>
      </c>
      <c r="C802" s="24" t="s">
        <v>725</v>
      </c>
      <c r="D802" s="163">
        <v>332685469</v>
      </c>
      <c r="E802" s="46">
        <f>($AA$2-O802)*$AB$2+Q802</f>
        <v>0</v>
      </c>
      <c r="F802" s="22">
        <v>11</v>
      </c>
      <c r="G802" s="175"/>
      <c r="H802" s="409" t="s">
        <v>1</v>
      </c>
      <c r="I802" s="185" t="s">
        <v>661</v>
      </c>
      <c r="J802" s="67"/>
      <c r="K802" s="194"/>
      <c r="L802" s="67"/>
      <c r="M802" s="67"/>
      <c r="N802" s="67"/>
      <c r="O802" s="73"/>
      <c r="P802" s="237"/>
      <c r="Q802" s="255"/>
      <c r="R802" s="175"/>
      <c r="S802" s="411" t="s">
        <v>1</v>
      </c>
      <c r="T802" s="190">
        <v>1</v>
      </c>
      <c r="U802" s="22"/>
      <c r="V802" s="233"/>
      <c r="W802" s="239"/>
      <c r="X802" s="403"/>
      <c r="Y802" s="258"/>
    </row>
    <row r="803" spans="1:25" hidden="1" x14ac:dyDescent="0.3">
      <c r="A803" s="47">
        <f>IF(B803="","",SUBTOTAL(3,$B$3:B803)-1)</f>
        <v>7</v>
      </c>
      <c r="B803" s="25" t="s">
        <v>343</v>
      </c>
      <c r="C803" s="25" t="s">
        <v>122</v>
      </c>
      <c r="D803" s="163"/>
      <c r="E803" s="46">
        <f>($AA$2-O803)*$AB$2+Q803</f>
        <v>0</v>
      </c>
      <c r="F803" s="22">
        <v>12</v>
      </c>
      <c r="G803" s="175" t="s">
        <v>660</v>
      </c>
      <c r="H803" s="405"/>
      <c r="I803" s="185"/>
      <c r="J803" s="67"/>
      <c r="K803" s="194"/>
      <c r="L803" s="67"/>
      <c r="M803" s="67"/>
      <c r="N803" s="67"/>
      <c r="O803" s="73"/>
      <c r="P803" s="237"/>
      <c r="Q803" s="255"/>
      <c r="R803" s="175" t="s">
        <v>1</v>
      </c>
      <c r="S803" s="411"/>
      <c r="T803" s="190"/>
      <c r="U803" s="22"/>
      <c r="V803" s="233"/>
      <c r="W803" s="239"/>
      <c r="X803" s="403"/>
      <c r="Y803" s="258"/>
    </row>
    <row r="804" spans="1:25" hidden="1" x14ac:dyDescent="0.3">
      <c r="A804" s="47">
        <f>IF(B804="","",SUBTOTAL(3,$B$3:B804)-1)</f>
        <v>7</v>
      </c>
      <c r="B804" s="24" t="s">
        <v>1212</v>
      </c>
      <c r="C804" s="24" t="s">
        <v>122</v>
      </c>
      <c r="D804" s="163"/>
      <c r="E804" s="46"/>
      <c r="F804" s="21">
        <v>10</v>
      </c>
      <c r="G804" s="175"/>
      <c r="H804" s="409"/>
      <c r="I804" s="187" t="s">
        <v>661</v>
      </c>
      <c r="J804" s="67"/>
      <c r="K804" s="194"/>
      <c r="L804" s="180"/>
      <c r="M804" s="180"/>
      <c r="N804" s="180"/>
      <c r="O804" s="181"/>
      <c r="P804" s="237"/>
      <c r="Q804" s="255"/>
      <c r="R804" s="175"/>
      <c r="S804" s="411"/>
      <c r="T804" s="190" t="s">
        <v>1</v>
      </c>
      <c r="U804" s="22"/>
      <c r="V804" s="233"/>
      <c r="W804" s="239"/>
      <c r="X804" s="403"/>
      <c r="Y804" s="258"/>
    </row>
    <row r="805" spans="1:25" hidden="1" x14ac:dyDescent="0.3">
      <c r="A805" s="47">
        <f>IF(B805="","",SUBTOTAL(3,$B$3:B805)-1)</f>
        <v>7</v>
      </c>
      <c r="B805" s="26" t="s">
        <v>626</v>
      </c>
      <c r="C805" s="26" t="s">
        <v>627</v>
      </c>
      <c r="D805" s="26"/>
      <c r="E805" s="46">
        <f>($AA$2-O805)*$AB$2+Q805</f>
        <v>0</v>
      </c>
      <c r="F805" s="21">
        <v>8</v>
      </c>
      <c r="G805" s="175"/>
      <c r="H805" s="405" t="s">
        <v>635</v>
      </c>
      <c r="I805" s="185"/>
      <c r="J805" s="67"/>
      <c r="K805" s="194"/>
      <c r="L805" s="67"/>
      <c r="M805" s="67"/>
      <c r="N805" s="67"/>
      <c r="O805" s="73"/>
      <c r="P805" s="237"/>
      <c r="Q805" s="255"/>
      <c r="R805" s="175"/>
      <c r="S805" s="411" t="s">
        <v>2</v>
      </c>
      <c r="T805" s="190"/>
      <c r="U805" s="22"/>
      <c r="V805" s="233"/>
      <c r="W805" s="239"/>
      <c r="X805" s="403"/>
      <c r="Y805" s="258"/>
    </row>
    <row r="806" spans="1:25" hidden="1" x14ac:dyDescent="0.3">
      <c r="A806" s="47">
        <f>IF(B806="","",SUBTOTAL(3,$B$3:B806)-1)</f>
        <v>7</v>
      </c>
      <c r="B806" s="25" t="s">
        <v>139</v>
      </c>
      <c r="C806" s="25" t="s">
        <v>9</v>
      </c>
      <c r="D806" s="163"/>
      <c r="E806" s="46"/>
      <c r="F806" s="21">
        <v>5</v>
      </c>
      <c r="G806" s="176" t="s">
        <v>660</v>
      </c>
      <c r="H806" s="410"/>
      <c r="I806" s="191"/>
      <c r="J806" s="73"/>
      <c r="K806" s="197"/>
      <c r="L806" s="73"/>
      <c r="M806" s="73"/>
      <c r="N806" s="73"/>
      <c r="O806" s="73"/>
      <c r="P806" s="237" t="s">
        <v>1</v>
      </c>
      <c r="Q806" s="255"/>
      <c r="R806" s="175" t="s">
        <v>0</v>
      </c>
      <c r="S806" s="411"/>
      <c r="T806" s="190"/>
      <c r="U806" s="22"/>
      <c r="V806" s="233"/>
      <c r="W806" s="239" t="s">
        <v>0</v>
      </c>
      <c r="X806" s="403"/>
      <c r="Y806" s="258"/>
    </row>
    <row r="807" spans="1:25" hidden="1" x14ac:dyDescent="0.3">
      <c r="A807" s="47">
        <f>IF(B807="","",SUBTOTAL(3,$B$3:B807)-1)</f>
        <v>7</v>
      </c>
      <c r="B807" s="265" t="s">
        <v>1259</v>
      </c>
      <c r="C807" s="265" t="s">
        <v>9</v>
      </c>
      <c r="D807" s="300">
        <v>988980628</v>
      </c>
      <c r="E807" s="46" t="s">
        <v>1214</v>
      </c>
      <c r="F807" s="22">
        <v>6</v>
      </c>
      <c r="G807" s="175" t="s">
        <v>415</v>
      </c>
      <c r="H807" s="405"/>
      <c r="I807" s="185"/>
      <c r="J807" s="71"/>
      <c r="K807" s="194"/>
      <c r="L807" s="67"/>
      <c r="M807" s="67"/>
      <c r="N807" s="67"/>
      <c r="O807" s="73"/>
      <c r="P807" s="237"/>
      <c r="Q807" s="255"/>
      <c r="R807" s="318" t="s">
        <v>0</v>
      </c>
      <c r="S807" s="408" t="s">
        <v>1</v>
      </c>
      <c r="T807" s="190"/>
      <c r="U807" s="22"/>
      <c r="V807" s="233"/>
      <c r="W807" s="239"/>
      <c r="X807" s="403"/>
      <c r="Y807" s="258"/>
    </row>
    <row r="808" spans="1:25" hidden="1" x14ac:dyDescent="0.3">
      <c r="A808" s="47">
        <f>IF(B808="","",SUBTOTAL(3,$B$3:B808)-1)</f>
        <v>7</v>
      </c>
      <c r="B808" s="24" t="s">
        <v>239</v>
      </c>
      <c r="C808" s="24" t="s">
        <v>9</v>
      </c>
      <c r="D808" s="24">
        <v>865694187</v>
      </c>
      <c r="E808" s="46">
        <f>($AA$2-O808)*$AB$2+Q808</f>
        <v>0</v>
      </c>
      <c r="F808" s="22">
        <v>10</v>
      </c>
      <c r="G808" s="175" t="s">
        <v>415</v>
      </c>
      <c r="H808" s="405"/>
      <c r="I808" s="185" t="s">
        <v>661</v>
      </c>
      <c r="J808" s="71" t="s">
        <v>661</v>
      </c>
      <c r="K808" s="194"/>
      <c r="L808" s="180"/>
      <c r="M808" s="180"/>
      <c r="N808" s="180"/>
      <c r="O808" s="181"/>
      <c r="P808" s="237"/>
      <c r="Q808" s="255"/>
      <c r="R808" s="175" t="s">
        <v>848</v>
      </c>
      <c r="S808" s="411"/>
      <c r="T808" s="190" t="s">
        <v>0</v>
      </c>
      <c r="U808" s="22" t="s">
        <v>0</v>
      </c>
      <c r="V808" s="233"/>
      <c r="W808" s="239"/>
      <c r="X808" s="403"/>
      <c r="Y808" s="258"/>
    </row>
    <row r="809" spans="1:25" hidden="1" x14ac:dyDescent="0.3">
      <c r="A809" s="47">
        <f>IF(B809="","",SUBTOTAL(3,$B$3:B809)-1)</f>
        <v>7</v>
      </c>
      <c r="B809" s="24" t="s">
        <v>327</v>
      </c>
      <c r="C809" s="24" t="s">
        <v>9</v>
      </c>
      <c r="D809" s="24">
        <v>939160610</v>
      </c>
      <c r="E809" s="46">
        <f>($AA$2-O809)*$AB$2+Q809</f>
        <v>0</v>
      </c>
      <c r="F809" s="22">
        <v>11</v>
      </c>
      <c r="G809" s="175" t="s">
        <v>415</v>
      </c>
      <c r="H809" s="405" t="s">
        <v>635</v>
      </c>
      <c r="I809" s="185" t="s">
        <v>634</v>
      </c>
      <c r="J809" s="67"/>
      <c r="K809" s="194"/>
      <c r="L809" s="180"/>
      <c r="M809" s="180"/>
      <c r="N809" s="180"/>
      <c r="O809" s="181"/>
      <c r="P809" s="237"/>
      <c r="Q809" s="255"/>
      <c r="R809" s="175" t="s">
        <v>574</v>
      </c>
      <c r="S809" s="411" t="s">
        <v>1</v>
      </c>
      <c r="T809" s="190" t="s">
        <v>661</v>
      </c>
      <c r="U809" s="22"/>
      <c r="V809" s="233"/>
      <c r="W809" s="239"/>
      <c r="X809" s="403"/>
      <c r="Y809" s="258"/>
    </row>
    <row r="810" spans="1:25" hidden="1" x14ac:dyDescent="0.3">
      <c r="A810" s="47">
        <f>IF(B810="","",SUBTOTAL(3,$B$3:B810)-1)</f>
        <v>7</v>
      </c>
      <c r="B810" s="39" t="s">
        <v>984</v>
      </c>
      <c r="C810" s="24" t="s">
        <v>9</v>
      </c>
      <c r="D810" s="163"/>
      <c r="E810" s="46"/>
      <c r="F810" s="22">
        <v>8</v>
      </c>
      <c r="G810" s="175"/>
      <c r="H810" s="406"/>
      <c r="I810" s="188"/>
      <c r="J810" s="142"/>
      <c r="K810" s="196"/>
      <c r="L810" s="67"/>
      <c r="M810" s="67"/>
      <c r="N810" s="67"/>
      <c r="O810" s="73"/>
      <c r="P810" s="237"/>
      <c r="Q810" s="255"/>
      <c r="R810" s="175"/>
      <c r="S810" s="411"/>
      <c r="T810" s="190"/>
      <c r="U810" s="22"/>
      <c r="V810" s="233"/>
      <c r="W810" s="239"/>
      <c r="X810" s="403"/>
      <c r="Y810" s="258"/>
    </row>
    <row r="811" spans="1:25" hidden="1" x14ac:dyDescent="0.3">
      <c r="A811" s="47">
        <f>IF(B811="","",SUBTOTAL(3,$B$3:B811)-1)</f>
        <v>7</v>
      </c>
      <c r="B811" s="143" t="s">
        <v>840</v>
      </c>
      <c r="C811" s="143" t="s">
        <v>832</v>
      </c>
      <c r="D811" s="143" t="s">
        <v>841</v>
      </c>
      <c r="E811" s="46"/>
      <c r="F811" s="142">
        <v>3</v>
      </c>
      <c r="G811" s="176" t="s">
        <v>660</v>
      </c>
      <c r="H811" s="406" t="s">
        <v>634</v>
      </c>
      <c r="I811" s="188" t="s">
        <v>634</v>
      </c>
      <c r="J811" s="142"/>
      <c r="K811" s="196" t="s">
        <v>721</v>
      </c>
      <c r="L811" s="67"/>
      <c r="M811" s="67"/>
      <c r="N811" s="67"/>
      <c r="O811" s="73"/>
      <c r="P811" s="237"/>
      <c r="Q811" s="255"/>
      <c r="R811" s="175" t="s">
        <v>0</v>
      </c>
      <c r="S811" s="411"/>
      <c r="T811" s="190" t="s">
        <v>0</v>
      </c>
      <c r="U811" s="22"/>
      <c r="V811" s="233"/>
      <c r="W811" s="239"/>
      <c r="X811" s="403"/>
      <c r="Y811" s="258"/>
    </row>
    <row r="812" spans="1:25" hidden="1" x14ac:dyDescent="0.3">
      <c r="A812" s="47">
        <f>IF(B812="","",SUBTOTAL(3,$B$3:B812)-1)</f>
        <v>7</v>
      </c>
      <c r="B812" s="143" t="s">
        <v>761</v>
      </c>
      <c r="C812" s="146" t="s">
        <v>762</v>
      </c>
      <c r="D812" s="143">
        <v>336597819</v>
      </c>
      <c r="E812" s="46"/>
      <c r="F812" s="369">
        <v>4</v>
      </c>
      <c r="G812" s="175" t="s">
        <v>826</v>
      </c>
      <c r="H812" s="407"/>
      <c r="I812" s="189"/>
      <c r="J812" s="142"/>
      <c r="K812" s="196" t="s">
        <v>721</v>
      </c>
      <c r="L812" s="67"/>
      <c r="M812" s="67"/>
      <c r="N812" s="67"/>
      <c r="O812" s="73"/>
      <c r="P812" s="237"/>
      <c r="Q812" s="255"/>
      <c r="R812" s="175" t="s">
        <v>1</v>
      </c>
      <c r="S812" s="411"/>
      <c r="T812" s="190"/>
      <c r="U812" s="22"/>
      <c r="V812" s="233"/>
      <c r="W812" s="239" t="s">
        <v>848</v>
      </c>
      <c r="X812" s="403"/>
      <c r="Y812" s="258"/>
    </row>
    <row r="813" spans="1:25" hidden="1" x14ac:dyDescent="0.3">
      <c r="A813" s="47">
        <f>IF(B813="","",SUBTOTAL(3,$B$3:B813)-1)</f>
        <v>7</v>
      </c>
      <c r="B813" s="24" t="s">
        <v>1200</v>
      </c>
      <c r="C813" s="24" t="s">
        <v>762</v>
      </c>
      <c r="D813" s="24"/>
      <c r="E813" s="46"/>
      <c r="F813" s="22">
        <v>10</v>
      </c>
      <c r="G813" s="175"/>
      <c r="H813" s="405" t="s">
        <v>635</v>
      </c>
      <c r="I813" s="185"/>
      <c r="J813" s="67"/>
      <c r="K813" s="194"/>
      <c r="L813" s="180"/>
      <c r="M813" s="180"/>
      <c r="N813" s="180"/>
      <c r="O813" s="181"/>
      <c r="P813" s="237"/>
      <c r="Q813" s="255"/>
      <c r="R813" s="175"/>
      <c r="S813" s="411" t="s">
        <v>1</v>
      </c>
      <c r="T813" s="190"/>
      <c r="U813" s="22"/>
      <c r="V813" s="233"/>
      <c r="W813" s="239"/>
      <c r="X813" s="403"/>
      <c r="Y813" s="258"/>
    </row>
    <row r="814" spans="1:25" hidden="1" x14ac:dyDescent="0.3">
      <c r="A814" s="47">
        <f>IF(B814="","",SUBTOTAL(3,$B$3:B814)-1)</f>
        <v>7</v>
      </c>
      <c r="B814" s="143" t="s">
        <v>1076</v>
      </c>
      <c r="C814" s="143" t="s">
        <v>762</v>
      </c>
      <c r="D814" s="143"/>
      <c r="E814" s="46"/>
      <c r="F814" s="22" t="s">
        <v>1213</v>
      </c>
      <c r="G814" s="175"/>
      <c r="H814" s="406"/>
      <c r="I814" s="188"/>
      <c r="J814" s="142"/>
      <c r="K814" s="196"/>
      <c r="L814" s="67"/>
      <c r="M814" s="67"/>
      <c r="N814" s="67"/>
      <c r="O814" s="73"/>
      <c r="P814" s="237"/>
      <c r="Q814" s="255"/>
      <c r="R814" s="175"/>
      <c r="S814" s="411"/>
      <c r="T814" s="190"/>
      <c r="U814" s="22"/>
      <c r="V814" s="233"/>
      <c r="W814" s="239"/>
      <c r="X814" s="403"/>
      <c r="Y814" s="258"/>
    </row>
    <row r="815" spans="1:25" hidden="1" x14ac:dyDescent="0.3">
      <c r="A815" s="47">
        <f>IF(B815="","",SUBTOTAL(3,$B$3:B815)-1)</f>
        <v>7</v>
      </c>
      <c r="B815" s="26" t="s">
        <v>1068</v>
      </c>
      <c r="C815" s="26" t="s">
        <v>762</v>
      </c>
      <c r="D815" s="26"/>
      <c r="E815" s="46"/>
      <c r="F815" s="142">
        <v>7</v>
      </c>
      <c r="G815" s="175"/>
      <c r="H815" s="405"/>
      <c r="I815" s="185" t="s">
        <v>634</v>
      </c>
      <c r="J815" s="67"/>
      <c r="K815" s="194"/>
      <c r="L815" s="180"/>
      <c r="M815" s="180"/>
      <c r="N815" s="180"/>
      <c r="O815" s="181"/>
      <c r="P815" s="237"/>
      <c r="Q815" s="255"/>
      <c r="R815" s="175"/>
      <c r="S815" s="411"/>
      <c r="T815" s="190" t="s">
        <v>0</v>
      </c>
      <c r="U815" s="22"/>
      <c r="V815" s="233"/>
      <c r="W815" s="239"/>
      <c r="X815" s="403"/>
      <c r="Y815" s="258"/>
    </row>
    <row r="816" spans="1:25" hidden="1" x14ac:dyDescent="0.3">
      <c r="A816" s="47">
        <f>IF(B816="","",SUBTOTAL(3,$B$3:B816)-1)</f>
        <v>7</v>
      </c>
      <c r="B816" s="26" t="s">
        <v>445</v>
      </c>
      <c r="C816" s="26" t="s">
        <v>446</v>
      </c>
      <c r="D816" s="26">
        <v>377262126</v>
      </c>
      <c r="E816" s="46">
        <f>($AA$2-O816)*$AB$2+Q816</f>
        <v>0</v>
      </c>
      <c r="F816" s="22">
        <v>8</v>
      </c>
      <c r="G816" s="175" t="s">
        <v>415</v>
      </c>
      <c r="H816" s="405" t="s">
        <v>660</v>
      </c>
      <c r="I816" s="185"/>
      <c r="J816" s="67"/>
      <c r="K816" s="194"/>
      <c r="L816" s="180"/>
      <c r="M816" s="180"/>
      <c r="N816" s="180"/>
      <c r="O816" s="181"/>
      <c r="P816" s="237"/>
      <c r="Q816" s="255"/>
      <c r="R816" s="175" t="s">
        <v>1</v>
      </c>
      <c r="S816" s="411" t="s">
        <v>0</v>
      </c>
      <c r="T816" s="190"/>
      <c r="U816" s="22"/>
      <c r="V816" s="233"/>
      <c r="W816" s="239"/>
      <c r="X816" s="403"/>
      <c r="Y816" s="258"/>
    </row>
    <row r="817" spans="1:25" hidden="1" x14ac:dyDescent="0.3">
      <c r="A817" s="47">
        <f>IF(B817="","",SUBTOTAL(3,$B$3:B817)-1)</f>
        <v>7</v>
      </c>
      <c r="B817" s="26" t="s">
        <v>513</v>
      </c>
      <c r="C817" s="26" t="s">
        <v>52</v>
      </c>
      <c r="D817" s="26">
        <v>364118551</v>
      </c>
      <c r="E817" s="46">
        <f>($AA$2-O817)*$AB$2+Q817</f>
        <v>0</v>
      </c>
      <c r="F817" s="22">
        <v>8</v>
      </c>
      <c r="G817" s="175"/>
      <c r="H817" s="405"/>
      <c r="I817" s="185"/>
      <c r="J817" s="67"/>
      <c r="K817" s="194"/>
      <c r="L817" s="67"/>
      <c r="M817" s="67"/>
      <c r="N817" s="67"/>
      <c r="O817" s="73"/>
      <c r="P817" s="237"/>
      <c r="Q817" s="255"/>
      <c r="R817" s="175"/>
      <c r="S817" s="411"/>
      <c r="T817" s="190"/>
      <c r="U817" s="22"/>
      <c r="V817" s="233"/>
      <c r="W817" s="239"/>
      <c r="X817" s="403"/>
      <c r="Y817" s="258"/>
    </row>
    <row r="818" spans="1:25" hidden="1" x14ac:dyDescent="0.3">
      <c r="A818" s="47">
        <f>IF(B818="","",SUBTOTAL(3,$B$3:B818)-1)</f>
        <v>7</v>
      </c>
      <c r="B818" s="25" t="s">
        <v>197</v>
      </c>
      <c r="C818" s="25" t="s">
        <v>52</v>
      </c>
      <c r="D818" s="25">
        <v>793708555</v>
      </c>
      <c r="E818" s="46">
        <f>($AA$2-O818)*$AB$2+Q818</f>
        <v>0</v>
      </c>
      <c r="F818" s="22">
        <v>9</v>
      </c>
      <c r="G818" s="175" t="s">
        <v>415</v>
      </c>
      <c r="H818" s="409" t="s">
        <v>635</v>
      </c>
      <c r="I818" s="187"/>
      <c r="J818" s="67"/>
      <c r="K818" s="194"/>
      <c r="L818" s="180"/>
      <c r="M818" s="180"/>
      <c r="N818" s="180"/>
      <c r="O818" s="181"/>
      <c r="P818" s="237"/>
      <c r="Q818" s="255"/>
      <c r="R818" s="175" t="s">
        <v>0</v>
      </c>
      <c r="S818" s="411" t="s">
        <v>2</v>
      </c>
      <c r="T818" s="190"/>
      <c r="U818" s="22"/>
      <c r="V818" s="233"/>
      <c r="W818" s="239"/>
      <c r="X818" s="403"/>
      <c r="Y818" s="258"/>
    </row>
    <row r="819" spans="1:25" hidden="1" x14ac:dyDescent="0.3">
      <c r="A819" s="47">
        <f>IF(B819="","",SUBTOTAL(3,$B$3:B819)-1)</f>
        <v>7</v>
      </c>
      <c r="B819" s="26" t="s">
        <v>881</v>
      </c>
      <c r="C819" s="26" t="s">
        <v>55</v>
      </c>
      <c r="D819" s="26"/>
      <c r="E819" s="46"/>
      <c r="F819" s="142">
        <v>4</v>
      </c>
      <c r="G819" s="175" t="s">
        <v>660</v>
      </c>
      <c r="H819" s="407" t="s">
        <v>634</v>
      </c>
      <c r="I819" s="189" t="s">
        <v>634</v>
      </c>
      <c r="J819" s="142"/>
      <c r="K819" s="196" t="s">
        <v>721</v>
      </c>
      <c r="L819" s="180"/>
      <c r="M819" s="180"/>
      <c r="N819" s="180"/>
      <c r="O819" s="181"/>
      <c r="P819" s="237" t="s">
        <v>1</v>
      </c>
      <c r="Q819" s="255"/>
      <c r="R819" s="175" t="s">
        <v>0</v>
      </c>
      <c r="S819" s="411"/>
      <c r="T819" s="190" t="s">
        <v>0</v>
      </c>
      <c r="U819" s="22"/>
      <c r="V819" s="233"/>
      <c r="W819" s="239" t="s">
        <v>848</v>
      </c>
      <c r="X819" s="403"/>
      <c r="Y819" s="258"/>
    </row>
    <row r="820" spans="1:25" hidden="1" x14ac:dyDescent="0.3">
      <c r="A820" s="47">
        <f>IF(B820="","",SUBTOTAL(3,$B$3:B820)-1)</f>
        <v>7</v>
      </c>
      <c r="B820" s="24" t="s">
        <v>368</v>
      </c>
      <c r="C820" s="24" t="s">
        <v>55</v>
      </c>
      <c r="D820" s="24"/>
      <c r="E820" s="46">
        <f>($AA$2-O820)*$AB$2+Q820</f>
        <v>0</v>
      </c>
      <c r="F820" s="22">
        <v>12</v>
      </c>
      <c r="G820" s="175"/>
      <c r="H820" s="405"/>
      <c r="I820" s="185"/>
      <c r="J820" s="67"/>
      <c r="K820" s="194"/>
      <c r="L820" s="67"/>
      <c r="M820" s="67"/>
      <c r="N820" s="67"/>
      <c r="O820" s="73"/>
      <c r="P820" s="237"/>
      <c r="Q820" s="255"/>
      <c r="R820" s="175" t="s">
        <v>415</v>
      </c>
      <c r="S820" s="411"/>
      <c r="T820" s="190"/>
      <c r="U820" s="22"/>
      <c r="V820" s="233"/>
      <c r="W820" s="239"/>
      <c r="X820" s="403"/>
      <c r="Y820" s="258"/>
    </row>
    <row r="821" spans="1:25" hidden="1" x14ac:dyDescent="0.3">
      <c r="A821" s="47">
        <f>IF(B821="","",SUBTOTAL(3,$B$3:B821)-1)</f>
        <v>7</v>
      </c>
      <c r="B821" s="26" t="s">
        <v>423</v>
      </c>
      <c r="C821" s="26" t="s">
        <v>55</v>
      </c>
      <c r="D821" s="26"/>
      <c r="E821" s="46">
        <f>($AA$2-O821)*$AB$2+Q821</f>
        <v>0</v>
      </c>
      <c r="F821" s="22">
        <v>8</v>
      </c>
      <c r="G821" s="175" t="s">
        <v>415</v>
      </c>
      <c r="H821" s="405" t="s">
        <v>660</v>
      </c>
      <c r="I821" s="185" t="s">
        <v>634</v>
      </c>
      <c r="J821" s="67" t="s">
        <v>661</v>
      </c>
      <c r="K821" s="194"/>
      <c r="L821" s="180"/>
      <c r="M821" s="180"/>
      <c r="N821" s="180"/>
      <c r="O821" s="181"/>
      <c r="P821" s="237"/>
      <c r="Q821" s="255"/>
      <c r="R821" s="175" t="s">
        <v>848</v>
      </c>
      <c r="S821" s="411" t="s">
        <v>0</v>
      </c>
      <c r="T821" s="190" t="s">
        <v>0</v>
      </c>
      <c r="U821" s="22" t="s">
        <v>0</v>
      </c>
      <c r="V821" s="233"/>
      <c r="W821" s="239"/>
      <c r="X821" s="403"/>
      <c r="Y821" s="258"/>
    </row>
    <row r="822" spans="1:25" hidden="1" x14ac:dyDescent="0.3">
      <c r="A822" s="47">
        <f>IF(B822="","",SUBTOTAL(3,$B$3:B822)-1)</f>
        <v>7</v>
      </c>
      <c r="B822" s="25" t="s">
        <v>159</v>
      </c>
      <c r="C822" s="25" t="s">
        <v>55</v>
      </c>
      <c r="D822" s="163"/>
      <c r="E822" s="46">
        <f>($AA$2-O822)*$AB$2+Q822</f>
        <v>0</v>
      </c>
      <c r="F822" s="21">
        <v>9</v>
      </c>
      <c r="G822" s="175"/>
      <c r="H822" s="409"/>
      <c r="I822" s="187"/>
      <c r="J822" s="67"/>
      <c r="K822" s="194"/>
      <c r="L822" s="67"/>
      <c r="M822" s="67"/>
      <c r="N822" s="67"/>
      <c r="O822" s="73"/>
      <c r="P822" s="237"/>
      <c r="Q822" s="255"/>
      <c r="R822" s="175"/>
      <c r="S822" s="411"/>
      <c r="T822" s="190"/>
      <c r="U822" s="22"/>
      <c r="V822" s="233"/>
      <c r="W822" s="239"/>
      <c r="X822" s="403"/>
      <c r="Y822" s="258"/>
    </row>
    <row r="823" spans="1:25" hidden="1" x14ac:dyDescent="0.3">
      <c r="A823" s="47">
        <f>IF(B823="","",SUBTOTAL(3,$B$3:B823)-1)</f>
        <v>7</v>
      </c>
      <c r="B823" s="269" t="s">
        <v>250</v>
      </c>
      <c r="C823" s="269" t="s">
        <v>40</v>
      </c>
      <c r="D823" s="269">
        <v>919582955</v>
      </c>
      <c r="E823" s="46" t="s">
        <v>1214</v>
      </c>
      <c r="F823" s="301">
        <v>1</v>
      </c>
      <c r="G823" s="175" t="s">
        <v>826</v>
      </c>
      <c r="H823" s="405"/>
      <c r="I823" s="185"/>
      <c r="J823" s="71"/>
      <c r="K823" s="194"/>
      <c r="L823" s="67"/>
      <c r="M823" s="67"/>
      <c r="N823" s="67"/>
      <c r="O823" s="73"/>
      <c r="P823" s="237"/>
      <c r="Q823" s="255"/>
      <c r="R823" s="175" t="s">
        <v>0</v>
      </c>
      <c r="S823" s="411"/>
      <c r="T823" s="190"/>
      <c r="U823" s="22"/>
      <c r="V823" s="233"/>
      <c r="W823" s="239"/>
      <c r="X823" s="403"/>
      <c r="Y823" s="323" t="s">
        <v>1330</v>
      </c>
    </row>
    <row r="824" spans="1:25" hidden="1" x14ac:dyDescent="0.3">
      <c r="A824" s="47">
        <f>IF(B824="","",SUBTOTAL(3,$B$3:B824)-1)</f>
        <v>7</v>
      </c>
      <c r="B824" s="143" t="s">
        <v>843</v>
      </c>
      <c r="C824" s="143" t="s">
        <v>40</v>
      </c>
      <c r="D824" s="143">
        <v>357780110</v>
      </c>
      <c r="E824" s="46"/>
      <c r="F824" s="22">
        <v>2</v>
      </c>
      <c r="G824" s="176"/>
      <c r="H824" s="406" t="s">
        <v>634</v>
      </c>
      <c r="I824" s="185" t="s">
        <v>634</v>
      </c>
      <c r="J824" s="142"/>
      <c r="K824" s="196" t="s">
        <v>721</v>
      </c>
      <c r="L824" s="67"/>
      <c r="M824" s="67"/>
      <c r="N824" s="67"/>
      <c r="O824" s="73"/>
      <c r="P824" s="237"/>
      <c r="Q824" s="255"/>
      <c r="R824" s="175"/>
      <c r="S824" s="411"/>
      <c r="T824" s="190" t="s">
        <v>0</v>
      </c>
      <c r="U824" s="22"/>
      <c r="V824" s="233"/>
      <c r="W824" s="239"/>
      <c r="X824" s="403"/>
      <c r="Y824" s="258"/>
    </row>
    <row r="825" spans="1:25" hidden="1" x14ac:dyDescent="0.3">
      <c r="A825" s="47">
        <f>IF(B825="","",SUBTOTAL(3,$B$3:B825)-1)</f>
        <v>7</v>
      </c>
      <c r="B825" s="64" t="s">
        <v>1093</v>
      </c>
      <c r="C825" s="25" t="s">
        <v>40</v>
      </c>
      <c r="D825" s="24"/>
      <c r="E825" s="46"/>
      <c r="F825" s="22">
        <v>10</v>
      </c>
      <c r="G825" s="175" t="s">
        <v>415</v>
      </c>
      <c r="H825" s="405" t="s">
        <v>660</v>
      </c>
      <c r="I825" s="185"/>
      <c r="J825" s="71"/>
      <c r="K825" s="194"/>
      <c r="L825" s="180"/>
      <c r="M825" s="180"/>
      <c r="N825" s="180"/>
      <c r="O825" s="181"/>
      <c r="P825" s="237"/>
      <c r="Q825" s="255"/>
      <c r="R825" s="175" t="s">
        <v>1</v>
      </c>
      <c r="S825" s="414" t="s">
        <v>2</v>
      </c>
      <c r="T825" s="190"/>
      <c r="U825" s="22"/>
      <c r="V825" s="233"/>
      <c r="W825" s="239"/>
      <c r="X825" s="403"/>
      <c r="Y825" s="258"/>
    </row>
    <row r="826" spans="1:25" hidden="1" x14ac:dyDescent="0.3">
      <c r="A826" s="47">
        <f>IF(B826="","",SUBTOTAL(3,$B$3:B826)-1)</f>
        <v>7</v>
      </c>
      <c r="B826" s="25" t="s">
        <v>246</v>
      </c>
      <c r="C826" s="25" t="s">
        <v>40</v>
      </c>
      <c r="D826" s="163"/>
      <c r="E826" s="46">
        <f>($AA$2-O826)*$AB$2+Q826</f>
        <v>0</v>
      </c>
      <c r="F826" s="21">
        <v>10</v>
      </c>
      <c r="G826" s="175" t="s">
        <v>415</v>
      </c>
      <c r="H826" s="405"/>
      <c r="I826" s="185"/>
      <c r="J826" s="71"/>
      <c r="K826" s="194"/>
      <c r="L826" s="180"/>
      <c r="M826" s="180"/>
      <c r="N826" s="180"/>
      <c r="O826" s="181"/>
      <c r="P826" s="237"/>
      <c r="Q826" s="255"/>
      <c r="R826" s="175" t="s">
        <v>0</v>
      </c>
      <c r="S826" s="411"/>
      <c r="T826" s="190"/>
      <c r="U826" s="22"/>
      <c r="V826" s="233"/>
      <c r="W826" s="239"/>
      <c r="X826" s="403"/>
      <c r="Y826" s="258"/>
    </row>
    <row r="827" spans="1:25" hidden="1" x14ac:dyDescent="0.3">
      <c r="A827" s="47">
        <f>IF(B827="","",SUBTOTAL(3,$B$3:B827)-1)</f>
        <v>7</v>
      </c>
      <c r="B827" s="24" t="s">
        <v>568</v>
      </c>
      <c r="C827" s="24" t="s">
        <v>40</v>
      </c>
      <c r="D827" s="24"/>
      <c r="E827" s="46">
        <f>($AA$2-O827)*$AB$2+Q827</f>
        <v>0</v>
      </c>
      <c r="F827" s="21">
        <v>11</v>
      </c>
      <c r="G827" s="175"/>
      <c r="H827" s="405"/>
      <c r="I827" s="185"/>
      <c r="J827" s="67"/>
      <c r="K827" s="194"/>
      <c r="L827" s="67"/>
      <c r="M827" s="67"/>
      <c r="N827" s="67"/>
      <c r="O827" s="73"/>
      <c r="P827" s="237"/>
      <c r="Q827" s="255"/>
      <c r="R827" s="175"/>
      <c r="S827" s="411"/>
      <c r="T827" s="190"/>
      <c r="U827" s="22"/>
      <c r="V827" s="233"/>
      <c r="W827" s="239"/>
      <c r="X827" s="403"/>
      <c r="Y827" s="258"/>
    </row>
    <row r="828" spans="1:25" hidden="1" x14ac:dyDescent="0.3">
      <c r="A828" s="47">
        <f>IF(B828="","",SUBTOTAL(3,$B$3:B828)-1)</f>
        <v>7</v>
      </c>
      <c r="B828" s="24" t="s">
        <v>329</v>
      </c>
      <c r="C828" s="24" t="s">
        <v>40</v>
      </c>
      <c r="D828" s="24"/>
      <c r="E828" s="46">
        <f>($AA$2-O828)*$AB$2+Q828</f>
        <v>0</v>
      </c>
      <c r="F828" s="22">
        <v>11</v>
      </c>
      <c r="G828" s="175"/>
      <c r="H828" s="405" t="s">
        <v>635</v>
      </c>
      <c r="I828" s="185" t="s">
        <v>661</v>
      </c>
      <c r="J828" s="67"/>
      <c r="K828" s="194"/>
      <c r="L828" s="180"/>
      <c r="M828" s="180"/>
      <c r="N828" s="180"/>
      <c r="O828" s="181"/>
      <c r="P828" s="237"/>
      <c r="Q828" s="255"/>
      <c r="R828" s="175"/>
      <c r="S828" s="411" t="s">
        <v>1</v>
      </c>
      <c r="T828" s="190">
        <v>2</v>
      </c>
      <c r="U828" s="22"/>
      <c r="V828" s="233"/>
      <c r="W828" s="239"/>
      <c r="X828" s="403"/>
      <c r="Y828" s="258"/>
    </row>
    <row r="829" spans="1:25" hidden="1" x14ac:dyDescent="0.3">
      <c r="A829" s="47">
        <f>IF(B829="","",SUBTOTAL(3,$B$3:B829)-1)</f>
        <v>7</v>
      </c>
      <c r="B829" s="24" t="s">
        <v>192</v>
      </c>
      <c r="C829" s="242" t="s">
        <v>40</v>
      </c>
      <c r="D829" s="163"/>
      <c r="E829" s="46">
        <f>($AA$2-O829)*$AB$2+Q829</f>
        <v>0</v>
      </c>
      <c r="F829" s="22">
        <v>12</v>
      </c>
      <c r="G829" s="175"/>
      <c r="H829" s="405"/>
      <c r="I829" s="185"/>
      <c r="J829" s="67"/>
      <c r="K829" s="194"/>
      <c r="L829" s="67"/>
      <c r="M829" s="67"/>
      <c r="N829" s="67"/>
      <c r="O829" s="73"/>
      <c r="P829" s="237"/>
      <c r="Q829" s="255"/>
      <c r="R829" s="175"/>
      <c r="S829" s="411"/>
      <c r="T829" s="190"/>
      <c r="U829" s="22"/>
      <c r="V829" s="233"/>
      <c r="W829" s="239"/>
      <c r="X829" s="403"/>
      <c r="Y829" s="258"/>
    </row>
    <row r="830" spans="1:25" hidden="1" x14ac:dyDescent="0.3">
      <c r="A830" s="47">
        <f>IF(B830="","",SUBTOTAL(3,$B$3:B830)-1)</f>
        <v>7</v>
      </c>
      <c r="B830" s="24" t="s">
        <v>277</v>
      </c>
      <c r="C830" s="244" t="s">
        <v>40</v>
      </c>
      <c r="D830" s="25">
        <v>393443808</v>
      </c>
      <c r="E830" s="46">
        <f>($AA$2-O830)*$AB$2+Q830</f>
        <v>0</v>
      </c>
      <c r="F830" s="22" t="s">
        <v>1213</v>
      </c>
      <c r="G830" s="175" t="s">
        <v>660</v>
      </c>
      <c r="H830" s="405"/>
      <c r="I830" s="185"/>
      <c r="J830" s="67"/>
      <c r="K830" s="194"/>
      <c r="L830" s="67"/>
      <c r="M830" s="67"/>
      <c r="N830" s="67"/>
      <c r="O830" s="73"/>
      <c r="P830" s="237"/>
      <c r="Q830" s="255"/>
      <c r="R830" s="175" t="s">
        <v>0</v>
      </c>
      <c r="S830" s="411"/>
      <c r="T830" s="190"/>
      <c r="U830" s="22"/>
      <c r="V830" s="233"/>
      <c r="W830" s="239"/>
      <c r="X830" s="403"/>
      <c r="Y830" s="258"/>
    </row>
    <row r="831" spans="1:25" hidden="1" x14ac:dyDescent="0.3">
      <c r="A831" s="47">
        <f>IF(B831="","",SUBTOTAL(3,$B$3:B831)-1)</f>
        <v>7</v>
      </c>
      <c r="B831" s="39" t="s">
        <v>887</v>
      </c>
      <c r="C831" s="24" t="s">
        <v>40</v>
      </c>
      <c r="D831" s="163">
        <v>348266096</v>
      </c>
      <c r="E831" s="46"/>
      <c r="F831" s="142">
        <v>7</v>
      </c>
      <c r="G831" s="175" t="s">
        <v>415</v>
      </c>
      <c r="H831" s="406" t="s">
        <v>696</v>
      </c>
      <c r="I831" s="188"/>
      <c r="J831" s="142"/>
      <c r="K831" s="196" t="s">
        <v>721</v>
      </c>
      <c r="L831" s="67"/>
      <c r="M831" s="67"/>
      <c r="N831" s="67"/>
      <c r="O831" s="73"/>
      <c r="P831" s="237"/>
      <c r="Q831" s="255"/>
      <c r="R831" s="175" t="s">
        <v>1</v>
      </c>
      <c r="S831" s="411" t="s">
        <v>0</v>
      </c>
      <c r="T831" s="190"/>
      <c r="U831" s="22"/>
      <c r="V831" s="233"/>
      <c r="W831" s="239"/>
      <c r="X831" s="403"/>
      <c r="Y831" s="258"/>
    </row>
    <row r="832" spans="1:25" hidden="1" x14ac:dyDescent="0.3">
      <c r="A832" s="47">
        <f>IF(B832="","",SUBTOTAL(3,$B$3:B832)-1)</f>
        <v>7</v>
      </c>
      <c r="B832" s="26" t="s">
        <v>1193</v>
      </c>
      <c r="C832" s="26" t="s">
        <v>40</v>
      </c>
      <c r="D832" s="164"/>
      <c r="E832" s="46"/>
      <c r="F832" s="22">
        <v>8</v>
      </c>
      <c r="G832" s="176"/>
      <c r="H832" s="405" t="s">
        <v>635</v>
      </c>
      <c r="I832" s="185"/>
      <c r="J832" s="67"/>
      <c r="K832" s="194"/>
      <c r="L832" s="67"/>
      <c r="M832" s="67"/>
      <c r="N832" s="67"/>
      <c r="O832" s="73"/>
      <c r="P832" s="237"/>
      <c r="Q832" s="255"/>
      <c r="R832" s="175"/>
      <c r="S832" s="411" t="s">
        <v>1</v>
      </c>
      <c r="T832" s="190"/>
      <c r="U832" s="22"/>
      <c r="V832" s="233"/>
      <c r="W832" s="239"/>
      <c r="X832" s="403"/>
      <c r="Y832" s="258"/>
    </row>
    <row r="833" spans="1:25" hidden="1" x14ac:dyDescent="0.3">
      <c r="A833" s="47">
        <f>IF(B833="","",SUBTOTAL(3,$B$3:B833)-1)</f>
        <v>7</v>
      </c>
      <c r="B833" s="24" t="s">
        <v>180</v>
      </c>
      <c r="C833" s="24" t="s">
        <v>40</v>
      </c>
      <c r="D833" s="163"/>
      <c r="E833" s="46">
        <f>($AA$2-O833)*$AB$2+Q833</f>
        <v>0</v>
      </c>
      <c r="F833" s="22">
        <v>8</v>
      </c>
      <c r="G833" s="175" t="s">
        <v>415</v>
      </c>
      <c r="H833" s="405" t="s">
        <v>635</v>
      </c>
      <c r="I833" s="185" t="s">
        <v>634</v>
      </c>
      <c r="J833" s="67"/>
      <c r="K833" s="194"/>
      <c r="L833" s="180"/>
      <c r="M833" s="180"/>
      <c r="N833" s="180"/>
      <c r="O833" s="181"/>
      <c r="P833" s="237" t="s">
        <v>0</v>
      </c>
      <c r="Q833" s="255"/>
      <c r="R833" s="175" t="s">
        <v>0</v>
      </c>
      <c r="S833" s="411" t="s">
        <v>1</v>
      </c>
      <c r="T833" s="190" t="s">
        <v>0</v>
      </c>
      <c r="U833" s="22"/>
      <c r="V833" s="233"/>
      <c r="W833" s="239"/>
      <c r="X833" s="403"/>
      <c r="Y833" s="258"/>
    </row>
    <row r="834" spans="1:25" hidden="1" x14ac:dyDescent="0.3">
      <c r="A834" s="47">
        <f>IF(B834="","",SUBTOTAL(3,$B$3:B834)-1)</f>
        <v>7</v>
      </c>
      <c r="B834" s="143" t="s">
        <v>892</v>
      </c>
      <c r="C834" s="143" t="s">
        <v>40</v>
      </c>
      <c r="D834" s="143"/>
      <c r="E834" s="46">
        <f>($AA$2-O834)*$AB$2+Q834</f>
        <v>0</v>
      </c>
      <c r="F834" s="22">
        <v>8</v>
      </c>
      <c r="G834" s="175"/>
      <c r="H834" s="405"/>
      <c r="I834" s="185"/>
      <c r="J834" s="67"/>
      <c r="K834" s="194"/>
      <c r="L834" s="67"/>
      <c r="M834" s="67"/>
      <c r="N834" s="67"/>
      <c r="O834" s="73"/>
      <c r="P834" s="237"/>
      <c r="Q834" s="255"/>
      <c r="R834" s="175"/>
      <c r="S834" s="411"/>
      <c r="T834" s="190"/>
      <c r="U834" s="22"/>
      <c r="V834" s="233"/>
      <c r="W834" s="239"/>
      <c r="X834" s="403"/>
      <c r="Y834" s="258"/>
    </row>
    <row r="835" spans="1:25" hidden="1" x14ac:dyDescent="0.3">
      <c r="A835" s="47">
        <f>IF(B835="","",SUBTOTAL(3,$B$3:B835)-1)</f>
        <v>7</v>
      </c>
      <c r="B835" s="25" t="s">
        <v>615</v>
      </c>
      <c r="C835" s="243" t="s">
        <v>412</v>
      </c>
      <c r="D835" s="244">
        <v>907600416</v>
      </c>
      <c r="E835" s="46">
        <f>($AA$2-O835)*$AB$2+Q835</f>
        <v>0</v>
      </c>
      <c r="F835" s="21" t="s">
        <v>1213</v>
      </c>
      <c r="G835" s="175" t="s">
        <v>660</v>
      </c>
      <c r="H835" s="405"/>
      <c r="I835" s="185"/>
      <c r="J835" s="67"/>
      <c r="K835" s="194"/>
      <c r="L835" s="67"/>
      <c r="M835" s="67"/>
      <c r="N835" s="67"/>
      <c r="O835" s="73"/>
      <c r="P835" s="237"/>
      <c r="Q835" s="255"/>
      <c r="R835" s="175" t="s">
        <v>1</v>
      </c>
      <c r="S835" s="411"/>
      <c r="T835" s="190"/>
      <c r="U835" s="22"/>
      <c r="V835" s="233"/>
      <c r="W835" s="239"/>
      <c r="X835" s="403"/>
      <c r="Y835" s="258"/>
    </row>
    <row r="836" spans="1:25" hidden="1" x14ac:dyDescent="0.3">
      <c r="A836" s="47">
        <f>IF(B836="","",SUBTOTAL(3,$B$3:B836)-1)</f>
        <v>7</v>
      </c>
      <c r="B836" s="25" t="s">
        <v>976</v>
      </c>
      <c r="C836" s="25" t="s">
        <v>91</v>
      </c>
      <c r="D836" s="24"/>
      <c r="E836" s="46"/>
      <c r="F836" s="142">
        <v>3</v>
      </c>
      <c r="G836" s="176"/>
      <c r="H836" s="405"/>
      <c r="I836" s="185"/>
      <c r="J836" s="67"/>
      <c r="K836" s="194"/>
      <c r="L836" s="180"/>
      <c r="M836" s="180"/>
      <c r="N836" s="180"/>
      <c r="O836" s="181"/>
      <c r="P836" s="237" t="s">
        <v>1</v>
      </c>
      <c r="Q836" s="255"/>
      <c r="R836" s="175"/>
      <c r="S836" s="411"/>
      <c r="T836" s="190"/>
      <c r="U836" s="22"/>
      <c r="V836" s="233"/>
      <c r="W836" s="239" t="s">
        <v>848</v>
      </c>
      <c r="X836" s="403"/>
      <c r="Y836" s="258"/>
    </row>
    <row r="837" spans="1:25" hidden="1" x14ac:dyDescent="0.3">
      <c r="A837" s="47">
        <f>IF(B837="","",SUBTOTAL(3,$B$3:B837)-1)</f>
        <v>7</v>
      </c>
      <c r="B837" s="24" t="s">
        <v>854</v>
      </c>
      <c r="C837" s="24" t="s">
        <v>91</v>
      </c>
      <c r="D837" s="24"/>
      <c r="E837" s="46"/>
      <c r="F837" s="22">
        <v>5</v>
      </c>
      <c r="G837" s="176" t="s">
        <v>660</v>
      </c>
      <c r="H837" s="408"/>
      <c r="I837" s="186"/>
      <c r="J837" s="68"/>
      <c r="K837" s="195" t="s">
        <v>721</v>
      </c>
      <c r="L837" s="67"/>
      <c r="M837" s="67"/>
      <c r="N837" s="67"/>
      <c r="O837" s="73"/>
      <c r="P837" s="237"/>
      <c r="Q837" s="255"/>
      <c r="R837" s="175" t="s">
        <v>0</v>
      </c>
      <c r="S837" s="411"/>
      <c r="T837" s="190"/>
      <c r="U837" s="22"/>
      <c r="V837" s="233"/>
      <c r="W837" s="239"/>
      <c r="X837" s="403"/>
      <c r="Y837" s="258"/>
    </row>
    <row r="838" spans="1:25" hidden="1" x14ac:dyDescent="0.3">
      <c r="A838" s="47">
        <f>IF(B838="","",SUBTOTAL(3,$B$3:B838)-1)</f>
        <v>7</v>
      </c>
      <c r="B838" s="24" t="s">
        <v>290</v>
      </c>
      <c r="C838" s="24" t="s">
        <v>91</v>
      </c>
      <c r="D838" s="163"/>
      <c r="E838" s="46">
        <f>($AA$2-O838)*$AB$2+Q838</f>
        <v>0</v>
      </c>
      <c r="F838" s="22">
        <v>10</v>
      </c>
      <c r="G838" s="175" t="s">
        <v>415</v>
      </c>
      <c r="H838" s="405" t="s">
        <v>635</v>
      </c>
      <c r="I838" s="185"/>
      <c r="J838" s="71" t="s">
        <v>661</v>
      </c>
      <c r="K838" s="194"/>
      <c r="L838" s="180"/>
      <c r="M838" s="180"/>
      <c r="N838" s="180"/>
      <c r="O838" s="181"/>
      <c r="P838" s="237"/>
      <c r="Q838" s="255"/>
      <c r="R838" s="175" t="s">
        <v>848</v>
      </c>
      <c r="S838" s="411" t="s">
        <v>848</v>
      </c>
      <c r="T838" s="190"/>
      <c r="U838" s="22" t="s">
        <v>0</v>
      </c>
      <c r="V838" s="233"/>
      <c r="W838" s="239"/>
      <c r="X838" s="403"/>
      <c r="Y838" s="258"/>
    </row>
    <row r="839" spans="1:25" hidden="1" x14ac:dyDescent="0.3">
      <c r="A839" s="47">
        <f>IF(B839="","",SUBTOTAL(3,$B$3:B839)-1)</f>
        <v>7</v>
      </c>
      <c r="B839" s="24" t="s">
        <v>560</v>
      </c>
      <c r="C839" s="242" t="s">
        <v>91</v>
      </c>
      <c r="D839" s="163"/>
      <c r="E839" s="46">
        <f>($AA$2-O839)*$AB$2+Q839</f>
        <v>0</v>
      </c>
      <c r="F839" s="21">
        <v>12</v>
      </c>
      <c r="G839" s="175" t="s">
        <v>660</v>
      </c>
      <c r="H839" s="405"/>
      <c r="I839" s="185"/>
      <c r="J839" s="67"/>
      <c r="K839" s="194"/>
      <c r="L839" s="67"/>
      <c r="M839" s="67"/>
      <c r="N839" s="67"/>
      <c r="O839" s="73"/>
      <c r="P839" s="237"/>
      <c r="Q839" s="255"/>
      <c r="R839" s="175" t="s">
        <v>1</v>
      </c>
      <c r="S839" s="411"/>
      <c r="T839" s="190"/>
      <c r="U839" s="22"/>
      <c r="V839" s="233"/>
      <c r="W839" s="239"/>
      <c r="X839" s="403"/>
      <c r="Y839" s="258"/>
    </row>
    <row r="840" spans="1:25" hidden="1" x14ac:dyDescent="0.3">
      <c r="A840" s="47">
        <f>IF(B840="","",SUBTOTAL(3,$B$3:B840)-1)</f>
        <v>7</v>
      </c>
      <c r="B840" s="39" t="s">
        <v>988</v>
      </c>
      <c r="C840" s="24" t="s">
        <v>91</v>
      </c>
      <c r="D840" s="163"/>
      <c r="E840" s="46"/>
      <c r="F840" s="369">
        <v>7</v>
      </c>
      <c r="G840" s="176" t="s">
        <v>415</v>
      </c>
      <c r="H840" s="406" t="s">
        <v>635</v>
      </c>
      <c r="I840" s="185"/>
      <c r="J840" s="67"/>
      <c r="K840" s="194"/>
      <c r="L840" s="180"/>
      <c r="M840" s="180"/>
      <c r="N840" s="180"/>
      <c r="O840" s="181"/>
      <c r="P840" s="237"/>
      <c r="Q840" s="255"/>
      <c r="R840" s="175" t="s">
        <v>2</v>
      </c>
      <c r="S840" s="411" t="s">
        <v>2</v>
      </c>
      <c r="T840" s="190"/>
      <c r="U840" s="22"/>
      <c r="V840" s="233"/>
      <c r="W840" s="239"/>
      <c r="X840" s="403"/>
      <c r="Y840" s="258"/>
    </row>
    <row r="841" spans="1:25" hidden="1" x14ac:dyDescent="0.3">
      <c r="A841" s="47">
        <f>IF(B841="","",SUBTOTAL(3,$B$3:B841)-1)</f>
        <v>7</v>
      </c>
      <c r="B841" s="39" t="s">
        <v>730</v>
      </c>
      <c r="C841" s="24" t="s">
        <v>91</v>
      </c>
      <c r="D841" s="163" t="s">
        <v>995</v>
      </c>
      <c r="E841" s="46"/>
      <c r="F841" s="142">
        <v>7</v>
      </c>
      <c r="G841" s="176" t="s">
        <v>415</v>
      </c>
      <c r="H841" s="406" t="s">
        <v>635</v>
      </c>
      <c r="I841" s="185" t="s">
        <v>661</v>
      </c>
      <c r="J841" s="67"/>
      <c r="K841" s="194"/>
      <c r="L841" s="180"/>
      <c r="M841" s="180"/>
      <c r="N841" s="180"/>
      <c r="O841" s="181"/>
      <c r="P841" s="237" t="s">
        <v>1</v>
      </c>
      <c r="Q841" s="255"/>
      <c r="R841" s="175" t="s">
        <v>848</v>
      </c>
      <c r="S841" s="411" t="s">
        <v>1</v>
      </c>
      <c r="T841" s="190" t="s">
        <v>1</v>
      </c>
      <c r="U841" s="22"/>
      <c r="V841" s="233"/>
      <c r="W841" s="239"/>
      <c r="X841" s="403"/>
      <c r="Y841" s="258"/>
    </row>
    <row r="842" spans="1:25" hidden="1" x14ac:dyDescent="0.3">
      <c r="A842" s="47">
        <f>IF(B842="","",SUBTOTAL(3,$B$3:B842)-1)</f>
        <v>7</v>
      </c>
      <c r="B842" s="143" t="s">
        <v>822</v>
      </c>
      <c r="C842" s="143" t="s">
        <v>91</v>
      </c>
      <c r="D842" s="143">
        <v>353594619</v>
      </c>
      <c r="E842" s="46"/>
      <c r="F842" s="142">
        <v>7</v>
      </c>
      <c r="G842" s="175" t="s">
        <v>415</v>
      </c>
      <c r="H842" s="406" t="s">
        <v>696</v>
      </c>
      <c r="I842" s="188"/>
      <c r="J842" s="142"/>
      <c r="K842" s="196" t="s">
        <v>721</v>
      </c>
      <c r="L842" s="67"/>
      <c r="M842" s="67"/>
      <c r="N842" s="67"/>
      <c r="O842" s="73"/>
      <c r="P842" s="237"/>
      <c r="Q842" s="255"/>
      <c r="R842" s="175" t="s">
        <v>1</v>
      </c>
      <c r="S842" s="411" t="s">
        <v>848</v>
      </c>
      <c r="T842" s="190"/>
      <c r="U842" s="22"/>
      <c r="V842" s="233"/>
      <c r="W842" s="239"/>
      <c r="X842" s="403"/>
      <c r="Y842" s="258"/>
    </row>
    <row r="843" spans="1:25" hidden="1" x14ac:dyDescent="0.3">
      <c r="A843" s="47">
        <f>IF(B843="","",SUBTOTAL(3,$B$3:B843)-1)</f>
        <v>7</v>
      </c>
      <c r="B843" s="26" t="s">
        <v>733</v>
      </c>
      <c r="C843" s="26" t="s">
        <v>91</v>
      </c>
      <c r="D843" s="26"/>
      <c r="E843" s="46">
        <f>($AA$2-O843)*$AB$2+Q843</f>
        <v>0</v>
      </c>
      <c r="F843" s="142">
        <v>7</v>
      </c>
      <c r="G843" s="175" t="s">
        <v>415</v>
      </c>
      <c r="H843" s="405"/>
      <c r="I843" s="185"/>
      <c r="J843" s="67"/>
      <c r="K843" s="194"/>
      <c r="L843" s="67"/>
      <c r="M843" s="67"/>
      <c r="N843" s="67"/>
      <c r="O843" s="73"/>
      <c r="P843" s="237"/>
      <c r="Q843" s="255"/>
      <c r="R843" s="175"/>
      <c r="S843" s="411"/>
      <c r="T843" s="190"/>
      <c r="U843" s="22"/>
      <c r="V843" s="233"/>
      <c r="W843" s="239"/>
      <c r="X843" s="403"/>
      <c r="Y843" s="258"/>
    </row>
    <row r="844" spans="1:25" hidden="1" x14ac:dyDescent="0.3">
      <c r="A844" s="47">
        <f>IF(B844="","",SUBTOTAL(3,$B$3:B844)-1)</f>
        <v>7</v>
      </c>
      <c r="B844" s="26" t="s">
        <v>291</v>
      </c>
      <c r="C844" s="26" t="s">
        <v>91</v>
      </c>
      <c r="D844" s="26"/>
      <c r="E844" s="46">
        <f>($AA$2-O844)*$AB$2+Q844</f>
        <v>0</v>
      </c>
      <c r="F844" s="22">
        <v>9</v>
      </c>
      <c r="G844" s="175"/>
      <c r="H844" s="409" t="s">
        <v>2</v>
      </c>
      <c r="I844" s="187" t="s">
        <v>634</v>
      </c>
      <c r="J844" s="67" t="s">
        <v>661</v>
      </c>
      <c r="K844" s="194"/>
      <c r="L844" s="67"/>
      <c r="M844" s="67"/>
      <c r="N844" s="67"/>
      <c r="O844" s="73"/>
      <c r="P844" s="237"/>
      <c r="Q844" s="255"/>
      <c r="R844" s="175"/>
      <c r="S844" s="411" t="s">
        <v>848</v>
      </c>
      <c r="T844" s="190" t="s">
        <v>0</v>
      </c>
      <c r="U844" s="22" t="s">
        <v>0</v>
      </c>
      <c r="V844" s="233"/>
      <c r="W844" s="239"/>
      <c r="X844" s="403"/>
      <c r="Y844" s="258"/>
    </row>
    <row r="845" spans="1:25" ht="16.5" hidden="1" customHeight="1" x14ac:dyDescent="0.3">
      <c r="A845" s="47">
        <f>IF(B845="","",SUBTOTAL(3,$B$3:B845)-1)</f>
        <v>7</v>
      </c>
      <c r="B845" s="24" t="s">
        <v>1202</v>
      </c>
      <c r="C845" s="24" t="s">
        <v>1203</v>
      </c>
      <c r="D845" s="24"/>
      <c r="E845" s="46"/>
      <c r="F845" s="22">
        <v>10</v>
      </c>
      <c r="G845" s="175"/>
      <c r="H845" s="405" t="s">
        <v>660</v>
      </c>
      <c r="I845" s="185"/>
      <c r="J845" s="67"/>
      <c r="K845" s="194"/>
      <c r="L845" s="180"/>
      <c r="M845" s="180"/>
      <c r="N845" s="180"/>
      <c r="O845" s="181"/>
      <c r="P845" s="237"/>
      <c r="Q845" s="255"/>
      <c r="R845" s="175"/>
      <c r="S845" s="411" t="s">
        <v>2</v>
      </c>
      <c r="T845" s="190"/>
      <c r="U845" s="22"/>
      <c r="V845" s="233"/>
      <c r="W845" s="239"/>
      <c r="X845" s="403"/>
      <c r="Y845" s="258"/>
    </row>
    <row r="846" spans="1:25" hidden="1" x14ac:dyDescent="0.3">
      <c r="A846" s="47">
        <f>IF(B846="","",SUBTOTAL(3,$B$3:B846)-1)</f>
        <v>7</v>
      </c>
      <c r="B846" s="26" t="s">
        <v>958</v>
      </c>
      <c r="C846" s="26" t="s">
        <v>956</v>
      </c>
      <c r="D846" s="26"/>
      <c r="E846" s="46"/>
      <c r="F846" s="22">
        <v>10</v>
      </c>
      <c r="G846" s="175"/>
      <c r="H846" s="405" t="s">
        <v>635</v>
      </c>
      <c r="I846" s="185" t="s">
        <v>661</v>
      </c>
      <c r="J846" s="67"/>
      <c r="K846" s="194"/>
      <c r="L846" s="67"/>
      <c r="M846" s="67"/>
      <c r="N846" s="67"/>
      <c r="O846" s="73"/>
      <c r="P846" s="237"/>
      <c r="Q846" s="255"/>
      <c r="R846" s="175"/>
      <c r="S846" s="411" t="s">
        <v>1</v>
      </c>
      <c r="T846" s="190" t="s">
        <v>1</v>
      </c>
      <c r="U846" s="22"/>
      <c r="V846" s="233"/>
      <c r="W846" s="239"/>
      <c r="X846" s="403"/>
      <c r="Y846" s="258"/>
    </row>
    <row r="847" spans="1:25" hidden="1" x14ac:dyDescent="0.3">
      <c r="A847" s="47">
        <f>IF(B847="","",SUBTOTAL(3,$B$3:B847)-1)</f>
        <v>7</v>
      </c>
      <c r="B847" s="39" t="s">
        <v>211</v>
      </c>
      <c r="C847" s="24" t="s">
        <v>886</v>
      </c>
      <c r="D847" s="163">
        <v>359348496</v>
      </c>
      <c r="E847" s="46"/>
      <c r="F847" s="142">
        <v>7</v>
      </c>
      <c r="G847" s="175"/>
      <c r="H847" s="406" t="s">
        <v>696</v>
      </c>
      <c r="I847" s="188"/>
      <c r="J847" s="142"/>
      <c r="K847" s="196" t="s">
        <v>721</v>
      </c>
      <c r="L847" s="67"/>
      <c r="M847" s="67"/>
      <c r="N847" s="67"/>
      <c r="O847" s="73"/>
      <c r="P847" s="237"/>
      <c r="Q847" s="255"/>
      <c r="R847" s="175"/>
      <c r="S847" s="411" t="s">
        <v>0</v>
      </c>
      <c r="T847" s="190"/>
      <c r="U847" s="22"/>
      <c r="V847" s="233"/>
      <c r="W847" s="239"/>
      <c r="X847" s="403"/>
      <c r="Y847" s="258"/>
    </row>
    <row r="848" spans="1:25" hidden="1" x14ac:dyDescent="0.3">
      <c r="A848" s="47">
        <f>IF(B848="","",SUBTOTAL(3,$B$3:B848)-1)</f>
        <v>7</v>
      </c>
      <c r="B848" s="39" t="s">
        <v>1391</v>
      </c>
      <c r="C848" s="24" t="s">
        <v>886</v>
      </c>
      <c r="D848" s="163"/>
      <c r="E848" s="46"/>
      <c r="F848" s="142">
        <v>7</v>
      </c>
      <c r="G848" s="176" t="s">
        <v>415</v>
      </c>
      <c r="H848" s="406"/>
      <c r="I848" s="185"/>
      <c r="J848" s="67"/>
      <c r="K848" s="194"/>
      <c r="L848" s="180"/>
      <c r="M848" s="180"/>
      <c r="N848" s="180"/>
      <c r="O848" s="181"/>
      <c r="P848" s="237"/>
      <c r="Q848" s="255"/>
      <c r="R848" s="175" t="s">
        <v>0</v>
      </c>
      <c r="S848" s="411"/>
      <c r="T848" s="190"/>
      <c r="U848" s="22"/>
      <c r="V848" s="233"/>
      <c r="W848" s="239"/>
      <c r="X848" s="403"/>
      <c r="Y848" s="258"/>
    </row>
    <row r="849" spans="1:25" hidden="1" x14ac:dyDescent="0.3">
      <c r="A849" s="47">
        <f>IF(B849="","",SUBTOTAL(3,$B$3:B849)-1)</f>
        <v>7</v>
      </c>
      <c r="B849" s="143" t="s">
        <v>815</v>
      </c>
      <c r="C849" s="143" t="s">
        <v>98</v>
      </c>
      <c r="D849" s="143">
        <v>368359496</v>
      </c>
      <c r="E849" s="46"/>
      <c r="F849" s="142">
        <v>3</v>
      </c>
      <c r="G849" s="176"/>
      <c r="H849" s="406" t="s">
        <v>634</v>
      </c>
      <c r="I849" s="188"/>
      <c r="J849" s="142"/>
      <c r="K849" s="196" t="s">
        <v>721</v>
      </c>
      <c r="L849" s="67"/>
      <c r="M849" s="67"/>
      <c r="N849" s="67"/>
      <c r="O849" s="73"/>
      <c r="P849" s="237"/>
      <c r="Q849" s="255"/>
      <c r="R849" s="175"/>
      <c r="S849" s="411"/>
      <c r="T849" s="190"/>
      <c r="U849" s="22"/>
      <c r="V849" s="233"/>
      <c r="W849" s="239"/>
      <c r="X849" s="403"/>
      <c r="Y849" s="258"/>
    </row>
    <row r="850" spans="1:25" hidden="1" x14ac:dyDescent="0.3">
      <c r="A850" s="47">
        <f>IF(B850="","",SUBTOTAL(3,$B$3:B850)-1)</f>
        <v>7</v>
      </c>
      <c r="B850" s="265" t="s">
        <v>1279</v>
      </c>
      <c r="C850" s="265" t="s">
        <v>98</v>
      </c>
      <c r="D850" s="265">
        <v>916259617</v>
      </c>
      <c r="E850" s="46" t="s">
        <v>1214</v>
      </c>
      <c r="F850" s="300">
        <v>3</v>
      </c>
      <c r="G850" s="175" t="s">
        <v>826</v>
      </c>
      <c r="H850" s="405"/>
      <c r="I850" s="185"/>
      <c r="J850" s="71"/>
      <c r="K850" s="194"/>
      <c r="L850" s="67"/>
      <c r="M850" s="67"/>
      <c r="N850" s="67"/>
      <c r="O850" s="73"/>
      <c r="P850" s="237"/>
      <c r="Q850" s="255"/>
      <c r="R850" s="175" t="s">
        <v>1</v>
      </c>
      <c r="S850" s="411"/>
      <c r="T850" s="190"/>
      <c r="U850" s="22"/>
      <c r="V850" s="233"/>
      <c r="W850" s="239"/>
      <c r="X850" s="403"/>
      <c r="Y850" s="320" t="s">
        <v>1024</v>
      </c>
    </row>
    <row r="851" spans="1:25" hidden="1" x14ac:dyDescent="0.3">
      <c r="A851" s="47">
        <f>IF(B851="","",SUBTOTAL(3,$B$3:B851)-1)</f>
        <v>7</v>
      </c>
      <c r="B851" s="25" t="s">
        <v>301</v>
      </c>
      <c r="C851" s="25" t="s">
        <v>98</v>
      </c>
      <c r="D851" s="26"/>
      <c r="E851" s="46">
        <f>($AA$2-O851)*$AB$2+Q851</f>
        <v>0</v>
      </c>
      <c r="F851" s="22">
        <v>10</v>
      </c>
      <c r="G851" s="175" t="s">
        <v>415</v>
      </c>
      <c r="H851" s="405" t="s">
        <v>635</v>
      </c>
      <c r="I851" s="185"/>
      <c r="J851" s="71"/>
      <c r="K851" s="194"/>
      <c r="L851" s="180"/>
      <c r="M851" s="180"/>
      <c r="N851" s="180"/>
      <c r="O851" s="181"/>
      <c r="P851" s="237"/>
      <c r="Q851" s="255"/>
      <c r="R851" s="175" t="s">
        <v>1</v>
      </c>
      <c r="S851" s="411" t="s">
        <v>0</v>
      </c>
      <c r="T851" s="190"/>
      <c r="U851" s="22"/>
      <c r="V851" s="233"/>
      <c r="W851" s="239"/>
      <c r="X851" s="403"/>
      <c r="Y851" s="258"/>
    </row>
    <row r="852" spans="1:25" hidden="1" x14ac:dyDescent="0.3">
      <c r="A852" s="47">
        <f>IF(B852="","",SUBTOTAL(3,$B$3:B852)-1)</f>
        <v>7</v>
      </c>
      <c r="B852" s="24" t="s">
        <v>365</v>
      </c>
      <c r="C852" s="24" t="s">
        <v>98</v>
      </c>
      <c r="D852" s="25">
        <v>913133744</v>
      </c>
      <c r="E852" s="46">
        <f>($AA$2-O852)*$AB$2+Q852</f>
        <v>0</v>
      </c>
      <c r="F852" s="22">
        <v>12</v>
      </c>
      <c r="G852" s="175" t="s">
        <v>660</v>
      </c>
      <c r="H852" s="405"/>
      <c r="I852" s="185"/>
      <c r="J852" s="67"/>
      <c r="K852" s="194"/>
      <c r="L852" s="67"/>
      <c r="M852" s="67"/>
      <c r="N852" s="67"/>
      <c r="O852" s="73"/>
      <c r="P852" s="237"/>
      <c r="Q852" s="255"/>
      <c r="R852" s="175" t="s">
        <v>1</v>
      </c>
      <c r="S852" s="411"/>
      <c r="T852" s="190"/>
      <c r="U852" s="22"/>
      <c r="V852" s="233"/>
      <c r="W852" s="239"/>
      <c r="X852" s="403"/>
      <c r="Y852" s="258"/>
    </row>
    <row r="853" spans="1:25" hidden="1" x14ac:dyDescent="0.3">
      <c r="A853" s="47">
        <f>IF(B853="","",SUBTOTAL(3,$B$3:B853)-1)</f>
        <v>7</v>
      </c>
      <c r="B853" s="24" t="s">
        <v>726</v>
      </c>
      <c r="C853" s="24" t="s">
        <v>98</v>
      </c>
      <c r="D853" s="24"/>
      <c r="E853" s="46"/>
      <c r="F853" s="142">
        <v>7</v>
      </c>
      <c r="G853" s="175" t="s">
        <v>415</v>
      </c>
      <c r="H853" s="408" t="s">
        <v>635</v>
      </c>
      <c r="I853" s="186"/>
      <c r="J853" s="68"/>
      <c r="K853" s="195"/>
      <c r="L853" s="67"/>
      <c r="M853" s="67"/>
      <c r="N853" s="67"/>
      <c r="O853" s="73"/>
      <c r="P853" s="237"/>
      <c r="Q853" s="255"/>
      <c r="R853" s="175" t="s">
        <v>1</v>
      </c>
      <c r="S853" s="411" t="s">
        <v>2</v>
      </c>
      <c r="T853" s="190"/>
      <c r="U853" s="22"/>
      <c r="V853" s="233"/>
      <c r="W853" s="239"/>
      <c r="X853" s="403"/>
      <c r="Y853" s="258"/>
    </row>
    <row r="854" spans="1:25" hidden="1" x14ac:dyDescent="0.3">
      <c r="A854" s="47">
        <f>IF(B854="","",SUBTOTAL(3,$B$3:B854)-1)</f>
        <v>7</v>
      </c>
      <c r="B854" s="26" t="s">
        <v>433</v>
      </c>
      <c r="C854" s="26" t="s">
        <v>98</v>
      </c>
      <c r="D854" s="26">
        <v>362324197</v>
      </c>
      <c r="E854" s="46">
        <f>($AA$2-O854)*$AB$2+Q854</f>
        <v>0</v>
      </c>
      <c r="F854" s="22">
        <v>8</v>
      </c>
      <c r="G854" s="175" t="s">
        <v>415</v>
      </c>
      <c r="H854" s="405" t="s">
        <v>2</v>
      </c>
      <c r="I854" s="185"/>
      <c r="J854" s="67"/>
      <c r="K854" s="194"/>
      <c r="L854" s="180"/>
      <c r="M854" s="180"/>
      <c r="N854" s="180"/>
      <c r="O854" s="181"/>
      <c r="P854" s="237" t="s">
        <v>0</v>
      </c>
      <c r="Q854" s="255"/>
      <c r="R854" s="175" t="s">
        <v>848</v>
      </c>
      <c r="S854" s="411" t="s">
        <v>848</v>
      </c>
      <c r="T854" s="190"/>
      <c r="U854" s="22"/>
      <c r="V854" s="233"/>
      <c r="W854" s="239"/>
      <c r="X854" s="403"/>
      <c r="Y854" s="258"/>
    </row>
    <row r="855" spans="1:25" hidden="1" x14ac:dyDescent="0.3">
      <c r="A855" s="47">
        <f>IF(B855="","",SUBTOTAL(3,$B$3:B855)-1)</f>
        <v>7</v>
      </c>
      <c r="B855" s="254" t="s">
        <v>105</v>
      </c>
      <c r="C855" s="24" t="s">
        <v>115</v>
      </c>
      <c r="D855" s="163"/>
      <c r="E855" s="46"/>
      <c r="F855" s="22">
        <v>2</v>
      </c>
      <c r="G855" s="175"/>
      <c r="H855" s="405" t="s">
        <v>634</v>
      </c>
      <c r="I855" s="185" t="s">
        <v>634</v>
      </c>
      <c r="J855" s="67"/>
      <c r="K855" s="194"/>
      <c r="L855" s="67"/>
      <c r="M855" s="67"/>
      <c r="N855" s="67"/>
      <c r="O855" s="73"/>
      <c r="P855" s="237"/>
      <c r="Q855" s="255"/>
      <c r="R855" s="175"/>
      <c r="S855" s="411"/>
      <c r="T855" s="190" t="s">
        <v>0</v>
      </c>
      <c r="U855" s="22"/>
      <c r="V855" s="233"/>
      <c r="W855" s="239"/>
      <c r="X855" s="403"/>
      <c r="Y855" s="258"/>
    </row>
    <row r="856" spans="1:25" hidden="1" x14ac:dyDescent="0.3">
      <c r="A856" s="47">
        <f>IF(B856="","",SUBTOTAL(3,$B$3:B856)-1)</f>
        <v>7</v>
      </c>
      <c r="B856" s="25" t="s">
        <v>327</v>
      </c>
      <c r="C856" s="25" t="s">
        <v>115</v>
      </c>
      <c r="D856" s="163"/>
      <c r="E856" s="46">
        <f>($AA$2-O856)*$AB$2+Q856</f>
        <v>0</v>
      </c>
      <c r="F856" s="22">
        <v>11</v>
      </c>
      <c r="G856" s="175"/>
      <c r="H856" s="405" t="s">
        <v>635</v>
      </c>
      <c r="I856" s="185" t="s">
        <v>634</v>
      </c>
      <c r="J856" s="67"/>
      <c r="K856" s="194"/>
      <c r="L856" s="180"/>
      <c r="M856" s="180"/>
      <c r="N856" s="180"/>
      <c r="O856" s="181"/>
      <c r="P856" s="237"/>
      <c r="Q856" s="255"/>
      <c r="R856" s="175"/>
      <c r="S856" s="411" t="s">
        <v>0</v>
      </c>
      <c r="T856" s="190" t="s">
        <v>661</v>
      </c>
      <c r="U856" s="22"/>
      <c r="V856" s="233"/>
      <c r="W856" s="239"/>
      <c r="X856" s="403"/>
      <c r="Y856" s="258"/>
    </row>
    <row r="857" spans="1:25" hidden="1" x14ac:dyDescent="0.3">
      <c r="A857" s="47">
        <f>IF(B857="","",SUBTOTAL(3,$B$3:B857)-1)</f>
        <v>7</v>
      </c>
      <c r="B857" s="143" t="s">
        <v>209</v>
      </c>
      <c r="C857" s="143" t="s">
        <v>799</v>
      </c>
      <c r="D857" s="143"/>
      <c r="E857" s="46"/>
      <c r="F857" s="142">
        <v>3</v>
      </c>
      <c r="G857" s="176" t="s">
        <v>660</v>
      </c>
      <c r="H857" s="406"/>
      <c r="I857" s="188"/>
      <c r="J857" s="142"/>
      <c r="K857" s="196" t="s">
        <v>721</v>
      </c>
      <c r="L857" s="67"/>
      <c r="M857" s="67"/>
      <c r="N857" s="67"/>
      <c r="O857" s="73"/>
      <c r="P857" s="237" t="s">
        <v>1</v>
      </c>
      <c r="Q857" s="255"/>
      <c r="R857" s="175" t="s">
        <v>0</v>
      </c>
      <c r="S857" s="411"/>
      <c r="T857" s="190"/>
      <c r="U857" s="22"/>
      <c r="V857" s="233"/>
      <c r="W857" s="239"/>
      <c r="X857" s="403"/>
      <c r="Y857" s="258"/>
    </row>
    <row r="858" spans="1:25" hidden="1" x14ac:dyDescent="0.3">
      <c r="A858" s="47">
        <f>IF(B858="","",SUBTOTAL(3,$B$3:B858)-1)</f>
        <v>7</v>
      </c>
      <c r="B858" s="143" t="s">
        <v>798</v>
      </c>
      <c r="C858" s="143" t="s">
        <v>799</v>
      </c>
      <c r="D858" s="143">
        <v>377007479</v>
      </c>
      <c r="E858" s="46"/>
      <c r="F858" s="142">
        <v>3</v>
      </c>
      <c r="G858" s="176"/>
      <c r="H858" s="406"/>
      <c r="I858" s="188"/>
      <c r="J858" s="142"/>
      <c r="K858" s="196" t="s">
        <v>721</v>
      </c>
      <c r="L858" s="67"/>
      <c r="M858" s="67"/>
      <c r="N858" s="67"/>
      <c r="O858" s="73"/>
      <c r="P858" s="237"/>
      <c r="Q858" s="255"/>
      <c r="R858" s="175"/>
      <c r="S858" s="411"/>
      <c r="T858" s="190"/>
      <c r="U858" s="22"/>
      <c r="V858" s="233"/>
      <c r="W858" s="239"/>
      <c r="X858" s="403"/>
      <c r="Y858" s="258"/>
    </row>
    <row r="859" spans="1:25" hidden="1" x14ac:dyDescent="0.3">
      <c r="A859" s="47">
        <f>IF(B859="","",SUBTOTAL(3,$B$3:B859)-1)</f>
        <v>7</v>
      </c>
      <c r="B859" s="39" t="s">
        <v>684</v>
      </c>
      <c r="C859" s="24" t="s">
        <v>675</v>
      </c>
      <c r="D859" s="163"/>
      <c r="E859" s="46">
        <f>($AA$2-O859)*$AB$2+Q859</f>
        <v>0</v>
      </c>
      <c r="F859" s="22">
        <v>11</v>
      </c>
      <c r="G859" s="175" t="s">
        <v>415</v>
      </c>
      <c r="H859" s="405" t="s">
        <v>635</v>
      </c>
      <c r="I859" s="185" t="s">
        <v>634</v>
      </c>
      <c r="J859" s="67"/>
      <c r="K859" s="194"/>
      <c r="L859" s="180"/>
      <c r="M859" s="180"/>
      <c r="N859" s="180"/>
      <c r="O859" s="181"/>
      <c r="P859" s="237"/>
      <c r="Q859" s="255"/>
      <c r="R859" s="175" t="s">
        <v>661</v>
      </c>
      <c r="S859" s="411" t="s">
        <v>2</v>
      </c>
      <c r="T859" s="190" t="s">
        <v>661</v>
      </c>
      <c r="U859" s="22"/>
      <c r="V859" s="233"/>
      <c r="W859" s="239"/>
      <c r="X859" s="403"/>
      <c r="Y859" s="258"/>
    </row>
    <row r="860" spans="1:25" hidden="1" x14ac:dyDescent="0.3">
      <c r="A860" s="47">
        <f>IF(B860="","",SUBTOTAL(3,$B$3:B860)-1)</f>
        <v>7</v>
      </c>
      <c r="B860" s="273" t="s">
        <v>1260</v>
      </c>
      <c r="C860" s="273" t="s">
        <v>129</v>
      </c>
      <c r="D860" s="39">
        <v>333476956</v>
      </c>
      <c r="E860" s="46" t="s">
        <v>1214</v>
      </c>
      <c r="F860" s="22">
        <v>6</v>
      </c>
      <c r="G860" s="175" t="s">
        <v>415</v>
      </c>
      <c r="H860" s="405"/>
      <c r="I860" s="185"/>
      <c r="J860" s="71"/>
      <c r="K860" s="194"/>
      <c r="L860" s="67"/>
      <c r="M860" s="67"/>
      <c r="N860" s="67"/>
      <c r="O860" s="73"/>
      <c r="P860" s="237"/>
      <c r="Q860" s="255"/>
      <c r="R860" s="318" t="s">
        <v>0</v>
      </c>
      <c r="S860" s="408" t="s">
        <v>0</v>
      </c>
      <c r="T860" s="190"/>
      <c r="U860" s="22"/>
      <c r="V860" s="233"/>
      <c r="W860" s="239"/>
      <c r="X860" s="403"/>
      <c r="Y860" s="258"/>
    </row>
    <row r="861" spans="1:25" hidden="1" x14ac:dyDescent="0.3">
      <c r="A861" s="47">
        <f>IF(B861="","",SUBTOTAL(3,$B$3:B861)-1)</f>
        <v>7</v>
      </c>
      <c r="B861" s="25" t="s">
        <v>893</v>
      </c>
      <c r="C861" s="25" t="s">
        <v>129</v>
      </c>
      <c r="D861" s="163"/>
      <c r="E861" s="46"/>
      <c r="F861" s="22">
        <v>10</v>
      </c>
      <c r="G861" s="175" t="s">
        <v>415</v>
      </c>
      <c r="H861" s="405" t="s">
        <v>635</v>
      </c>
      <c r="I861" s="185"/>
      <c r="J861" s="71"/>
      <c r="K861" s="194"/>
      <c r="L861" s="67"/>
      <c r="M861" s="67"/>
      <c r="N861" s="67"/>
      <c r="O861" s="73"/>
      <c r="P861" s="237"/>
      <c r="Q861" s="255"/>
      <c r="R861" s="175" t="s">
        <v>1</v>
      </c>
      <c r="S861" s="411" t="s">
        <v>848</v>
      </c>
      <c r="T861" s="190"/>
      <c r="U861" s="22"/>
      <c r="V861" s="233"/>
      <c r="W861" s="239"/>
      <c r="X861" s="403"/>
      <c r="Y861" s="258"/>
    </row>
    <row r="862" spans="1:25" hidden="1" x14ac:dyDescent="0.3">
      <c r="A862" s="47">
        <f>IF(B862="","",SUBTOTAL(3,$B$3:B862)-1)</f>
        <v>7</v>
      </c>
      <c r="B862" s="24" t="s">
        <v>271</v>
      </c>
      <c r="C862" s="24" t="s">
        <v>129</v>
      </c>
      <c r="D862" s="163"/>
      <c r="E862" s="46">
        <f>($AA$2-O862)*$AB$2+Q862</f>
        <v>0</v>
      </c>
      <c r="F862" s="22" t="s">
        <v>1213</v>
      </c>
      <c r="G862" s="175"/>
      <c r="H862" s="405"/>
      <c r="I862" s="185"/>
      <c r="J862" s="67"/>
      <c r="K862" s="194"/>
      <c r="L862" s="67"/>
      <c r="M862" s="67"/>
      <c r="N862" s="67"/>
      <c r="O862" s="73"/>
      <c r="P862" s="237"/>
      <c r="Q862" s="255"/>
      <c r="R862" s="175"/>
      <c r="S862" s="411"/>
      <c r="T862" s="190"/>
      <c r="U862" s="22"/>
      <c r="V862" s="233"/>
      <c r="W862" s="239"/>
      <c r="X862" s="403"/>
      <c r="Y862" s="258"/>
    </row>
    <row r="863" spans="1:25" hidden="1" x14ac:dyDescent="0.3">
      <c r="A863" s="47">
        <f>IF(B863="","",SUBTOTAL(3,$B$3:B863)-1)</f>
        <v>7</v>
      </c>
      <c r="B863" s="24" t="s">
        <v>500</v>
      </c>
      <c r="C863" s="24" t="s">
        <v>501</v>
      </c>
      <c r="D863" s="163">
        <v>945155790</v>
      </c>
      <c r="E863" s="46">
        <f>($AA$2-O863)*$AB$2+Q863</f>
        <v>0</v>
      </c>
      <c r="F863" s="22">
        <v>9</v>
      </c>
      <c r="G863" s="175"/>
      <c r="H863" s="409"/>
      <c r="I863" s="187"/>
      <c r="J863" s="67"/>
      <c r="K863" s="194"/>
      <c r="L863" s="67"/>
      <c r="M863" s="67"/>
      <c r="N863" s="67"/>
      <c r="O863" s="73"/>
      <c r="P863" s="237"/>
      <c r="Q863" s="255"/>
      <c r="R863" s="175"/>
      <c r="S863" s="411"/>
      <c r="T863" s="190"/>
      <c r="U863" s="22"/>
      <c r="V863" s="233"/>
      <c r="W863" s="239"/>
      <c r="X863" s="403"/>
      <c r="Y863" s="258"/>
    </row>
    <row r="864" spans="1:25" ht="37.5" hidden="1" x14ac:dyDescent="0.3">
      <c r="A864" s="47">
        <f>IF(B864="","",SUBTOTAL(3,$B$3:B864)-1)</f>
        <v>7</v>
      </c>
      <c r="B864" s="380" t="s">
        <v>500</v>
      </c>
      <c r="C864" s="380" t="s">
        <v>501</v>
      </c>
      <c r="D864" s="380">
        <v>945155790</v>
      </c>
      <c r="E864" s="46" t="s">
        <v>1356</v>
      </c>
      <c r="F864" s="382">
        <v>9</v>
      </c>
      <c r="G864" s="175" t="s">
        <v>415</v>
      </c>
      <c r="H864" s="405" t="s">
        <v>635</v>
      </c>
      <c r="I864" s="185" t="s">
        <v>634</v>
      </c>
      <c r="J864" s="71"/>
      <c r="K864" s="194"/>
      <c r="L864" s="67"/>
      <c r="M864" s="67"/>
      <c r="N864" s="67"/>
      <c r="O864" s="73"/>
      <c r="P864" s="237"/>
      <c r="Q864" s="255"/>
      <c r="R864" s="175" t="s">
        <v>661</v>
      </c>
      <c r="S864" s="411" t="s">
        <v>2</v>
      </c>
      <c r="T864" s="190" t="s">
        <v>0</v>
      </c>
      <c r="U864" s="22"/>
      <c r="V864" s="233"/>
      <c r="W864" s="239"/>
      <c r="X864" s="403"/>
      <c r="Y864" s="383" t="s">
        <v>1378</v>
      </c>
    </row>
    <row r="865" spans="1:25" hidden="1" x14ac:dyDescent="0.3">
      <c r="A865" s="47">
        <f>IF(B865="","",SUBTOTAL(3,$B$3:B865)-1)</f>
        <v>7</v>
      </c>
      <c r="B865" s="24" t="s">
        <v>252</v>
      </c>
      <c r="C865" s="24" t="s">
        <v>89</v>
      </c>
      <c r="D865" s="163"/>
      <c r="E865" s="46">
        <f>($AA$2-O865)*$AB$2+Q865</f>
        <v>0</v>
      </c>
      <c r="F865" s="22">
        <v>10</v>
      </c>
      <c r="G865" s="175" t="s">
        <v>415</v>
      </c>
      <c r="H865" s="405" t="s">
        <v>696</v>
      </c>
      <c r="I865" s="185" t="s">
        <v>634</v>
      </c>
      <c r="J865" s="71" t="s">
        <v>661</v>
      </c>
      <c r="K865" s="194"/>
      <c r="L865" s="180"/>
      <c r="M865" s="180"/>
      <c r="N865" s="180"/>
      <c r="O865" s="181"/>
      <c r="P865" s="237"/>
      <c r="Q865" s="255"/>
      <c r="R865" s="175" t="s">
        <v>0</v>
      </c>
      <c r="S865" s="411" t="s">
        <v>661</v>
      </c>
      <c r="T865" s="190" t="s">
        <v>0</v>
      </c>
      <c r="U865" s="22" t="s">
        <v>0</v>
      </c>
      <c r="V865" s="233"/>
      <c r="W865" s="239"/>
      <c r="X865" s="403"/>
      <c r="Y865" s="258"/>
    </row>
    <row r="866" spans="1:25" hidden="1" x14ac:dyDescent="0.3">
      <c r="A866" s="47">
        <f>IF(B866="","",SUBTOTAL(3,$B$3:B866)-1)</f>
        <v>7</v>
      </c>
      <c r="B866" s="24" t="s">
        <v>1001</v>
      </c>
      <c r="C866" s="24" t="s">
        <v>89</v>
      </c>
      <c r="D866" s="163"/>
      <c r="E866" s="46"/>
      <c r="F866" s="22">
        <v>9</v>
      </c>
      <c r="G866" s="175" t="s">
        <v>415</v>
      </c>
      <c r="H866" s="409" t="s">
        <v>660</v>
      </c>
      <c r="I866" s="187"/>
      <c r="J866" s="67"/>
      <c r="K866" s="194"/>
      <c r="L866" s="180"/>
      <c r="M866" s="180"/>
      <c r="N866" s="180"/>
      <c r="O866" s="181"/>
      <c r="P866" s="237"/>
      <c r="Q866" s="255"/>
      <c r="R866" s="175"/>
      <c r="S866" s="411" t="s">
        <v>1</v>
      </c>
      <c r="T866" s="190"/>
      <c r="U866" s="22"/>
      <c r="V866" s="233"/>
      <c r="W866" s="239"/>
      <c r="X866" s="403"/>
      <c r="Y866" s="258"/>
    </row>
    <row r="867" spans="1:25" hidden="1" x14ac:dyDescent="0.3">
      <c r="A867" s="47">
        <f>IF(B867="","",SUBTOTAL(3,$B$3:B867)-1)</f>
        <v>7</v>
      </c>
      <c r="B867" s="380" t="s">
        <v>1001</v>
      </c>
      <c r="C867" s="380" t="s">
        <v>89</v>
      </c>
      <c r="D867" s="380">
        <v>385182228</v>
      </c>
      <c r="E867" s="46" t="s">
        <v>1356</v>
      </c>
      <c r="F867" s="382">
        <v>9</v>
      </c>
      <c r="G867" s="175"/>
      <c r="H867" s="405" t="s">
        <v>696</v>
      </c>
      <c r="I867" s="185"/>
      <c r="J867" s="71"/>
      <c r="K867" s="194"/>
      <c r="L867" s="67"/>
      <c r="M867" s="67"/>
      <c r="N867" s="67"/>
      <c r="O867" s="73"/>
      <c r="P867" s="237"/>
      <c r="Q867" s="255"/>
      <c r="R867" s="175"/>
      <c r="S867" s="411" t="s">
        <v>661</v>
      </c>
      <c r="T867" s="190"/>
      <c r="U867" s="22"/>
      <c r="V867" s="233"/>
      <c r="W867" s="239"/>
      <c r="X867" s="403"/>
      <c r="Y867" s="383" t="s">
        <v>764</v>
      </c>
    </row>
    <row r="868" spans="1:25" hidden="1" x14ac:dyDescent="0.3">
      <c r="A868" s="47">
        <f>IF(B868="","",SUBTOTAL(3,$B$3:B868)-1)</f>
        <v>7</v>
      </c>
      <c r="B868" s="143" t="s">
        <v>809</v>
      </c>
      <c r="C868" s="143" t="s">
        <v>104</v>
      </c>
      <c r="D868" s="143">
        <v>333988666</v>
      </c>
      <c r="E868" s="46"/>
      <c r="F868" s="142">
        <v>3</v>
      </c>
      <c r="G868" s="176"/>
      <c r="H868" s="406"/>
      <c r="I868" s="188"/>
      <c r="J868" s="142"/>
      <c r="K868" s="196" t="s">
        <v>721</v>
      </c>
      <c r="L868" s="67"/>
      <c r="M868" s="67"/>
      <c r="N868" s="67"/>
      <c r="O868" s="73"/>
      <c r="P868" s="237" t="s">
        <v>1</v>
      </c>
      <c r="Q868" s="255"/>
      <c r="R868" s="175"/>
      <c r="S868" s="411"/>
      <c r="T868" s="190"/>
      <c r="U868" s="22"/>
      <c r="V868" s="233"/>
      <c r="W868" s="239" t="s">
        <v>848</v>
      </c>
      <c r="X868" s="403"/>
      <c r="Y868" s="258"/>
    </row>
    <row r="869" spans="1:25" hidden="1" x14ac:dyDescent="0.3">
      <c r="A869" s="47">
        <f>IF(B869="","",SUBTOTAL(3,$B$3:B869)-1)</f>
        <v>7</v>
      </c>
      <c r="B869" s="265" t="s">
        <v>1276</v>
      </c>
      <c r="C869" s="265" t="s">
        <v>104</v>
      </c>
      <c r="D869" s="269">
        <v>948928573</v>
      </c>
      <c r="E869" s="46" t="s">
        <v>1214</v>
      </c>
      <c r="F869" s="300">
        <v>3</v>
      </c>
      <c r="G869" s="175" t="s">
        <v>660</v>
      </c>
      <c r="H869" s="405"/>
      <c r="I869" s="185"/>
      <c r="J869" s="71"/>
      <c r="K869" s="194"/>
      <c r="L869" s="67"/>
      <c r="M869" s="67"/>
      <c r="N869" s="67"/>
      <c r="O869" s="73"/>
      <c r="P869" s="237"/>
      <c r="Q869" s="255"/>
      <c r="R869" s="175" t="s">
        <v>0</v>
      </c>
      <c r="S869" s="411"/>
      <c r="T869" s="190"/>
      <c r="U869" s="22"/>
      <c r="V869" s="233"/>
      <c r="W869" s="239"/>
      <c r="X869" s="403"/>
      <c r="Y869" s="320" t="s">
        <v>1023</v>
      </c>
    </row>
    <row r="870" spans="1:25" hidden="1" x14ac:dyDescent="0.3">
      <c r="A870" s="47">
        <f>IF(B870="","",SUBTOTAL(3,$B$3:B870)-1)</f>
        <v>7</v>
      </c>
      <c r="B870" s="24" t="s">
        <v>310</v>
      </c>
      <c r="C870" s="24" t="s">
        <v>104</v>
      </c>
      <c r="D870" s="24"/>
      <c r="E870" s="46">
        <f>($AA$2-O870)*$AB$2+Q870</f>
        <v>0</v>
      </c>
      <c r="F870" s="22">
        <v>11</v>
      </c>
      <c r="G870" s="175" t="s">
        <v>660</v>
      </c>
      <c r="H870" s="405"/>
      <c r="I870" s="185" t="s">
        <v>661</v>
      </c>
      <c r="J870" s="67"/>
      <c r="K870" s="194"/>
      <c r="L870" s="180"/>
      <c r="M870" s="180"/>
      <c r="N870" s="180"/>
      <c r="O870" s="181"/>
      <c r="P870" s="237"/>
      <c r="Q870" s="255"/>
      <c r="R870" s="175" t="s">
        <v>0</v>
      </c>
      <c r="S870" s="411" t="s">
        <v>710</v>
      </c>
      <c r="T870" s="190"/>
      <c r="U870" s="22"/>
      <c r="V870" s="233"/>
      <c r="W870" s="239"/>
      <c r="X870" s="403"/>
      <c r="Y870" s="258"/>
    </row>
    <row r="871" spans="1:25" hidden="1" x14ac:dyDescent="0.3">
      <c r="A871" s="47">
        <f>IF(B871="","",SUBTOTAL(3,$B$3:B871)-1)</f>
        <v>7</v>
      </c>
      <c r="B871" s="143" t="s">
        <v>779</v>
      </c>
      <c r="C871" s="143" t="s">
        <v>104</v>
      </c>
      <c r="D871" s="143">
        <v>972576593</v>
      </c>
      <c r="E871" s="46"/>
      <c r="F871" s="142">
        <v>7</v>
      </c>
      <c r="G871" s="175" t="s">
        <v>415</v>
      </c>
      <c r="H871" s="406" t="s">
        <v>635</v>
      </c>
      <c r="I871" s="188"/>
      <c r="J871" s="142"/>
      <c r="K871" s="196" t="s">
        <v>721</v>
      </c>
      <c r="L871" s="67"/>
      <c r="M871" s="67"/>
      <c r="N871" s="67"/>
      <c r="O871" s="73"/>
      <c r="P871" s="237"/>
      <c r="Q871" s="255"/>
      <c r="R871" s="175" t="s">
        <v>1</v>
      </c>
      <c r="S871" s="411" t="s">
        <v>2</v>
      </c>
      <c r="T871" s="190"/>
      <c r="U871" s="22"/>
      <c r="V871" s="233"/>
      <c r="W871" s="239"/>
      <c r="X871" s="403"/>
      <c r="Y871" s="258"/>
    </row>
    <row r="872" spans="1:25" hidden="1" x14ac:dyDescent="0.3">
      <c r="A872" s="47">
        <f>IF(B872="","",SUBTOTAL(3,$B$3:B872)-1)</f>
        <v>7</v>
      </c>
      <c r="B872" s="25" t="s">
        <v>872</v>
      </c>
      <c r="C872" s="25" t="s">
        <v>7</v>
      </c>
      <c r="D872" s="163"/>
      <c r="E872" s="46"/>
      <c r="F872" s="22">
        <v>5</v>
      </c>
      <c r="G872" s="176" t="s">
        <v>660</v>
      </c>
      <c r="H872" s="407" t="s">
        <v>634</v>
      </c>
      <c r="I872" s="189"/>
      <c r="J872" s="68"/>
      <c r="K872" s="195"/>
      <c r="L872" s="180"/>
      <c r="M872" s="180"/>
      <c r="N872" s="180"/>
      <c r="O872" s="181"/>
      <c r="P872" s="237"/>
      <c r="Q872" s="255"/>
      <c r="R872" s="175" t="s">
        <v>1</v>
      </c>
      <c r="S872" s="411"/>
      <c r="T872" s="190"/>
      <c r="U872" s="22"/>
      <c r="V872" s="233"/>
      <c r="W872" s="239"/>
      <c r="X872" s="403"/>
      <c r="Y872" s="258"/>
    </row>
    <row r="873" spans="1:25" hidden="1" x14ac:dyDescent="0.3">
      <c r="A873" s="47">
        <f>IF(B873="","",SUBTOTAL(3,$B$3:B873)-1)</f>
        <v>7</v>
      </c>
      <c r="B873" s="24" t="s">
        <v>198</v>
      </c>
      <c r="C873" s="24" t="s">
        <v>7</v>
      </c>
      <c r="D873" s="163">
        <v>762404841</v>
      </c>
      <c r="E873" s="46">
        <f>($AA$2-O873)*$AB$2+Q873</f>
        <v>0</v>
      </c>
      <c r="F873" s="21">
        <v>11</v>
      </c>
      <c r="G873" s="175" t="s">
        <v>660</v>
      </c>
      <c r="H873" s="405" t="s">
        <v>1</v>
      </c>
      <c r="I873" s="185" t="s">
        <v>661</v>
      </c>
      <c r="J873" s="67"/>
      <c r="K873" s="194"/>
      <c r="L873" s="67"/>
      <c r="M873" s="67"/>
      <c r="N873" s="67"/>
      <c r="O873" s="73"/>
      <c r="P873" s="237"/>
      <c r="Q873" s="255"/>
      <c r="R873" s="175" t="s">
        <v>0</v>
      </c>
      <c r="S873" s="411" t="s">
        <v>1</v>
      </c>
      <c r="T873" s="190"/>
      <c r="U873" s="22"/>
      <c r="V873" s="233"/>
      <c r="W873" s="239"/>
      <c r="X873" s="403"/>
      <c r="Y873" s="258"/>
    </row>
    <row r="874" spans="1:25" hidden="1" x14ac:dyDescent="0.3">
      <c r="A874" s="47">
        <f>IF(B874="","",SUBTOTAL(3,$B$3:B874)-1)</f>
        <v>7</v>
      </c>
      <c r="B874" s="24" t="s">
        <v>609</v>
      </c>
      <c r="C874" s="24" t="s">
        <v>7</v>
      </c>
      <c r="D874" s="163"/>
      <c r="E874" s="46">
        <f>($AA$2-O874)*$AB$2+Q874</f>
        <v>0</v>
      </c>
      <c r="F874" s="21">
        <v>12</v>
      </c>
      <c r="G874" s="175"/>
      <c r="H874" s="405"/>
      <c r="I874" s="185"/>
      <c r="J874" s="67"/>
      <c r="K874" s="194"/>
      <c r="L874" s="67"/>
      <c r="M874" s="67"/>
      <c r="N874" s="67"/>
      <c r="O874" s="73"/>
      <c r="P874" s="237"/>
      <c r="Q874" s="255"/>
      <c r="R874" s="175" t="s">
        <v>415</v>
      </c>
      <c r="S874" s="411"/>
      <c r="T874" s="190"/>
      <c r="U874" s="22"/>
      <c r="V874" s="233"/>
      <c r="W874" s="239"/>
      <c r="X874" s="403"/>
      <c r="Y874" s="258"/>
    </row>
    <row r="875" spans="1:25" hidden="1" x14ac:dyDescent="0.3">
      <c r="A875" s="47">
        <f>IF(B875="","",SUBTOTAL(3,$B$3:B875)-1)</f>
        <v>7</v>
      </c>
      <c r="B875" s="39" t="s">
        <v>1102</v>
      </c>
      <c r="C875" s="24" t="s">
        <v>7</v>
      </c>
      <c r="D875" s="163"/>
      <c r="E875" s="46"/>
      <c r="F875" s="142">
        <v>7</v>
      </c>
      <c r="G875" s="176" t="s">
        <v>415</v>
      </c>
      <c r="H875" s="406"/>
      <c r="I875" s="185"/>
      <c r="J875" s="67"/>
      <c r="K875" s="194"/>
      <c r="L875" s="180"/>
      <c r="M875" s="180"/>
      <c r="N875" s="180"/>
      <c r="O875" s="181"/>
      <c r="P875" s="237"/>
      <c r="Q875" s="255"/>
      <c r="R875" s="175" t="s">
        <v>2</v>
      </c>
      <c r="S875" s="411"/>
      <c r="T875" s="190"/>
      <c r="U875" s="22"/>
      <c r="V875" s="233"/>
      <c r="W875" s="239"/>
      <c r="X875" s="403"/>
      <c r="Y875" s="258"/>
    </row>
    <row r="876" spans="1:25" hidden="1" x14ac:dyDescent="0.3">
      <c r="A876" s="47">
        <f>IF(B876="","",SUBTOTAL(3,$B$3:B876)-1)</f>
        <v>7</v>
      </c>
      <c r="B876" s="26" t="s">
        <v>734</v>
      </c>
      <c r="C876" s="26" t="s">
        <v>7</v>
      </c>
      <c r="D876" s="26"/>
      <c r="E876" s="46">
        <f>($AA$2-O876)*$AB$2+Q876</f>
        <v>0</v>
      </c>
      <c r="F876" s="142">
        <v>7</v>
      </c>
      <c r="G876" s="175"/>
      <c r="H876" s="405" t="s">
        <v>635</v>
      </c>
      <c r="I876" s="185"/>
      <c r="J876" s="67"/>
      <c r="K876" s="194"/>
      <c r="L876" s="67"/>
      <c r="M876" s="67"/>
      <c r="N876" s="67"/>
      <c r="O876" s="73"/>
      <c r="P876" s="237"/>
      <c r="Q876" s="255"/>
      <c r="R876" s="175"/>
      <c r="S876" s="411" t="s">
        <v>2</v>
      </c>
      <c r="T876" s="190"/>
      <c r="U876" s="22"/>
      <c r="V876" s="233"/>
      <c r="W876" s="239"/>
      <c r="X876" s="403"/>
      <c r="Y876" s="258"/>
    </row>
    <row r="877" spans="1:25" hidden="1" x14ac:dyDescent="0.3">
      <c r="A877" s="47">
        <f>IF(B877="","",SUBTOTAL(3,$B$3:B877)-1)</f>
        <v>7</v>
      </c>
      <c r="B877" s="143" t="s">
        <v>137</v>
      </c>
      <c r="C877" s="143" t="s">
        <v>875</v>
      </c>
      <c r="D877" s="143"/>
      <c r="E877" s="46"/>
      <c r="F877" s="22">
        <v>5</v>
      </c>
      <c r="G877" s="176"/>
      <c r="H877" s="407" t="s">
        <v>634</v>
      </c>
      <c r="I877" s="189" t="s">
        <v>634</v>
      </c>
      <c r="J877" s="142"/>
      <c r="K877" s="196"/>
      <c r="L877" s="67"/>
      <c r="M877" s="67"/>
      <c r="N877" s="67"/>
      <c r="O877" s="73"/>
      <c r="P877" s="237"/>
      <c r="Q877" s="255"/>
      <c r="R877" s="175"/>
      <c r="S877" s="411"/>
      <c r="T877" s="190" t="s">
        <v>0</v>
      </c>
      <c r="U877" s="22"/>
      <c r="V877" s="233"/>
      <c r="W877" s="239"/>
      <c r="X877" s="403"/>
      <c r="Y877" s="258"/>
    </row>
    <row r="878" spans="1:25" hidden="1" x14ac:dyDescent="0.3">
      <c r="A878" s="47">
        <f>IF(B878="","",SUBTOTAL(3,$B$3:B878)-1)</f>
        <v>7</v>
      </c>
      <c r="B878" s="24" t="s">
        <v>137</v>
      </c>
      <c r="C878" s="24" t="s">
        <v>875</v>
      </c>
      <c r="D878" s="27"/>
      <c r="E878" s="46"/>
      <c r="F878" s="22">
        <v>5</v>
      </c>
      <c r="G878" s="176" t="s">
        <v>660</v>
      </c>
      <c r="H878" s="405"/>
      <c r="I878" s="185"/>
      <c r="J878" s="67"/>
      <c r="K878" s="194"/>
      <c r="L878" s="67"/>
      <c r="M878" s="67"/>
      <c r="N878" s="67"/>
      <c r="O878" s="73"/>
      <c r="P878" s="237" t="s">
        <v>1</v>
      </c>
      <c r="Q878" s="255"/>
      <c r="R878" s="175" t="s">
        <v>0</v>
      </c>
      <c r="S878" s="411"/>
      <c r="T878" s="190"/>
      <c r="U878" s="22"/>
      <c r="V878" s="233"/>
      <c r="W878" s="239" t="s">
        <v>0</v>
      </c>
      <c r="X878" s="403"/>
      <c r="Y878" s="258"/>
    </row>
    <row r="879" spans="1:25" hidden="1" x14ac:dyDescent="0.3">
      <c r="A879" s="47">
        <f>IF(B879="","",SUBTOTAL(3,$B$3:B879)-1)</f>
        <v>7</v>
      </c>
      <c r="B879" s="269" t="s">
        <v>1400</v>
      </c>
      <c r="C879" s="269" t="s">
        <v>27</v>
      </c>
      <c r="D879" s="269"/>
      <c r="E879" s="46" t="s">
        <v>1214</v>
      </c>
      <c r="F879" s="301">
        <v>2</v>
      </c>
      <c r="G879" s="175"/>
      <c r="H879" s="405"/>
      <c r="I879" s="185"/>
      <c r="J879" s="71"/>
      <c r="K879" s="194"/>
      <c r="L879" s="67"/>
      <c r="M879" s="67"/>
      <c r="N879" s="67"/>
      <c r="O879" s="73"/>
      <c r="P879" s="237"/>
      <c r="Q879" s="255"/>
      <c r="R879" s="175" t="s">
        <v>0</v>
      </c>
      <c r="S879" s="411"/>
      <c r="T879" s="190"/>
      <c r="U879" s="22"/>
      <c r="V879" s="233"/>
      <c r="W879" s="239"/>
      <c r="X879" s="403"/>
      <c r="Y879" s="323"/>
    </row>
    <row r="880" spans="1:25" hidden="1" x14ac:dyDescent="0.3">
      <c r="A880" s="47">
        <f>IF(B880="","",SUBTOTAL(3,$B$3:B880)-1)</f>
        <v>7</v>
      </c>
      <c r="B880" s="254" t="s">
        <v>56</v>
      </c>
      <c r="C880" s="24" t="s">
        <v>27</v>
      </c>
      <c r="D880" s="163"/>
      <c r="E880" s="46"/>
      <c r="F880" s="22">
        <v>2</v>
      </c>
      <c r="G880" s="175"/>
      <c r="H880" s="405" t="s">
        <v>634</v>
      </c>
      <c r="I880" s="185" t="s">
        <v>634</v>
      </c>
      <c r="J880" s="67"/>
      <c r="K880" s="194"/>
      <c r="L880" s="67"/>
      <c r="M880" s="67"/>
      <c r="N880" s="67"/>
      <c r="O880" s="73"/>
      <c r="P880" s="237"/>
      <c r="Q880" s="255"/>
      <c r="R880" s="175"/>
      <c r="S880" s="411"/>
      <c r="T880" s="190" t="s">
        <v>0</v>
      </c>
      <c r="U880" s="22"/>
      <c r="V880" s="233"/>
      <c r="W880" s="239"/>
      <c r="X880" s="403"/>
      <c r="Y880" s="258"/>
    </row>
    <row r="881" spans="1:25" hidden="1" x14ac:dyDescent="0.3">
      <c r="A881" s="47">
        <f>IF(B881="","",SUBTOTAL(3,$B$3:B881)-1)</f>
        <v>7</v>
      </c>
      <c r="B881" s="24" t="s">
        <v>211</v>
      </c>
      <c r="C881" s="24" t="s">
        <v>27</v>
      </c>
      <c r="D881" s="163"/>
      <c r="E881" s="46">
        <f>($AA$2-O881)*$AB$2+Q881</f>
        <v>0</v>
      </c>
      <c r="F881" s="22">
        <v>5</v>
      </c>
      <c r="G881" s="175"/>
      <c r="H881" s="405"/>
      <c r="I881" s="185"/>
      <c r="J881" s="67"/>
      <c r="K881" s="194"/>
      <c r="L881" s="67"/>
      <c r="M881" s="67"/>
      <c r="N881" s="67"/>
      <c r="O881" s="73"/>
      <c r="P881" s="237"/>
      <c r="Q881" s="255"/>
      <c r="R881" s="175"/>
      <c r="S881" s="411"/>
      <c r="T881" s="190"/>
      <c r="U881" s="22"/>
      <c r="V881" s="233"/>
      <c r="W881" s="239"/>
      <c r="X881" s="403"/>
      <c r="Y881" s="258"/>
    </row>
    <row r="882" spans="1:25" ht="37.5" hidden="1" x14ac:dyDescent="0.3">
      <c r="A882" s="47">
        <f>IF(B882="","",SUBTOTAL(3,$B$3:B882)-1)</f>
        <v>7</v>
      </c>
      <c r="B882" s="269" t="s">
        <v>1261</v>
      </c>
      <c r="C882" s="269" t="s">
        <v>27</v>
      </c>
      <c r="D882" s="301" t="s">
        <v>1347</v>
      </c>
      <c r="E882" s="46" t="s">
        <v>1214</v>
      </c>
      <c r="F882" s="22">
        <v>6</v>
      </c>
      <c r="G882" s="175" t="s">
        <v>415</v>
      </c>
      <c r="H882" s="405"/>
      <c r="I882" s="185"/>
      <c r="J882" s="71"/>
      <c r="K882" s="194"/>
      <c r="L882" s="67"/>
      <c r="M882" s="67"/>
      <c r="N882" s="67"/>
      <c r="O882" s="73"/>
      <c r="P882" s="237"/>
      <c r="Q882" s="255"/>
      <c r="R882" s="318" t="s">
        <v>0</v>
      </c>
      <c r="S882" s="408" t="s">
        <v>1</v>
      </c>
      <c r="T882" s="190"/>
      <c r="U882" s="22"/>
      <c r="V882" s="233"/>
      <c r="W882" s="239"/>
      <c r="X882" s="403"/>
      <c r="Y882" s="258"/>
    </row>
    <row r="883" spans="1:25" hidden="1" x14ac:dyDescent="0.3">
      <c r="A883" s="47">
        <f>IF(B883="","",SUBTOTAL(3,$B$3:B883)-1)</f>
        <v>7</v>
      </c>
      <c r="B883" s="269" t="s">
        <v>1262</v>
      </c>
      <c r="C883" s="269" t="s">
        <v>27</v>
      </c>
      <c r="D883" s="301">
        <v>947267495</v>
      </c>
      <c r="E883" s="46" t="s">
        <v>1214</v>
      </c>
      <c r="F883" s="22">
        <v>6</v>
      </c>
      <c r="G883" s="175" t="s">
        <v>415</v>
      </c>
      <c r="H883" s="405"/>
      <c r="I883" s="185"/>
      <c r="J883" s="71"/>
      <c r="K883" s="194"/>
      <c r="L883" s="67"/>
      <c r="M883" s="67"/>
      <c r="N883" s="67"/>
      <c r="O883" s="73"/>
      <c r="P883" s="237"/>
      <c r="Q883" s="255"/>
      <c r="R883" s="318" t="s">
        <v>0</v>
      </c>
      <c r="S883" s="408" t="s">
        <v>1</v>
      </c>
      <c r="T883" s="190"/>
      <c r="U883" s="22"/>
      <c r="V883" s="233"/>
      <c r="W883" s="239"/>
      <c r="X883" s="403"/>
      <c r="Y883" s="258"/>
    </row>
    <row r="884" spans="1:25" hidden="1" x14ac:dyDescent="0.3">
      <c r="A884" s="47">
        <f>IF(B884="","",SUBTOTAL(3,$B$3:B884)-1)</f>
        <v>7</v>
      </c>
      <c r="B884" s="273" t="s">
        <v>1263</v>
      </c>
      <c r="C884" s="273" t="s">
        <v>27</v>
      </c>
      <c r="D884" s="300">
        <v>867672127</v>
      </c>
      <c r="E884" s="46" t="s">
        <v>1214</v>
      </c>
      <c r="F884" s="22">
        <v>6</v>
      </c>
      <c r="G884" s="175" t="s">
        <v>415</v>
      </c>
      <c r="H884" s="405"/>
      <c r="I884" s="185"/>
      <c r="J884" s="71"/>
      <c r="K884" s="194"/>
      <c r="L884" s="67"/>
      <c r="M884" s="67"/>
      <c r="N884" s="67"/>
      <c r="O884" s="73"/>
      <c r="P884" s="237"/>
      <c r="Q884" s="255"/>
      <c r="R884" s="318" t="s">
        <v>0</v>
      </c>
      <c r="S884" s="408"/>
      <c r="T884" s="190"/>
      <c r="U884" s="22"/>
      <c r="V884" s="233"/>
      <c r="W884" s="239"/>
      <c r="X884" s="403"/>
      <c r="Y884" s="258"/>
    </row>
    <row r="885" spans="1:25" hidden="1" x14ac:dyDescent="0.3">
      <c r="A885" s="47">
        <f>IF(B885="","",SUBTOTAL(3,$B$3:B885)-1)</f>
        <v>7</v>
      </c>
      <c r="B885" s="24" t="s">
        <v>602</v>
      </c>
      <c r="C885" s="24" t="s">
        <v>27</v>
      </c>
      <c r="D885" s="24">
        <v>334160978</v>
      </c>
      <c r="E885" s="46">
        <f>($AA$2-O885)*$AB$2+Q885</f>
        <v>0</v>
      </c>
      <c r="F885" s="22">
        <v>11</v>
      </c>
      <c r="G885" s="175" t="s">
        <v>660</v>
      </c>
      <c r="H885" s="405"/>
      <c r="I885" s="185" t="s">
        <v>661</v>
      </c>
      <c r="J885" s="67"/>
      <c r="K885" s="194"/>
      <c r="L885" s="67"/>
      <c r="M885" s="67"/>
      <c r="N885" s="67"/>
      <c r="O885" s="73"/>
      <c r="P885" s="237"/>
      <c r="Q885" s="255"/>
      <c r="R885" s="175" t="s">
        <v>0</v>
      </c>
      <c r="S885" s="411" t="s">
        <v>710</v>
      </c>
      <c r="T885" s="190"/>
      <c r="U885" s="22"/>
      <c r="V885" s="233"/>
      <c r="W885" s="239"/>
      <c r="X885" s="403"/>
      <c r="Y885" s="258"/>
    </row>
    <row r="886" spans="1:25" hidden="1" x14ac:dyDescent="0.3">
      <c r="A886" s="47">
        <f>IF(B886="","",SUBTOTAL(3,$B$3:B886)-1)</f>
        <v>7</v>
      </c>
      <c r="B886" s="39" t="s">
        <v>458</v>
      </c>
      <c r="C886" s="242" t="s">
        <v>27</v>
      </c>
      <c r="D886" s="163">
        <v>788931830</v>
      </c>
      <c r="E886" s="46">
        <f>($AA$2-O886)*$AB$2+Q886</f>
        <v>0</v>
      </c>
      <c r="F886" s="21">
        <v>11</v>
      </c>
      <c r="G886" s="175"/>
      <c r="H886" s="405"/>
      <c r="I886" s="185"/>
      <c r="J886" s="67"/>
      <c r="K886" s="194"/>
      <c r="L886" s="180"/>
      <c r="M886" s="180"/>
      <c r="N886" s="180"/>
      <c r="O886" s="181"/>
      <c r="P886" s="237"/>
      <c r="Q886" s="255"/>
      <c r="R886" s="175"/>
      <c r="S886" s="411" t="s">
        <v>1</v>
      </c>
      <c r="T886" s="190"/>
      <c r="U886" s="22"/>
      <c r="V886" s="233"/>
      <c r="W886" s="239"/>
      <c r="X886" s="403"/>
      <c r="Y886" s="258"/>
    </row>
    <row r="887" spans="1:25" hidden="1" x14ac:dyDescent="0.3">
      <c r="A887" s="47">
        <f>IF(B887="","",SUBTOTAL(3,$B$3:B887)-1)</f>
        <v>7</v>
      </c>
      <c r="B887" s="24" t="s">
        <v>353</v>
      </c>
      <c r="C887" s="24" t="s">
        <v>27</v>
      </c>
      <c r="D887" s="27"/>
      <c r="E887" s="46">
        <f>($AA$2-O887)*$AB$2+Q887</f>
        <v>0</v>
      </c>
      <c r="F887" s="22">
        <v>12</v>
      </c>
      <c r="G887" s="175" t="s">
        <v>660</v>
      </c>
      <c r="H887" s="405"/>
      <c r="I887" s="185"/>
      <c r="J887" s="67"/>
      <c r="K887" s="194"/>
      <c r="L887" s="67"/>
      <c r="M887" s="67"/>
      <c r="N887" s="67"/>
      <c r="O887" s="73"/>
      <c r="P887" s="237"/>
      <c r="Q887" s="255"/>
      <c r="R887" s="175" t="s">
        <v>0</v>
      </c>
      <c r="S887" s="411"/>
      <c r="T887" s="190"/>
      <c r="U887" s="22"/>
      <c r="V887" s="233"/>
      <c r="W887" s="239"/>
      <c r="X887" s="403"/>
      <c r="Y887" s="258"/>
    </row>
    <row r="888" spans="1:25" hidden="1" x14ac:dyDescent="0.3">
      <c r="A888" s="47">
        <f>IF(B888="","",SUBTOTAL(3,$B$3:B888)-1)</f>
        <v>7</v>
      </c>
      <c r="B888" s="25" t="s">
        <v>614</v>
      </c>
      <c r="C888" s="243" t="s">
        <v>27</v>
      </c>
      <c r="D888" s="244"/>
      <c r="E888" s="46">
        <f>($AA$2-O888)*$AB$2+Q888</f>
        <v>0</v>
      </c>
      <c r="F888" s="22" t="s">
        <v>1213</v>
      </c>
      <c r="G888" s="175" t="s">
        <v>660</v>
      </c>
      <c r="H888" s="405"/>
      <c r="I888" s="185"/>
      <c r="J888" s="67"/>
      <c r="K888" s="194"/>
      <c r="L888" s="67"/>
      <c r="M888" s="67"/>
      <c r="N888" s="67"/>
      <c r="O888" s="73"/>
      <c r="P888" s="237"/>
      <c r="Q888" s="255"/>
      <c r="R888" s="175" t="s">
        <v>1</v>
      </c>
      <c r="S888" s="411"/>
      <c r="T888" s="190"/>
      <c r="U888" s="22"/>
      <c r="V888" s="233"/>
      <c r="W888" s="239"/>
      <c r="X888" s="403"/>
      <c r="Y888" s="258"/>
    </row>
    <row r="889" spans="1:25" hidden="1" x14ac:dyDescent="0.3">
      <c r="A889" s="47">
        <f>IF(B889="","",SUBTOTAL(3,$B$3:B889)-1)</f>
        <v>7</v>
      </c>
      <c r="B889" s="27" t="s">
        <v>165</v>
      </c>
      <c r="C889" s="27" t="s">
        <v>27</v>
      </c>
      <c r="D889" s="24"/>
      <c r="E889" s="46">
        <f>($AA$2-O889)*$AB$2+Q889</f>
        <v>0</v>
      </c>
      <c r="F889" s="142">
        <v>7</v>
      </c>
      <c r="G889" s="175" t="s">
        <v>415</v>
      </c>
      <c r="H889" s="405" t="s">
        <v>696</v>
      </c>
      <c r="I889" s="185" t="s">
        <v>634</v>
      </c>
      <c r="J889" s="67"/>
      <c r="K889" s="194"/>
      <c r="L889" s="180"/>
      <c r="M889" s="180"/>
      <c r="N889" s="180"/>
      <c r="O889" s="181"/>
      <c r="P889" s="237" t="s">
        <v>1</v>
      </c>
      <c r="Q889" s="255"/>
      <c r="R889" s="175" t="s">
        <v>848</v>
      </c>
      <c r="S889" s="411" t="s">
        <v>848</v>
      </c>
      <c r="T889" s="190" t="s">
        <v>0</v>
      </c>
      <c r="U889" s="22"/>
      <c r="V889" s="233"/>
      <c r="W889" s="239" t="s">
        <v>0</v>
      </c>
      <c r="X889" s="403"/>
      <c r="Y889" s="258"/>
    </row>
    <row r="890" spans="1:25" hidden="1" x14ac:dyDescent="0.3">
      <c r="A890" s="47">
        <f>IF(B890="","",SUBTOTAL(3,$B$3:B890)-1)</f>
        <v>7</v>
      </c>
      <c r="B890" s="380" t="s">
        <v>1362</v>
      </c>
      <c r="C890" s="380" t="s">
        <v>27</v>
      </c>
      <c r="D890" s="380">
        <v>939857178</v>
      </c>
      <c r="E890" s="46" t="s">
        <v>1356</v>
      </c>
      <c r="F890" s="382">
        <v>7</v>
      </c>
      <c r="G890" s="175" t="s">
        <v>1332</v>
      </c>
      <c r="H890" s="405"/>
      <c r="I890" s="185" t="s">
        <v>661</v>
      </c>
      <c r="J890" s="71"/>
      <c r="K890" s="194"/>
      <c r="L890" s="67"/>
      <c r="M890" s="67"/>
      <c r="N890" s="67"/>
      <c r="O890" s="73"/>
      <c r="P890" s="237"/>
      <c r="Q890" s="255"/>
      <c r="R890" s="175" t="s">
        <v>661</v>
      </c>
      <c r="S890" s="411"/>
      <c r="T890" s="190" t="s">
        <v>1</v>
      </c>
      <c r="U890" s="22"/>
      <c r="V890" s="233"/>
      <c r="W890" s="239"/>
      <c r="X890" s="403"/>
      <c r="Y890" s="383" t="s">
        <v>1380</v>
      </c>
    </row>
    <row r="891" spans="1:25" hidden="1" x14ac:dyDescent="0.3">
      <c r="A891" s="47">
        <f>IF(B891="","",SUBTOTAL(3,$B$3:B891)-1)</f>
        <v>7</v>
      </c>
      <c r="B891" s="39" t="s">
        <v>1396</v>
      </c>
      <c r="C891" s="24" t="s">
        <v>27</v>
      </c>
      <c r="D891" s="163"/>
      <c r="E891" s="46"/>
      <c r="F891" s="142">
        <v>7</v>
      </c>
      <c r="G891" s="176"/>
      <c r="H891" s="406"/>
      <c r="I891" s="185"/>
      <c r="J891" s="67"/>
      <c r="K891" s="194"/>
      <c r="L891" s="180"/>
      <c r="M891" s="180"/>
      <c r="N891" s="180"/>
      <c r="O891" s="181"/>
      <c r="P891" s="237"/>
      <c r="Q891" s="255"/>
      <c r="R891" s="175" t="s">
        <v>661</v>
      </c>
      <c r="S891" s="411"/>
      <c r="T891" s="190"/>
      <c r="U891" s="22"/>
      <c r="V891" s="233"/>
      <c r="W891" s="239"/>
      <c r="X891" s="403"/>
      <c r="Y891" s="258"/>
    </row>
    <row r="892" spans="1:25" hidden="1" x14ac:dyDescent="0.3">
      <c r="A892" s="47">
        <f>IF(B892="","",SUBTOTAL(3,$B$3:B892)-1)</f>
        <v>7</v>
      </c>
      <c r="B892" s="143" t="s">
        <v>207</v>
      </c>
      <c r="C892" s="143" t="s">
        <v>27</v>
      </c>
      <c r="D892" s="143"/>
      <c r="E892" s="46"/>
      <c r="F892" s="22">
        <v>8</v>
      </c>
      <c r="G892" s="175"/>
      <c r="H892" s="405" t="s">
        <v>660</v>
      </c>
      <c r="I892" s="188"/>
      <c r="J892" s="142"/>
      <c r="K892" s="196"/>
      <c r="L892" s="67"/>
      <c r="M892" s="67"/>
      <c r="N892" s="67"/>
      <c r="O892" s="73"/>
      <c r="P892" s="237"/>
      <c r="Q892" s="255"/>
      <c r="R892" s="175"/>
      <c r="S892" s="411" t="s">
        <v>0</v>
      </c>
      <c r="T892" s="190"/>
      <c r="U892" s="22"/>
      <c r="V892" s="233"/>
      <c r="W892" s="239"/>
      <c r="X892" s="403"/>
      <c r="Y892" s="258"/>
    </row>
    <row r="893" spans="1:25" hidden="1" x14ac:dyDescent="0.3">
      <c r="A893" s="47">
        <f>IF(B893="","",SUBTOTAL(3,$B$3:B893)-1)</f>
        <v>7</v>
      </c>
      <c r="B893" s="143" t="s">
        <v>1198</v>
      </c>
      <c r="C893" s="143" t="s">
        <v>27</v>
      </c>
      <c r="D893" s="24"/>
      <c r="E893" s="46"/>
      <c r="F893" s="22">
        <v>9</v>
      </c>
      <c r="G893" s="175"/>
      <c r="H893" s="405" t="s">
        <v>635</v>
      </c>
      <c r="I893" s="185"/>
      <c r="J893" s="67"/>
      <c r="K893" s="194"/>
      <c r="L893" s="180"/>
      <c r="M893" s="180"/>
      <c r="N893" s="180"/>
      <c r="O893" s="181"/>
      <c r="P893" s="237"/>
      <c r="Q893" s="255"/>
      <c r="R893" s="175"/>
      <c r="S893" s="411" t="s">
        <v>2</v>
      </c>
      <c r="T893" s="190"/>
      <c r="U893" s="22"/>
      <c r="V893" s="233"/>
      <c r="W893" s="239"/>
      <c r="X893" s="403"/>
      <c r="Y893" s="258"/>
    </row>
    <row r="894" spans="1:25" hidden="1" x14ac:dyDescent="0.3">
      <c r="A894" s="47">
        <f>IF(B894="","",SUBTOTAL(3,$B$3:B894)-1)</f>
        <v>7</v>
      </c>
      <c r="B894" s="143" t="s">
        <v>259</v>
      </c>
      <c r="C894" s="143" t="s">
        <v>27</v>
      </c>
      <c r="D894" s="143">
        <v>795467948</v>
      </c>
      <c r="E894" s="46"/>
      <c r="F894" s="21">
        <v>9</v>
      </c>
      <c r="G894" s="176" t="s">
        <v>415</v>
      </c>
      <c r="H894" s="406" t="s">
        <v>660</v>
      </c>
      <c r="I894" s="188"/>
      <c r="J894" s="142"/>
      <c r="K894" s="196" t="s">
        <v>721</v>
      </c>
      <c r="L894" s="67"/>
      <c r="M894" s="67"/>
      <c r="N894" s="67"/>
      <c r="O894" s="73"/>
      <c r="P894" s="237"/>
      <c r="Q894" s="255"/>
      <c r="R894" s="175" t="s">
        <v>2</v>
      </c>
      <c r="S894" s="411" t="s">
        <v>0</v>
      </c>
      <c r="T894" s="190"/>
      <c r="U894" s="22"/>
      <c r="V894" s="233"/>
      <c r="W894" s="239"/>
      <c r="X894" s="403"/>
      <c r="Y894" s="258"/>
    </row>
    <row r="895" spans="1:25" hidden="1" x14ac:dyDescent="0.3">
      <c r="A895" s="47">
        <f>IF(B895="","",SUBTOTAL(3,$B$3:B895)-1)</f>
        <v>7</v>
      </c>
      <c r="B895" s="39" t="s">
        <v>1136</v>
      </c>
      <c r="C895" s="24" t="s">
        <v>1135</v>
      </c>
      <c r="D895" s="163"/>
      <c r="E895" s="46"/>
      <c r="F895" s="369">
        <v>3</v>
      </c>
      <c r="G895" s="175" t="s">
        <v>826</v>
      </c>
      <c r="H895" s="405"/>
      <c r="I895" s="185"/>
      <c r="J895" s="67"/>
      <c r="K895" s="194"/>
      <c r="L895" s="67"/>
      <c r="M895" s="67"/>
      <c r="N895" s="67"/>
      <c r="O895" s="73"/>
      <c r="P895" s="237"/>
      <c r="Q895" s="255"/>
      <c r="R895" s="175" t="s">
        <v>1</v>
      </c>
      <c r="S895" s="411"/>
      <c r="T895" s="190"/>
      <c r="U895" s="22"/>
      <c r="V895" s="233"/>
      <c r="W895" s="239"/>
      <c r="X895" s="403"/>
      <c r="Y895" s="258"/>
    </row>
    <row r="896" spans="1:25" hidden="1" x14ac:dyDescent="0.3">
      <c r="A896" s="47">
        <f>IF(B896="","",SUBTOTAL(3,$B$3:B896)-1)</f>
        <v>7</v>
      </c>
      <c r="B896" s="39" t="s">
        <v>767</v>
      </c>
      <c r="C896" s="24" t="s">
        <v>31</v>
      </c>
      <c r="D896" s="163"/>
      <c r="E896" s="46"/>
      <c r="F896" s="142">
        <v>3</v>
      </c>
      <c r="G896" s="175" t="s">
        <v>826</v>
      </c>
      <c r="H896" s="405"/>
      <c r="I896" s="185"/>
      <c r="J896" s="67"/>
      <c r="K896" s="194"/>
      <c r="L896" s="67"/>
      <c r="M896" s="67"/>
      <c r="N896" s="67"/>
      <c r="O896" s="73"/>
      <c r="P896" s="237"/>
      <c r="Q896" s="255"/>
      <c r="R896" s="175" t="s">
        <v>1</v>
      </c>
      <c r="S896" s="411"/>
      <c r="T896" s="190"/>
      <c r="U896" s="22"/>
      <c r="V896" s="233"/>
      <c r="W896" s="239"/>
      <c r="X896" s="403"/>
      <c r="Y896" s="258"/>
    </row>
    <row r="897" spans="1:25" hidden="1" x14ac:dyDescent="0.3">
      <c r="A897" s="47">
        <f>IF(B897="","",SUBTOTAL(3,$B$3:B897)-1)</f>
        <v>7</v>
      </c>
      <c r="B897" s="24" t="s">
        <v>1066</v>
      </c>
      <c r="C897" s="24" t="s">
        <v>31</v>
      </c>
      <c r="D897" s="163"/>
      <c r="E897" s="46"/>
      <c r="F897" s="22">
        <v>10</v>
      </c>
      <c r="G897" s="175" t="s">
        <v>415</v>
      </c>
      <c r="H897" s="405" t="s">
        <v>635</v>
      </c>
      <c r="I897" s="187"/>
      <c r="J897" s="71"/>
      <c r="K897" s="194"/>
      <c r="L897" s="67"/>
      <c r="M897" s="67"/>
      <c r="N897" s="67"/>
      <c r="O897" s="73"/>
      <c r="P897" s="237"/>
      <c r="Q897" s="255"/>
      <c r="R897" s="175" t="s">
        <v>2</v>
      </c>
      <c r="S897" s="414" t="s">
        <v>1</v>
      </c>
      <c r="T897" s="190"/>
      <c r="U897" s="22"/>
      <c r="V897" s="233"/>
      <c r="W897" s="239"/>
      <c r="X897" s="403"/>
      <c r="Y897" s="258"/>
    </row>
    <row r="898" spans="1:25" hidden="1" x14ac:dyDescent="0.3">
      <c r="A898" s="47">
        <f>IF(B898="","",SUBTOTAL(3,$B$3:B898)-1)</f>
        <v>7</v>
      </c>
      <c r="B898" s="39" t="s">
        <v>231</v>
      </c>
      <c r="C898" s="24" t="s">
        <v>31</v>
      </c>
      <c r="D898" s="163"/>
      <c r="E898" s="46"/>
      <c r="F898" s="22" t="s">
        <v>1213</v>
      </c>
      <c r="G898" s="176" t="s">
        <v>660</v>
      </c>
      <c r="H898" s="406"/>
      <c r="I898" s="185"/>
      <c r="J898" s="67"/>
      <c r="K898" s="194"/>
      <c r="L898" s="180"/>
      <c r="M898" s="180"/>
      <c r="N898" s="180"/>
      <c r="O898" s="181"/>
      <c r="P898" s="237"/>
      <c r="Q898" s="255"/>
      <c r="R898" s="175" t="s">
        <v>1</v>
      </c>
      <c r="S898" s="411"/>
      <c r="T898" s="190"/>
      <c r="U898" s="22"/>
      <c r="V898" s="233"/>
      <c r="W898" s="239"/>
      <c r="X898" s="403"/>
      <c r="Y898" s="258"/>
    </row>
    <row r="899" spans="1:25" hidden="1" x14ac:dyDescent="0.3">
      <c r="A899" s="47">
        <f>IF(B899="","",SUBTOTAL(3,$B$3:B899)-1)</f>
        <v>7</v>
      </c>
      <c r="B899" s="27" t="s">
        <v>170</v>
      </c>
      <c r="C899" s="27" t="s">
        <v>31</v>
      </c>
      <c r="D899" s="26"/>
      <c r="E899" s="46">
        <f>($AA$2-O899)*$AB$2+Q899</f>
        <v>0</v>
      </c>
      <c r="F899" s="142">
        <v>7</v>
      </c>
      <c r="G899" s="175" t="s">
        <v>415</v>
      </c>
      <c r="H899" s="405" t="s">
        <v>696</v>
      </c>
      <c r="I899" s="185" t="s">
        <v>661</v>
      </c>
      <c r="J899" s="67"/>
      <c r="K899" s="194"/>
      <c r="L899" s="180"/>
      <c r="M899" s="180"/>
      <c r="N899" s="180"/>
      <c r="O899" s="181"/>
      <c r="P899" s="237" t="s">
        <v>1</v>
      </c>
      <c r="Q899" s="255"/>
      <c r="R899" s="175" t="s">
        <v>0</v>
      </c>
      <c r="S899" s="411" t="s">
        <v>0</v>
      </c>
      <c r="T899" s="190" t="s">
        <v>1</v>
      </c>
      <c r="U899" s="22"/>
      <c r="V899" s="233"/>
      <c r="W899" s="239" t="s">
        <v>0</v>
      </c>
      <c r="X899" s="403"/>
      <c r="Y899" s="258"/>
    </row>
    <row r="900" spans="1:25" hidden="1" x14ac:dyDescent="0.3">
      <c r="A900" s="47">
        <f>IF(B900="","",SUBTOTAL(3,$B$3:B900)-1)</f>
        <v>7</v>
      </c>
      <c r="B900" s="26" t="s">
        <v>521</v>
      </c>
      <c r="C900" s="26" t="s">
        <v>31</v>
      </c>
      <c r="D900" s="163">
        <v>384928256</v>
      </c>
      <c r="E900" s="46">
        <f>($AA$2-O900)*$AB$2+Q900</f>
        <v>0</v>
      </c>
      <c r="F900" s="22">
        <v>9</v>
      </c>
      <c r="G900" s="175" t="s">
        <v>415</v>
      </c>
      <c r="H900" s="409" t="s">
        <v>660</v>
      </c>
      <c r="I900" s="187"/>
      <c r="J900" s="67"/>
      <c r="K900" s="194"/>
      <c r="L900" s="67"/>
      <c r="M900" s="67"/>
      <c r="N900" s="67"/>
      <c r="O900" s="73"/>
      <c r="P900" s="237"/>
      <c r="Q900" s="255"/>
      <c r="R900" s="175" t="s">
        <v>2</v>
      </c>
      <c r="S900" s="411" t="s">
        <v>0</v>
      </c>
      <c r="T900" s="190"/>
      <c r="U900" s="22"/>
      <c r="V900" s="233"/>
      <c r="W900" s="239"/>
      <c r="X900" s="403"/>
      <c r="Y900" s="258"/>
    </row>
    <row r="901" spans="1:25" hidden="1" x14ac:dyDescent="0.3">
      <c r="A901" s="47">
        <f>IF(B901="","",SUBTOTAL(3,$B$3:B901)-1)</f>
        <v>7</v>
      </c>
      <c r="B901" s="269" t="s">
        <v>1220</v>
      </c>
      <c r="C901" s="269" t="s">
        <v>110</v>
      </c>
      <c r="D901" s="269">
        <v>396014309</v>
      </c>
      <c r="E901" s="46" t="s">
        <v>1214</v>
      </c>
      <c r="F901" s="301">
        <v>1</v>
      </c>
      <c r="G901" s="175" t="s">
        <v>826</v>
      </c>
      <c r="H901" s="405"/>
      <c r="I901" s="185"/>
      <c r="J901" s="71"/>
      <c r="K901" s="194"/>
      <c r="L901" s="67"/>
      <c r="M901" s="67"/>
      <c r="N901" s="67"/>
      <c r="O901" s="73"/>
      <c r="P901" s="237"/>
      <c r="Q901" s="255"/>
      <c r="R901" s="175" t="s">
        <v>0</v>
      </c>
      <c r="S901" s="411"/>
      <c r="T901" s="190"/>
      <c r="U901" s="22"/>
      <c r="V901" s="233"/>
      <c r="W901" s="239"/>
      <c r="X901" s="403"/>
      <c r="Y901" s="323">
        <v>1</v>
      </c>
    </row>
    <row r="902" spans="1:25" hidden="1" x14ac:dyDescent="0.3">
      <c r="A902" s="47">
        <f>IF(B902="","",SUBTOTAL(3,$B$3:B902)-1)</f>
        <v>7</v>
      </c>
      <c r="B902" s="24" t="s">
        <v>320</v>
      </c>
      <c r="C902" s="24" t="s">
        <v>110</v>
      </c>
      <c r="D902" s="163"/>
      <c r="E902" s="46">
        <f>($AA$2-O902)*$AB$2+Q902</f>
        <v>0</v>
      </c>
      <c r="F902" s="22">
        <v>11</v>
      </c>
      <c r="G902" s="175" t="s">
        <v>415</v>
      </c>
      <c r="H902" s="405" t="s">
        <v>696</v>
      </c>
      <c r="I902" s="185" t="s">
        <v>661</v>
      </c>
      <c r="J902" s="67"/>
      <c r="K902" s="194"/>
      <c r="L902" s="180"/>
      <c r="M902" s="180"/>
      <c r="N902" s="180"/>
      <c r="O902" s="181"/>
      <c r="P902" s="237"/>
      <c r="Q902" s="255"/>
      <c r="R902" s="175"/>
      <c r="S902" s="411" t="s">
        <v>661</v>
      </c>
      <c r="T902" s="190">
        <v>1</v>
      </c>
      <c r="U902" s="22"/>
      <c r="V902" s="233"/>
      <c r="W902" s="239"/>
      <c r="X902" s="403"/>
      <c r="Y902" s="258"/>
    </row>
    <row r="903" spans="1:25" hidden="1" x14ac:dyDescent="0.3">
      <c r="A903" s="47">
        <f>IF(B903="","",SUBTOTAL(3,$B$3:B903)-1)</f>
        <v>7</v>
      </c>
      <c r="B903" s="143" t="s">
        <v>810</v>
      </c>
      <c r="C903" s="143" t="s">
        <v>110</v>
      </c>
      <c r="D903" s="143">
        <v>365937119</v>
      </c>
      <c r="E903" s="46"/>
      <c r="F903" s="142">
        <v>7</v>
      </c>
      <c r="G903" s="175"/>
      <c r="H903" s="406"/>
      <c r="I903" s="188"/>
      <c r="J903" s="142"/>
      <c r="K903" s="196" t="s">
        <v>721</v>
      </c>
      <c r="L903" s="67"/>
      <c r="M903" s="67"/>
      <c r="N903" s="67"/>
      <c r="O903" s="73"/>
      <c r="P903" s="237"/>
      <c r="Q903" s="255"/>
      <c r="R903" s="175"/>
      <c r="S903" s="411"/>
      <c r="T903" s="190"/>
      <c r="U903" s="22"/>
      <c r="V903" s="233"/>
      <c r="W903" s="239"/>
      <c r="X903" s="403"/>
      <c r="Y903" s="258"/>
    </row>
    <row r="904" spans="1:25" hidden="1" x14ac:dyDescent="0.3">
      <c r="A904" s="47">
        <f>IF(B904="","",SUBTOTAL(3,$B$3:B904)-1)</f>
        <v>7</v>
      </c>
      <c r="B904" s="24" t="s">
        <v>1401</v>
      </c>
      <c r="C904" s="24" t="s">
        <v>1402</v>
      </c>
      <c r="D904" s="24"/>
      <c r="E904" s="46" t="s">
        <v>1214</v>
      </c>
      <c r="F904" s="22"/>
      <c r="G904" s="175"/>
      <c r="H904" s="405"/>
      <c r="I904" s="185"/>
      <c r="J904" s="67"/>
      <c r="K904" s="194"/>
      <c r="L904" s="180"/>
      <c r="M904" s="180"/>
      <c r="N904" s="180"/>
      <c r="O904" s="181"/>
      <c r="P904" s="237"/>
      <c r="Q904" s="255"/>
      <c r="R904" s="175"/>
      <c r="S904" s="411"/>
      <c r="T904" s="190"/>
      <c r="U904" s="22"/>
      <c r="V904" s="233"/>
      <c r="W904" s="239"/>
      <c r="X904" s="403"/>
      <c r="Y904" s="258"/>
    </row>
    <row r="905" spans="1:25" hidden="1" x14ac:dyDescent="0.3">
      <c r="A905" s="47">
        <f>IF(B905="","",SUBTOTAL(3,$B$3:B905)-1)</f>
        <v>7</v>
      </c>
      <c r="B905" s="39" t="s">
        <v>893</v>
      </c>
      <c r="C905" s="24" t="s">
        <v>28</v>
      </c>
      <c r="D905" s="163"/>
      <c r="E905" s="46"/>
      <c r="F905" s="22">
        <v>10</v>
      </c>
      <c r="G905" s="175"/>
      <c r="H905" s="406"/>
      <c r="I905" s="188"/>
      <c r="J905" s="142"/>
      <c r="K905" s="196"/>
      <c r="L905" s="67"/>
      <c r="M905" s="67"/>
      <c r="N905" s="67"/>
      <c r="O905" s="73"/>
      <c r="P905" s="237"/>
      <c r="Q905" s="255"/>
      <c r="R905" s="175"/>
      <c r="S905" s="411"/>
      <c r="T905" s="190"/>
      <c r="U905" s="22"/>
      <c r="V905" s="233"/>
      <c r="W905" s="239"/>
      <c r="X905" s="403"/>
      <c r="Y905" s="258"/>
    </row>
    <row r="906" spans="1:25" hidden="1" x14ac:dyDescent="0.3">
      <c r="A906" s="47">
        <f>IF(B906="","",SUBTOTAL(3,$B$3:B906)-1)</f>
        <v>7</v>
      </c>
      <c r="B906" s="24" t="s">
        <v>490</v>
      </c>
      <c r="C906" s="24" t="s">
        <v>28</v>
      </c>
      <c r="D906" s="24">
        <v>906614413</v>
      </c>
      <c r="E906" s="46">
        <f>($AA$2-O906)*$AB$2+Q906</f>
        <v>0</v>
      </c>
      <c r="F906" s="22">
        <v>10</v>
      </c>
      <c r="G906" s="175"/>
      <c r="H906" s="405"/>
      <c r="I906" s="185"/>
      <c r="J906" s="71"/>
      <c r="K906" s="194"/>
      <c r="L906" s="67"/>
      <c r="M906" s="67"/>
      <c r="N906" s="67"/>
      <c r="O906" s="73"/>
      <c r="P906" s="237"/>
      <c r="Q906" s="255"/>
      <c r="R906" s="175"/>
      <c r="S906" s="411"/>
      <c r="T906" s="190"/>
      <c r="U906" s="22"/>
      <c r="V906" s="233"/>
      <c r="W906" s="239"/>
      <c r="X906" s="403"/>
      <c r="Y906" s="258"/>
    </row>
    <row r="907" spans="1:25" hidden="1" x14ac:dyDescent="0.3">
      <c r="A907" s="47">
        <f>IF(B907="","",SUBTOTAL(3,$B$3:B907)-1)</f>
        <v>7</v>
      </c>
      <c r="B907" s="24" t="s">
        <v>180</v>
      </c>
      <c r="C907" s="24" t="s">
        <v>28</v>
      </c>
      <c r="D907" s="24"/>
      <c r="E907" s="46">
        <f>($AA$2-O907)*$AB$2+Q907</f>
        <v>0</v>
      </c>
      <c r="F907" s="22">
        <v>11</v>
      </c>
      <c r="G907" s="175"/>
      <c r="H907" s="405"/>
      <c r="I907" s="185"/>
      <c r="J907" s="67"/>
      <c r="K907" s="194"/>
      <c r="L907" s="67"/>
      <c r="M907" s="67"/>
      <c r="N907" s="67"/>
      <c r="O907" s="73"/>
      <c r="P907" s="237"/>
      <c r="Q907" s="255"/>
      <c r="R907" s="175"/>
      <c r="S907" s="411"/>
      <c r="T907" s="190"/>
      <c r="U907" s="22"/>
      <c r="V907" s="233"/>
      <c r="W907" s="239"/>
      <c r="X907" s="403"/>
      <c r="Y907" s="258"/>
    </row>
    <row r="908" spans="1:25" hidden="1" x14ac:dyDescent="0.3">
      <c r="A908" s="47">
        <f>IF(B908="","",SUBTOTAL(3,$B$3:B908)-1)</f>
        <v>7</v>
      </c>
      <c r="B908" s="24" t="s">
        <v>564</v>
      </c>
      <c r="C908" s="24" t="s">
        <v>28</v>
      </c>
      <c r="D908" s="24"/>
      <c r="E908" s="46">
        <f>($AA$2-O908)*$AB$2+Q908</f>
        <v>0</v>
      </c>
      <c r="F908" s="22">
        <v>11</v>
      </c>
      <c r="G908" s="175" t="s">
        <v>415</v>
      </c>
      <c r="H908" s="405"/>
      <c r="I908" s="185"/>
      <c r="J908" s="67"/>
      <c r="K908" s="194"/>
      <c r="L908" s="180"/>
      <c r="M908" s="180"/>
      <c r="N908" s="180"/>
      <c r="O908" s="181"/>
      <c r="P908" s="237"/>
      <c r="Q908" s="255"/>
      <c r="R908" s="175" t="s">
        <v>574</v>
      </c>
      <c r="S908" s="411" t="s">
        <v>710</v>
      </c>
      <c r="T908" s="190"/>
      <c r="U908" s="22"/>
      <c r="V908" s="233"/>
      <c r="W908" s="239"/>
      <c r="X908" s="403"/>
      <c r="Y908" s="258"/>
    </row>
    <row r="909" spans="1:25" hidden="1" x14ac:dyDescent="0.3">
      <c r="A909" s="47">
        <f>IF(B909="","",SUBTOTAL(3,$B$3:B909)-1)</f>
        <v>7</v>
      </c>
      <c r="B909" s="26" t="s">
        <v>166</v>
      </c>
      <c r="C909" s="26" t="s">
        <v>28</v>
      </c>
      <c r="D909" s="163"/>
      <c r="E909" s="46">
        <f>($AA$2-O909)*$AB$2+Q909</f>
        <v>0</v>
      </c>
      <c r="F909" s="142">
        <v>7</v>
      </c>
      <c r="G909" s="175" t="s">
        <v>415</v>
      </c>
      <c r="H909" s="405" t="s">
        <v>696</v>
      </c>
      <c r="I909" s="185" t="s">
        <v>634</v>
      </c>
      <c r="J909" s="67"/>
      <c r="K909" s="194"/>
      <c r="L909" s="180"/>
      <c r="M909" s="180"/>
      <c r="N909" s="180"/>
      <c r="O909" s="181"/>
      <c r="P909" s="237" t="s">
        <v>1</v>
      </c>
      <c r="Q909" s="255"/>
      <c r="R909" s="175" t="s">
        <v>0</v>
      </c>
      <c r="S909" s="411" t="s">
        <v>0</v>
      </c>
      <c r="T909" s="190" t="s">
        <v>0</v>
      </c>
      <c r="U909" s="22"/>
      <c r="V909" s="233"/>
      <c r="W909" s="239" t="s">
        <v>0</v>
      </c>
      <c r="X909" s="403"/>
      <c r="Y909" s="258"/>
    </row>
    <row r="910" spans="1:25" hidden="1" x14ac:dyDescent="0.3">
      <c r="A910" s="47">
        <f>IF(B910="","",SUBTOTAL(3,$B$3:B910)-1)</f>
        <v>7</v>
      </c>
      <c r="B910" s="143" t="s">
        <v>1111</v>
      </c>
      <c r="C910" s="143" t="s">
        <v>28</v>
      </c>
      <c r="D910" s="143"/>
      <c r="E910" s="46"/>
      <c r="F910" s="142">
        <v>7</v>
      </c>
      <c r="G910" s="175" t="s">
        <v>415</v>
      </c>
      <c r="H910" s="405"/>
      <c r="I910" s="185"/>
      <c r="J910" s="67"/>
      <c r="K910" s="194"/>
      <c r="L910" s="180"/>
      <c r="M910" s="180"/>
      <c r="N910" s="180"/>
      <c r="O910" s="181"/>
      <c r="P910" s="237"/>
      <c r="Q910" s="255"/>
      <c r="R910" s="175" t="s">
        <v>1</v>
      </c>
      <c r="S910" s="411"/>
      <c r="T910" s="190"/>
      <c r="U910" s="22"/>
      <c r="V910" s="233"/>
      <c r="W910" s="239"/>
      <c r="X910" s="403"/>
      <c r="Y910" s="258"/>
    </row>
    <row r="911" spans="1:25" hidden="1" x14ac:dyDescent="0.3">
      <c r="A911" s="47">
        <f>IF(B911="","",SUBTOTAL(3,$B$3:B911)-1)</f>
        <v>7</v>
      </c>
      <c r="B911" s="143" t="s">
        <v>571</v>
      </c>
      <c r="C911" s="143" t="s">
        <v>28</v>
      </c>
      <c r="D911" s="143"/>
      <c r="E911" s="46"/>
      <c r="F911" s="142">
        <v>7</v>
      </c>
      <c r="G911" s="176" t="s">
        <v>415</v>
      </c>
      <c r="H911" s="405" t="s">
        <v>635</v>
      </c>
      <c r="I911" s="189"/>
      <c r="J911" s="142"/>
      <c r="K911" s="196"/>
      <c r="L911" s="67"/>
      <c r="M911" s="67"/>
      <c r="N911" s="67"/>
      <c r="O911" s="73"/>
      <c r="P911" s="237"/>
      <c r="Q911" s="255"/>
      <c r="R911" s="175" t="s">
        <v>2</v>
      </c>
      <c r="S911" s="411" t="s">
        <v>1</v>
      </c>
      <c r="T911" s="190"/>
      <c r="U911" s="22"/>
      <c r="V911" s="233"/>
      <c r="W911" s="239"/>
      <c r="X911" s="403"/>
      <c r="Y911" s="258"/>
    </row>
    <row r="912" spans="1:25" hidden="1" x14ac:dyDescent="0.3">
      <c r="A912" s="47">
        <f>IF(B912="","",SUBTOTAL(3,$B$3:B912)-1)</f>
        <v>7</v>
      </c>
      <c r="B912" s="39" t="s">
        <v>889</v>
      </c>
      <c r="C912" s="24" t="s">
        <v>28</v>
      </c>
      <c r="D912" s="163">
        <v>374246349</v>
      </c>
      <c r="E912" s="46"/>
      <c r="F912" s="142">
        <v>7</v>
      </c>
      <c r="G912" s="175"/>
      <c r="H912" s="406"/>
      <c r="I912" s="188"/>
      <c r="J912" s="142"/>
      <c r="K912" s="196" t="s">
        <v>721</v>
      </c>
      <c r="L912" s="67"/>
      <c r="M912" s="67"/>
      <c r="N912" s="67"/>
      <c r="O912" s="73"/>
      <c r="P912" s="237"/>
      <c r="Q912" s="255"/>
      <c r="R912" s="175"/>
      <c r="S912" s="411"/>
      <c r="T912" s="190"/>
      <c r="U912" s="22"/>
      <c r="V912" s="233"/>
      <c r="W912" s="239"/>
      <c r="X912" s="403"/>
      <c r="Y912" s="258"/>
    </row>
    <row r="913" spans="1:25" hidden="1" x14ac:dyDescent="0.3">
      <c r="A913" s="47">
        <f>IF(B913="","",SUBTOTAL(3,$B$3:B913)-1)</f>
        <v>7</v>
      </c>
      <c r="B913" s="265" t="s">
        <v>1289</v>
      </c>
      <c r="C913" s="265" t="s">
        <v>28</v>
      </c>
      <c r="D913" s="265">
        <v>939420076</v>
      </c>
      <c r="E913" s="46" t="s">
        <v>1214</v>
      </c>
      <c r="F913" s="301">
        <v>7</v>
      </c>
      <c r="G913" s="175" t="s">
        <v>1332</v>
      </c>
      <c r="H913" s="405"/>
      <c r="I913" s="185"/>
      <c r="J913" s="71"/>
      <c r="K913" s="194"/>
      <c r="L913" s="67"/>
      <c r="M913" s="67"/>
      <c r="N913" s="67"/>
      <c r="O913" s="73"/>
      <c r="P913" s="237"/>
      <c r="Q913" s="255"/>
      <c r="R913" s="175" t="s">
        <v>661</v>
      </c>
      <c r="S913" s="411"/>
      <c r="T913" s="190"/>
      <c r="U913" s="22"/>
      <c r="V913" s="233"/>
      <c r="W913" s="239"/>
      <c r="X913" s="403"/>
      <c r="Y913" s="320" t="s">
        <v>1321</v>
      </c>
    </row>
    <row r="914" spans="1:25" hidden="1" x14ac:dyDescent="0.3">
      <c r="A914" s="47">
        <f>IF(B914="","",SUBTOTAL(3,$B$3:B914)-1)</f>
        <v>7</v>
      </c>
      <c r="B914" s="265" t="s">
        <v>1298</v>
      </c>
      <c r="C914" s="265" t="s">
        <v>28</v>
      </c>
      <c r="D914" s="265">
        <v>782958491</v>
      </c>
      <c r="E914" s="46" t="s">
        <v>1214</v>
      </c>
      <c r="F914" s="371">
        <v>8</v>
      </c>
      <c r="G914" s="175" t="s">
        <v>415</v>
      </c>
      <c r="H914" s="405" t="s">
        <v>635</v>
      </c>
      <c r="I914" s="185"/>
      <c r="J914" s="71"/>
      <c r="K914" s="194"/>
      <c r="L914" s="67"/>
      <c r="M914" s="67"/>
      <c r="N914" s="67"/>
      <c r="O914" s="73"/>
      <c r="P914" s="237"/>
      <c r="Q914" s="255"/>
      <c r="R914" s="175" t="s">
        <v>661</v>
      </c>
      <c r="S914" s="411" t="s">
        <v>2</v>
      </c>
      <c r="T914" s="190"/>
      <c r="U914" s="22"/>
      <c r="V914" s="233"/>
      <c r="W914" s="239"/>
      <c r="X914" s="403"/>
      <c r="Y914" s="320" t="s">
        <v>1325</v>
      </c>
    </row>
    <row r="915" spans="1:25" hidden="1" x14ac:dyDescent="0.3">
      <c r="A915" s="47">
        <f>IF(B915="","",SUBTOTAL(3,$B$3:B915)-1)</f>
        <v>7</v>
      </c>
      <c r="B915" s="380" t="s">
        <v>1306</v>
      </c>
      <c r="C915" s="380" t="s">
        <v>28</v>
      </c>
      <c r="D915" s="380">
        <v>943416430</v>
      </c>
      <c r="E915" s="46" t="s">
        <v>1356</v>
      </c>
      <c r="F915" s="382">
        <v>8</v>
      </c>
      <c r="G915" s="175" t="s">
        <v>415</v>
      </c>
      <c r="H915" s="405" t="s">
        <v>635</v>
      </c>
      <c r="I915" s="185"/>
      <c r="J915" s="71"/>
      <c r="K915" s="194"/>
      <c r="L915" s="67"/>
      <c r="M915" s="67"/>
      <c r="N915" s="67"/>
      <c r="O915" s="73"/>
      <c r="P915" s="237"/>
      <c r="Q915" s="255"/>
      <c r="R915" s="175" t="s">
        <v>2</v>
      </c>
      <c r="S915" s="411" t="s">
        <v>2</v>
      </c>
      <c r="T915" s="190"/>
      <c r="U915" s="22"/>
      <c r="V915" s="233"/>
      <c r="W915" s="239"/>
      <c r="X915" s="403"/>
      <c r="Y915" s="383" t="s">
        <v>1377</v>
      </c>
    </row>
    <row r="916" spans="1:25" hidden="1" x14ac:dyDescent="0.3">
      <c r="A916" s="47">
        <f>IF(B916="","",SUBTOTAL(3,$B$3:B916)-1)</f>
        <v>7</v>
      </c>
      <c r="B916" s="269" t="s">
        <v>1309</v>
      </c>
      <c r="C916" s="269" t="s">
        <v>5</v>
      </c>
      <c r="D916" s="269">
        <v>395960233</v>
      </c>
      <c r="E916" s="46" t="s">
        <v>1214</v>
      </c>
      <c r="F916" s="301">
        <v>1</v>
      </c>
      <c r="G916" s="175" t="s">
        <v>826</v>
      </c>
      <c r="H916" s="405"/>
      <c r="I916" s="185"/>
      <c r="J916" s="71"/>
      <c r="K916" s="194"/>
      <c r="L916" s="67"/>
      <c r="M916" s="67"/>
      <c r="N916" s="67"/>
      <c r="O916" s="73"/>
      <c r="P916" s="237"/>
      <c r="Q916" s="255"/>
      <c r="R916" s="175" t="s">
        <v>0</v>
      </c>
      <c r="S916" s="411"/>
      <c r="T916" s="190"/>
      <c r="U916" s="22"/>
      <c r="V916" s="233"/>
      <c r="W916" s="239"/>
      <c r="X916" s="403"/>
      <c r="Y916" s="323" t="s">
        <v>1328</v>
      </c>
    </row>
    <row r="917" spans="1:25" hidden="1" x14ac:dyDescent="0.3">
      <c r="A917" s="47">
        <f>IF(B917="","",SUBTOTAL(3,$B$3:B917)-1)</f>
        <v>7</v>
      </c>
      <c r="B917" s="3" t="s">
        <v>1182</v>
      </c>
      <c r="C917" s="26" t="s">
        <v>5</v>
      </c>
      <c r="D917" s="25"/>
      <c r="E917" s="46"/>
      <c r="F917" s="21">
        <v>2</v>
      </c>
      <c r="G917" s="176"/>
      <c r="H917" s="405" t="s">
        <v>634</v>
      </c>
      <c r="I917" s="185" t="s">
        <v>634</v>
      </c>
      <c r="J917" s="67"/>
      <c r="K917" s="194"/>
      <c r="L917" s="67"/>
      <c r="M917" s="67"/>
      <c r="N917" s="67"/>
      <c r="O917" s="73"/>
      <c r="P917" s="237"/>
      <c r="Q917" s="255"/>
      <c r="R917" s="175"/>
      <c r="S917" s="411"/>
      <c r="T917" s="190" t="s">
        <v>0</v>
      </c>
      <c r="U917" s="22"/>
      <c r="V917" s="233"/>
      <c r="W917" s="239"/>
      <c r="X917" s="403"/>
      <c r="Y917" s="258"/>
    </row>
    <row r="918" spans="1:25" hidden="1" x14ac:dyDescent="0.3">
      <c r="A918" s="47">
        <f>IF(B918="","",SUBTOTAL(3,$B$3:B918)-1)</f>
        <v>7</v>
      </c>
      <c r="B918" s="265" t="s">
        <v>1233</v>
      </c>
      <c r="C918" s="265" t="s">
        <v>5</v>
      </c>
      <c r="D918" s="265">
        <v>943647412</v>
      </c>
      <c r="E918" s="46" t="s">
        <v>1214</v>
      </c>
      <c r="F918" s="300">
        <v>2</v>
      </c>
      <c r="G918" s="175" t="s">
        <v>826</v>
      </c>
      <c r="H918" s="405"/>
      <c r="I918" s="185"/>
      <c r="J918" s="71"/>
      <c r="K918" s="194"/>
      <c r="L918" s="67"/>
      <c r="M918" s="67"/>
      <c r="N918" s="67"/>
      <c r="O918" s="73"/>
      <c r="P918" s="237"/>
      <c r="Q918" s="255"/>
      <c r="R918" s="175" t="s">
        <v>0</v>
      </c>
      <c r="S918" s="411"/>
      <c r="T918" s="190"/>
      <c r="U918" s="22"/>
      <c r="V918" s="233"/>
      <c r="W918" s="239"/>
      <c r="X918" s="403"/>
      <c r="Y918" s="320">
        <v>2</v>
      </c>
    </row>
    <row r="919" spans="1:25" hidden="1" x14ac:dyDescent="0.3">
      <c r="A919" s="47">
        <f>IF(B919="","",SUBTOTAL(3,$B$3:B919)-1)</f>
        <v>7</v>
      </c>
      <c r="B919" s="265" t="s">
        <v>1354</v>
      </c>
      <c r="C919" s="265" t="s">
        <v>5</v>
      </c>
      <c r="D919" s="265">
        <v>335333264</v>
      </c>
      <c r="E919" s="46" t="s">
        <v>1214</v>
      </c>
      <c r="F919" s="300">
        <v>2</v>
      </c>
      <c r="G919" s="175" t="s">
        <v>826</v>
      </c>
      <c r="H919" s="405" t="s">
        <v>634</v>
      </c>
      <c r="I919" s="185" t="s">
        <v>634</v>
      </c>
      <c r="J919" s="71"/>
      <c r="K919" s="194"/>
      <c r="L919" s="67"/>
      <c r="M919" s="67"/>
      <c r="N919" s="67"/>
      <c r="O919" s="73"/>
      <c r="P919" s="237"/>
      <c r="Q919" s="255"/>
      <c r="R919" s="175" t="s">
        <v>0</v>
      </c>
      <c r="S919" s="411"/>
      <c r="T919" s="190" t="s">
        <v>0</v>
      </c>
      <c r="U919" s="22"/>
      <c r="V919" s="233"/>
      <c r="W919" s="239"/>
      <c r="X919" s="403"/>
      <c r="Y919" s="320">
        <v>2</v>
      </c>
    </row>
    <row r="920" spans="1:25" hidden="1" x14ac:dyDescent="0.3">
      <c r="A920" s="47">
        <f>IF(B920="","",SUBTOTAL(3,$B$3:B920)-1)</f>
        <v>7</v>
      </c>
      <c r="B920" s="26" t="s">
        <v>301</v>
      </c>
      <c r="C920" s="26" t="s">
        <v>5</v>
      </c>
      <c r="D920" s="26">
        <v>395736449</v>
      </c>
      <c r="E920" s="46"/>
      <c r="F920" s="142">
        <v>3</v>
      </c>
      <c r="G920" s="176" t="s">
        <v>660</v>
      </c>
      <c r="H920" s="406"/>
      <c r="I920" s="188"/>
      <c r="J920" s="142"/>
      <c r="K920" s="196" t="s">
        <v>721</v>
      </c>
      <c r="L920" s="67"/>
      <c r="M920" s="67"/>
      <c r="N920" s="67"/>
      <c r="O920" s="73"/>
      <c r="P920" s="237" t="s">
        <v>1</v>
      </c>
      <c r="Q920" s="255"/>
      <c r="R920" s="175" t="s">
        <v>1</v>
      </c>
      <c r="S920" s="411"/>
      <c r="T920" s="190"/>
      <c r="U920" s="22"/>
      <c r="V920" s="233"/>
      <c r="W920" s="239" t="s">
        <v>848</v>
      </c>
      <c r="X920" s="403"/>
      <c r="Y920" s="258"/>
    </row>
    <row r="921" spans="1:25" hidden="1" x14ac:dyDescent="0.3">
      <c r="A921" s="47">
        <f>IF(B921="","",SUBTOTAL(3,$B$3:B921)-1)</f>
        <v>7</v>
      </c>
      <c r="B921" s="24" t="s">
        <v>926</v>
      </c>
      <c r="C921" s="24" t="s">
        <v>5</v>
      </c>
      <c r="D921" s="163" t="s">
        <v>1088</v>
      </c>
      <c r="E921" s="46"/>
      <c r="F921" s="142">
        <v>4</v>
      </c>
      <c r="G921" s="175"/>
      <c r="H921" s="406"/>
      <c r="I921" s="188"/>
      <c r="J921" s="142"/>
      <c r="K921" s="196"/>
      <c r="L921" s="67"/>
      <c r="M921" s="67"/>
      <c r="N921" s="67"/>
      <c r="O921" s="73"/>
      <c r="P921" s="237"/>
      <c r="Q921" s="255"/>
      <c r="R921" s="175"/>
      <c r="S921" s="411"/>
      <c r="T921" s="190"/>
      <c r="U921" s="22"/>
      <c r="V921" s="233"/>
      <c r="W921" s="239" t="s">
        <v>848</v>
      </c>
      <c r="X921" s="403"/>
      <c r="Y921" s="258"/>
    </row>
    <row r="922" spans="1:25" hidden="1" x14ac:dyDescent="0.3">
      <c r="A922" s="47">
        <f>IF(B922="","",SUBTOTAL(3,$B$3:B922)-1)</f>
        <v>7</v>
      </c>
      <c r="B922" s="24" t="s">
        <v>137</v>
      </c>
      <c r="C922" s="24" t="s">
        <v>5</v>
      </c>
      <c r="D922" s="163"/>
      <c r="E922" s="46"/>
      <c r="F922" s="142">
        <v>4</v>
      </c>
      <c r="G922" s="175" t="s">
        <v>660</v>
      </c>
      <c r="H922" s="406"/>
      <c r="I922" s="188"/>
      <c r="J922" s="142"/>
      <c r="K922" s="196"/>
      <c r="L922" s="67"/>
      <c r="M922" s="67"/>
      <c r="N922" s="67"/>
      <c r="O922" s="73"/>
      <c r="P922" s="237" t="s">
        <v>1</v>
      </c>
      <c r="Q922" s="255"/>
      <c r="R922" s="175" t="s">
        <v>0</v>
      </c>
      <c r="S922" s="411"/>
      <c r="T922" s="190"/>
      <c r="U922" s="22"/>
      <c r="V922" s="233"/>
      <c r="W922" s="239" t="s">
        <v>848</v>
      </c>
      <c r="X922" s="403"/>
      <c r="Y922" s="258"/>
    </row>
    <row r="923" spans="1:25" hidden="1" x14ac:dyDescent="0.3">
      <c r="A923" s="47">
        <f>IF(B923="","",SUBTOTAL(3,$B$3:B923)-1)</f>
        <v>7</v>
      </c>
      <c r="B923" s="25" t="s">
        <v>926</v>
      </c>
      <c r="C923" s="25" t="s">
        <v>5</v>
      </c>
      <c r="D923" s="25"/>
      <c r="E923" s="46"/>
      <c r="F923" s="142">
        <v>4</v>
      </c>
      <c r="G923" s="175"/>
      <c r="H923" s="407" t="s">
        <v>634</v>
      </c>
      <c r="I923" s="189" t="s">
        <v>634</v>
      </c>
      <c r="J923" s="67"/>
      <c r="K923" s="194"/>
      <c r="L923" s="180"/>
      <c r="M923" s="180"/>
      <c r="N923" s="180"/>
      <c r="O923" s="181"/>
      <c r="P923" s="237"/>
      <c r="Q923" s="255"/>
      <c r="R923" s="175"/>
      <c r="S923" s="411"/>
      <c r="T923" s="190" t="s">
        <v>0</v>
      </c>
      <c r="U923" s="22"/>
      <c r="V923" s="233"/>
      <c r="W923" s="239"/>
      <c r="X923" s="403"/>
      <c r="Y923" s="258"/>
    </row>
    <row r="924" spans="1:25" hidden="1" x14ac:dyDescent="0.3">
      <c r="A924" s="47">
        <f>IF(B924="","",SUBTOTAL(3,$B$3:B924)-1)</f>
        <v>7</v>
      </c>
      <c r="B924" s="24" t="s">
        <v>269</v>
      </c>
      <c r="C924" s="24" t="s">
        <v>5</v>
      </c>
      <c r="D924" s="24"/>
      <c r="E924" s="46"/>
      <c r="F924" s="142">
        <v>4</v>
      </c>
      <c r="G924" s="175"/>
      <c r="H924" s="408" t="s">
        <v>634</v>
      </c>
      <c r="I924" s="186" t="s">
        <v>634</v>
      </c>
      <c r="J924" s="67"/>
      <c r="K924" s="194"/>
      <c r="L924" s="67"/>
      <c r="M924" s="67"/>
      <c r="N924" s="67"/>
      <c r="O924" s="73"/>
      <c r="P924" s="237"/>
      <c r="Q924" s="255"/>
      <c r="R924" s="175"/>
      <c r="S924" s="411"/>
      <c r="T924" s="190" t="s">
        <v>0</v>
      </c>
      <c r="U924" s="22"/>
      <c r="V924" s="233"/>
      <c r="W924" s="239"/>
      <c r="X924" s="403"/>
      <c r="Y924" s="258"/>
    </row>
    <row r="925" spans="1:25" hidden="1" x14ac:dyDescent="0.3">
      <c r="A925" s="47">
        <f>IF(B925="","",SUBTOTAL(3,$B$3:B925)-1)</f>
        <v>7</v>
      </c>
      <c r="B925" s="143" t="s">
        <v>842</v>
      </c>
      <c r="C925" s="143" t="s">
        <v>5</v>
      </c>
      <c r="D925" s="143">
        <v>915390014</v>
      </c>
      <c r="E925" s="46"/>
      <c r="F925" s="142">
        <v>4</v>
      </c>
      <c r="G925" s="175" t="s">
        <v>826</v>
      </c>
      <c r="H925" s="406"/>
      <c r="I925" s="188"/>
      <c r="J925" s="142"/>
      <c r="K925" s="196" t="s">
        <v>721</v>
      </c>
      <c r="L925" s="67"/>
      <c r="M925" s="67"/>
      <c r="N925" s="67"/>
      <c r="O925" s="73"/>
      <c r="P925" s="237"/>
      <c r="Q925" s="255"/>
      <c r="R925" s="175" t="s">
        <v>1</v>
      </c>
      <c r="S925" s="411"/>
      <c r="T925" s="190"/>
      <c r="U925" s="22"/>
      <c r="V925" s="233"/>
      <c r="W925" s="239"/>
      <c r="X925" s="403"/>
      <c r="Y925" s="258"/>
    </row>
    <row r="926" spans="1:25" hidden="1" x14ac:dyDescent="0.3">
      <c r="A926" s="47">
        <f>IF(B926="","",SUBTOTAL(3,$B$3:B926)-1)</f>
        <v>7</v>
      </c>
      <c r="B926" s="24" t="s">
        <v>135</v>
      </c>
      <c r="C926" s="24" t="s">
        <v>5</v>
      </c>
      <c r="D926" s="163"/>
      <c r="E926" s="46">
        <f>($AA$2-O926)*$AB$2+Q926</f>
        <v>0</v>
      </c>
      <c r="F926" s="22">
        <v>5</v>
      </c>
      <c r="G926" s="175"/>
      <c r="H926" s="405"/>
      <c r="I926" s="185"/>
      <c r="J926" s="67"/>
      <c r="K926" s="194"/>
      <c r="L926" s="67"/>
      <c r="M926" s="67"/>
      <c r="N926" s="67"/>
      <c r="O926" s="73"/>
      <c r="P926" s="237"/>
      <c r="Q926" s="255"/>
      <c r="R926" s="175"/>
      <c r="S926" s="411"/>
      <c r="T926" s="190"/>
      <c r="U926" s="22"/>
      <c r="V926" s="233"/>
      <c r="W926" s="239"/>
      <c r="X926" s="403"/>
      <c r="Y926" s="258"/>
    </row>
    <row r="927" spans="1:25" hidden="1" x14ac:dyDescent="0.3">
      <c r="A927" s="47">
        <f>IF(B927="","",SUBTOTAL(3,$B$3:B927)-1)</f>
        <v>7</v>
      </c>
      <c r="B927" s="265" t="s">
        <v>1239</v>
      </c>
      <c r="C927" s="265" t="s">
        <v>5</v>
      </c>
      <c r="D927" s="265">
        <v>948347479</v>
      </c>
      <c r="E927" s="46" t="s">
        <v>1214</v>
      </c>
      <c r="F927" s="300">
        <v>5</v>
      </c>
      <c r="G927" s="175"/>
      <c r="H927" s="405" t="s">
        <v>634</v>
      </c>
      <c r="I927" s="185"/>
      <c r="J927" s="71"/>
      <c r="K927" s="194"/>
      <c r="L927" s="67"/>
      <c r="M927" s="67"/>
      <c r="N927" s="67"/>
      <c r="O927" s="73"/>
      <c r="P927" s="237"/>
      <c r="Q927" s="255"/>
      <c r="R927" s="175"/>
      <c r="S927" s="411"/>
      <c r="T927" s="190"/>
      <c r="U927" s="22"/>
      <c r="V927" s="233"/>
      <c r="W927" s="239"/>
      <c r="X927" s="403"/>
      <c r="Y927" s="320">
        <v>5</v>
      </c>
    </row>
    <row r="928" spans="1:25" hidden="1" x14ac:dyDescent="0.3">
      <c r="A928" s="47">
        <f>IF(B928="","",SUBTOTAL(3,$B$3:B928)-1)</f>
        <v>7</v>
      </c>
      <c r="B928" s="143" t="s">
        <v>951</v>
      </c>
      <c r="C928" s="143" t="s">
        <v>5</v>
      </c>
      <c r="D928" s="143"/>
      <c r="E928" s="46"/>
      <c r="F928" s="142">
        <v>7</v>
      </c>
      <c r="G928" s="175"/>
      <c r="H928" s="405" t="s">
        <v>635</v>
      </c>
      <c r="I928" s="189"/>
      <c r="J928" s="142"/>
      <c r="K928" s="196"/>
      <c r="L928" s="67"/>
      <c r="M928" s="67"/>
      <c r="N928" s="67"/>
      <c r="O928" s="73"/>
      <c r="P928" s="237"/>
      <c r="Q928" s="255"/>
      <c r="R928" s="175"/>
      <c r="S928" s="411" t="s">
        <v>2</v>
      </c>
      <c r="T928" s="190" t="s">
        <v>0</v>
      </c>
      <c r="U928" s="22"/>
      <c r="V928" s="233"/>
      <c r="W928" s="239"/>
      <c r="X928" s="403"/>
      <c r="Y928" s="258"/>
    </row>
    <row r="929" spans="1:25" hidden="1" x14ac:dyDescent="0.3">
      <c r="A929" s="47">
        <f>IF(B929="","",SUBTOTAL(3,$B$3:B929)-1)</f>
        <v>7</v>
      </c>
      <c r="B929" s="39" t="s">
        <v>888</v>
      </c>
      <c r="C929" s="24" t="s">
        <v>5</v>
      </c>
      <c r="D929" s="163">
        <v>792936591</v>
      </c>
      <c r="E929" s="46"/>
      <c r="F929" s="142">
        <v>7</v>
      </c>
      <c r="G929" s="175" t="s">
        <v>415</v>
      </c>
      <c r="H929" s="406" t="s">
        <v>696</v>
      </c>
      <c r="I929" s="188"/>
      <c r="J929" s="142"/>
      <c r="K929" s="196" t="s">
        <v>721</v>
      </c>
      <c r="L929" s="67"/>
      <c r="M929" s="67"/>
      <c r="N929" s="67"/>
      <c r="O929" s="73"/>
      <c r="P929" s="237"/>
      <c r="Q929" s="255"/>
      <c r="R929" s="175" t="s">
        <v>1</v>
      </c>
      <c r="S929" s="411" t="s">
        <v>0</v>
      </c>
      <c r="T929" s="190"/>
      <c r="U929" s="22"/>
      <c r="V929" s="233"/>
      <c r="W929" s="239"/>
      <c r="X929" s="403"/>
      <c r="Y929" s="258"/>
    </row>
    <row r="930" spans="1:25" hidden="1" x14ac:dyDescent="0.3">
      <c r="A930" s="47">
        <f>IF(B930="","",SUBTOTAL(3,$B$3:B930)-1)</f>
        <v>7</v>
      </c>
      <c r="B930" s="26" t="s">
        <v>579</v>
      </c>
      <c r="C930" s="26" t="s">
        <v>5</v>
      </c>
      <c r="D930" s="26"/>
      <c r="E930" s="46">
        <f>($AA$2-O930)*$AB$2+Q930</f>
        <v>0</v>
      </c>
      <c r="F930" s="22">
        <v>8</v>
      </c>
      <c r="G930" s="175" t="s">
        <v>415</v>
      </c>
      <c r="H930" s="405"/>
      <c r="I930" s="185"/>
      <c r="J930" s="67"/>
      <c r="K930" s="194"/>
      <c r="L930" s="180"/>
      <c r="M930" s="180"/>
      <c r="N930" s="180"/>
      <c r="O930" s="181"/>
      <c r="P930" s="237"/>
      <c r="Q930" s="255"/>
      <c r="R930" s="175" t="s">
        <v>848</v>
      </c>
      <c r="S930" s="411"/>
      <c r="T930" s="190"/>
      <c r="U930" s="22"/>
      <c r="V930" s="233"/>
      <c r="W930" s="239"/>
      <c r="X930" s="403"/>
      <c r="Y930" s="258"/>
    </row>
    <row r="931" spans="1:25" hidden="1" x14ac:dyDescent="0.3">
      <c r="A931" s="47">
        <f>IF(B931="","",SUBTOTAL(3,$B$3:B931)-1)</f>
        <v>7</v>
      </c>
      <c r="B931" s="24" t="s">
        <v>186</v>
      </c>
      <c r="C931" s="24" t="s">
        <v>5</v>
      </c>
      <c r="D931" s="163"/>
      <c r="E931" s="46">
        <f>($AA$2-O931)*$AB$2+Q931</f>
        <v>0</v>
      </c>
      <c r="F931" s="22">
        <v>9</v>
      </c>
      <c r="G931" s="175" t="s">
        <v>415</v>
      </c>
      <c r="H931" s="409" t="s">
        <v>660</v>
      </c>
      <c r="I931" s="187" t="s">
        <v>634</v>
      </c>
      <c r="J931" s="67"/>
      <c r="K931" s="194"/>
      <c r="L931" s="180"/>
      <c r="M931" s="180"/>
      <c r="N931" s="180"/>
      <c r="O931" s="181"/>
      <c r="P931" s="237"/>
      <c r="Q931" s="255"/>
      <c r="R931" s="175" t="s">
        <v>0</v>
      </c>
      <c r="S931" s="411" t="s">
        <v>1</v>
      </c>
      <c r="T931" s="190" t="s">
        <v>0</v>
      </c>
      <c r="U931" s="22"/>
      <c r="V931" s="233"/>
      <c r="W931" s="239"/>
      <c r="X931" s="403"/>
      <c r="Y931" s="258"/>
    </row>
    <row r="932" spans="1:25" hidden="1" x14ac:dyDescent="0.3">
      <c r="A932" s="47">
        <f>IF(B932="","",SUBTOTAL(3,$B$3:B932)-1)</f>
        <v>7</v>
      </c>
      <c r="B932" s="24" t="s">
        <v>190</v>
      </c>
      <c r="C932" s="24" t="s">
        <v>5</v>
      </c>
      <c r="D932" s="163"/>
      <c r="E932" s="46">
        <f>($AA$2-O932)*$AB$2+Q932</f>
        <v>0</v>
      </c>
      <c r="F932" s="21">
        <v>9</v>
      </c>
      <c r="G932" s="175" t="s">
        <v>415</v>
      </c>
      <c r="H932" s="409" t="s">
        <v>660</v>
      </c>
      <c r="I932" s="187"/>
      <c r="J932" s="67"/>
      <c r="K932" s="194"/>
      <c r="L932" s="180"/>
      <c r="M932" s="180"/>
      <c r="N932" s="180"/>
      <c r="O932" s="181"/>
      <c r="P932" s="237"/>
      <c r="Q932" s="255"/>
      <c r="R932" s="175" t="s">
        <v>0</v>
      </c>
      <c r="S932" s="411" t="s">
        <v>0</v>
      </c>
      <c r="T932" s="190"/>
      <c r="U932" s="22"/>
      <c r="V932" s="233"/>
      <c r="W932" s="239"/>
      <c r="X932" s="403"/>
      <c r="Y932" s="258"/>
    </row>
    <row r="933" spans="1:25" hidden="1" x14ac:dyDescent="0.3">
      <c r="A933" s="47">
        <f>IF(B933="","",SUBTOTAL(3,$B$3:B933)-1)</f>
        <v>7</v>
      </c>
      <c r="B933" s="26" t="s">
        <v>638</v>
      </c>
      <c r="C933" s="26" t="s">
        <v>5</v>
      </c>
      <c r="D933" s="163"/>
      <c r="E933" s="46">
        <f>($AA$2-O933)*$AB$2+Q933</f>
        <v>0</v>
      </c>
      <c r="F933" s="22">
        <v>9</v>
      </c>
      <c r="G933" s="175"/>
      <c r="H933" s="409" t="s">
        <v>660</v>
      </c>
      <c r="I933" s="186"/>
      <c r="J933" s="68"/>
      <c r="K933" s="195"/>
      <c r="L933" s="68"/>
      <c r="M933" s="68"/>
      <c r="N933" s="68"/>
      <c r="O933" s="73"/>
      <c r="P933" s="237"/>
      <c r="Q933" s="255"/>
      <c r="R933" s="175"/>
      <c r="S933" s="411" t="s">
        <v>0</v>
      </c>
      <c r="T933" s="190"/>
      <c r="U933" s="22"/>
      <c r="V933" s="233"/>
      <c r="W933" s="239"/>
      <c r="X933" s="403"/>
      <c r="Y933" s="258"/>
    </row>
    <row r="934" spans="1:25" hidden="1" x14ac:dyDescent="0.3">
      <c r="A934" s="47">
        <f>IF(B934="","",SUBTOTAL(3,$B$3:B934)-1)</f>
        <v>7</v>
      </c>
      <c r="B934" s="24" t="s">
        <v>1158</v>
      </c>
      <c r="C934" s="24" t="s">
        <v>5</v>
      </c>
      <c r="D934" s="163"/>
      <c r="E934" s="46">
        <f>($AA$2-O934)*$AB$2+Q934</f>
        <v>0</v>
      </c>
      <c r="F934" s="22">
        <v>9</v>
      </c>
      <c r="G934" s="175" t="s">
        <v>415</v>
      </c>
      <c r="H934" s="411"/>
      <c r="I934" s="190"/>
      <c r="J934" s="68" t="s">
        <v>661</v>
      </c>
      <c r="K934" s="195"/>
      <c r="L934" s="182"/>
      <c r="M934" s="182"/>
      <c r="N934" s="182"/>
      <c r="O934" s="181"/>
      <c r="P934" s="237"/>
      <c r="Q934" s="255"/>
      <c r="R934" s="175" t="s">
        <v>1</v>
      </c>
      <c r="S934" s="411"/>
      <c r="T934" s="190"/>
      <c r="U934" s="22" t="s">
        <v>1</v>
      </c>
      <c r="V934" s="233"/>
      <c r="W934" s="239"/>
      <c r="X934" s="403"/>
      <c r="Y934" s="258"/>
    </row>
    <row r="935" spans="1:25" hidden="1" x14ac:dyDescent="0.3">
      <c r="A935" s="47">
        <f>IF(B935="","",SUBTOTAL(3,$B$3:B935)-1)</f>
        <v>7</v>
      </c>
      <c r="B935" s="143" t="s">
        <v>846</v>
      </c>
      <c r="C935" s="143" t="s">
        <v>127</v>
      </c>
      <c r="D935" s="143">
        <v>347778424</v>
      </c>
      <c r="E935" s="46"/>
      <c r="F935" s="22">
        <v>5</v>
      </c>
      <c r="G935" s="176" t="s">
        <v>660</v>
      </c>
      <c r="H935" s="406"/>
      <c r="I935" s="188"/>
      <c r="J935" s="142"/>
      <c r="K935" s="196" t="s">
        <v>721</v>
      </c>
      <c r="L935" s="67"/>
      <c r="M935" s="67"/>
      <c r="N935" s="67"/>
      <c r="O935" s="73"/>
      <c r="P935" s="237"/>
      <c r="Q935" s="255"/>
      <c r="R935" s="175" t="s">
        <v>1</v>
      </c>
      <c r="S935" s="411"/>
      <c r="T935" s="190"/>
      <c r="U935" s="22"/>
      <c r="V935" s="233"/>
      <c r="W935" s="239"/>
      <c r="X935" s="403"/>
      <c r="Y935" s="258"/>
    </row>
    <row r="936" spans="1:25" hidden="1" x14ac:dyDescent="0.3">
      <c r="A936" s="47">
        <f>IF(B936="","",SUBTOTAL(3,$B$3:B936)-1)</f>
        <v>7</v>
      </c>
      <c r="B936" s="24" t="s">
        <v>1150</v>
      </c>
      <c r="C936" s="24" t="s">
        <v>127</v>
      </c>
      <c r="D936" s="24" t="s">
        <v>1152</v>
      </c>
      <c r="E936" s="46"/>
      <c r="F936" s="142">
        <v>6</v>
      </c>
      <c r="G936" s="175" t="s">
        <v>660</v>
      </c>
      <c r="H936" s="405"/>
      <c r="I936" s="185"/>
      <c r="J936" s="67"/>
      <c r="K936" s="194"/>
      <c r="L936" s="67"/>
      <c r="M936" s="67"/>
      <c r="N936" s="67"/>
      <c r="O936" s="73"/>
      <c r="P936" s="237"/>
      <c r="Q936" s="255"/>
      <c r="R936" s="175" t="s">
        <v>1</v>
      </c>
      <c r="S936" s="411"/>
      <c r="T936" s="190"/>
      <c r="U936" s="22"/>
      <c r="V936" s="233"/>
      <c r="W936" s="239"/>
      <c r="X936" s="403"/>
      <c r="Y936" s="258"/>
    </row>
    <row r="937" spans="1:25" hidden="1" x14ac:dyDescent="0.3">
      <c r="A937" s="47">
        <f>IF(B937="","",SUBTOTAL(3,$B$3:B937)-1)</f>
        <v>7</v>
      </c>
      <c r="B937" s="265" t="s">
        <v>1340</v>
      </c>
      <c r="C937" s="265" t="s">
        <v>127</v>
      </c>
      <c r="D937" s="300">
        <v>989204907</v>
      </c>
      <c r="E937" s="46" t="s">
        <v>1214</v>
      </c>
      <c r="F937" s="22">
        <v>6</v>
      </c>
      <c r="G937" s="175" t="s">
        <v>415</v>
      </c>
      <c r="H937" s="405"/>
      <c r="I937" s="185"/>
      <c r="J937" s="71"/>
      <c r="K937" s="194"/>
      <c r="L937" s="67"/>
      <c r="M937" s="67"/>
      <c r="N937" s="67"/>
      <c r="O937" s="73"/>
      <c r="P937" s="237"/>
      <c r="Q937" s="255"/>
      <c r="R937" s="175" t="s">
        <v>848</v>
      </c>
      <c r="S937" s="408" t="s">
        <v>0</v>
      </c>
      <c r="T937" s="190"/>
      <c r="U937" s="22"/>
      <c r="V937" s="233"/>
      <c r="W937" s="239"/>
      <c r="X937" s="403"/>
      <c r="Y937" s="258"/>
    </row>
    <row r="938" spans="1:25" hidden="1" x14ac:dyDescent="0.3">
      <c r="A938" s="47">
        <f>IF(B938="","",SUBTOTAL(3,$B$3:B938)-1)</f>
        <v>7</v>
      </c>
      <c r="B938" s="271" t="s">
        <v>1341</v>
      </c>
      <c r="C938" s="271" t="s">
        <v>127</v>
      </c>
      <c r="D938" s="297"/>
      <c r="E938" s="46" t="s">
        <v>1214</v>
      </c>
      <c r="F938" s="22">
        <v>6</v>
      </c>
      <c r="G938" s="175" t="s">
        <v>415</v>
      </c>
      <c r="H938" s="405"/>
      <c r="I938" s="185"/>
      <c r="J938" s="71"/>
      <c r="K938" s="194"/>
      <c r="L938" s="67"/>
      <c r="M938" s="67"/>
      <c r="N938" s="67"/>
      <c r="O938" s="73"/>
      <c r="P938" s="237"/>
      <c r="Q938" s="255"/>
      <c r="R938" s="175" t="s">
        <v>848</v>
      </c>
      <c r="S938" s="408" t="s">
        <v>1</v>
      </c>
      <c r="T938" s="190"/>
      <c r="U938" s="22"/>
      <c r="V938" s="233"/>
      <c r="W938" s="239"/>
      <c r="X938" s="403"/>
      <c r="Y938" s="258"/>
    </row>
    <row r="939" spans="1:25" hidden="1" x14ac:dyDescent="0.3">
      <c r="A939" s="47">
        <f>IF(B939="","",SUBTOTAL(3,$B$3:B939)-1)</f>
        <v>7</v>
      </c>
      <c r="B939" s="39" t="s">
        <v>1344</v>
      </c>
      <c r="C939" s="39" t="s">
        <v>127</v>
      </c>
      <c r="D939" s="304">
        <v>336142678</v>
      </c>
      <c r="E939" s="46" t="s">
        <v>1214</v>
      </c>
      <c r="F939" s="22">
        <v>6</v>
      </c>
      <c r="G939" s="175" t="s">
        <v>415</v>
      </c>
      <c r="H939" s="405"/>
      <c r="I939" s="185"/>
      <c r="J939" s="71"/>
      <c r="K939" s="194"/>
      <c r="L939" s="67"/>
      <c r="M939" s="67"/>
      <c r="N939" s="67"/>
      <c r="O939" s="73"/>
      <c r="P939" s="237"/>
      <c r="Q939" s="255"/>
      <c r="R939" s="318" t="s">
        <v>0</v>
      </c>
      <c r="S939" s="408">
        <v>6</v>
      </c>
      <c r="T939" s="190"/>
      <c r="U939" s="22"/>
      <c r="V939" s="233"/>
      <c r="W939" s="239"/>
      <c r="X939" s="403"/>
      <c r="Y939" s="258"/>
    </row>
    <row r="940" spans="1:25" hidden="1" x14ac:dyDescent="0.3">
      <c r="A940" s="47">
        <f>IF(B940="","",SUBTOTAL(3,$B$3:B940)-1)</f>
        <v>7</v>
      </c>
      <c r="B940" s="380" t="s">
        <v>139</v>
      </c>
      <c r="C940" s="380" t="s">
        <v>127</v>
      </c>
      <c r="D940" s="380">
        <v>368370405</v>
      </c>
      <c r="E940" s="46" t="s">
        <v>1356</v>
      </c>
      <c r="F940" s="382">
        <v>6</v>
      </c>
      <c r="G940" s="175" t="s">
        <v>1332</v>
      </c>
      <c r="H940" s="405"/>
      <c r="I940" s="185"/>
      <c r="J940" s="71"/>
      <c r="K940" s="194"/>
      <c r="L940" s="67"/>
      <c r="M940" s="67"/>
      <c r="N940" s="67"/>
      <c r="O940" s="73"/>
      <c r="P940" s="237"/>
      <c r="Q940" s="255"/>
      <c r="R940" s="175" t="s">
        <v>2</v>
      </c>
      <c r="S940" s="411"/>
      <c r="T940" s="190"/>
      <c r="U940" s="22"/>
      <c r="V940" s="233"/>
      <c r="W940" s="239"/>
      <c r="X940" s="403"/>
      <c r="Y940" s="383" t="s">
        <v>1376</v>
      </c>
    </row>
    <row r="941" spans="1:25" hidden="1" x14ac:dyDescent="0.3">
      <c r="A941" s="47">
        <f>IF(B941="","",SUBTOTAL(3,$B$3:B941)-1)</f>
        <v>7</v>
      </c>
      <c r="B941" s="64" t="s">
        <v>640</v>
      </c>
      <c r="C941" s="25" t="s">
        <v>127</v>
      </c>
      <c r="D941" s="24"/>
      <c r="E941" s="46"/>
      <c r="F941" s="22">
        <v>10</v>
      </c>
      <c r="G941" s="175" t="s">
        <v>415</v>
      </c>
      <c r="H941" s="405"/>
      <c r="I941" s="185"/>
      <c r="J941" s="71"/>
      <c r="K941" s="194"/>
      <c r="L941" s="180"/>
      <c r="M941" s="180"/>
      <c r="N941" s="180"/>
      <c r="O941" s="181"/>
      <c r="P941" s="237"/>
      <c r="Q941" s="255"/>
      <c r="R941" s="175" t="s">
        <v>2</v>
      </c>
      <c r="S941" s="414"/>
      <c r="T941" s="190"/>
      <c r="U941" s="22"/>
      <c r="V941" s="233"/>
      <c r="W941" s="239"/>
      <c r="X941" s="403"/>
      <c r="Y941" s="258"/>
    </row>
    <row r="942" spans="1:25" hidden="1" x14ac:dyDescent="0.3">
      <c r="A942" s="47">
        <f>IF(B942="","",SUBTOTAL(3,$B$3:B942)-1)</f>
        <v>7</v>
      </c>
      <c r="B942" s="24" t="s">
        <v>369</v>
      </c>
      <c r="C942" s="24" t="s">
        <v>127</v>
      </c>
      <c r="D942" s="163"/>
      <c r="E942" s="46">
        <f>($AA$2-O942)*$AB$2+Q942</f>
        <v>0</v>
      </c>
      <c r="F942" s="22">
        <v>12</v>
      </c>
      <c r="G942" s="175"/>
      <c r="H942" s="408"/>
      <c r="I942" s="186"/>
      <c r="J942" s="68"/>
      <c r="K942" s="195"/>
      <c r="L942" s="68"/>
      <c r="M942" s="68"/>
      <c r="N942" s="68"/>
      <c r="O942" s="73"/>
      <c r="P942" s="237"/>
      <c r="Q942" s="255"/>
      <c r="R942" s="175" t="s">
        <v>415</v>
      </c>
      <c r="S942" s="411"/>
      <c r="T942" s="190"/>
      <c r="U942" s="22"/>
      <c r="V942" s="233"/>
      <c r="W942" s="239"/>
      <c r="X942" s="403"/>
      <c r="Y942" s="258"/>
    </row>
    <row r="943" spans="1:25" hidden="1" x14ac:dyDescent="0.3">
      <c r="A943" s="47">
        <f>IF(B943="","",SUBTOTAL(3,$B$3:B943)-1)</f>
        <v>7</v>
      </c>
      <c r="B943" s="26" t="s">
        <v>520</v>
      </c>
      <c r="C943" s="26" t="s">
        <v>127</v>
      </c>
      <c r="D943" s="163">
        <v>939833364</v>
      </c>
      <c r="E943" s="46">
        <f>($AA$2-O943)*$AB$2+Q943</f>
        <v>0</v>
      </c>
      <c r="F943" s="22">
        <v>9</v>
      </c>
      <c r="G943" s="175"/>
      <c r="H943" s="409"/>
      <c r="I943" s="187"/>
      <c r="J943" s="67"/>
      <c r="K943" s="194"/>
      <c r="L943" s="67"/>
      <c r="M943" s="67"/>
      <c r="N943" s="67"/>
      <c r="O943" s="73"/>
      <c r="P943" s="237"/>
      <c r="Q943" s="255"/>
      <c r="R943" s="175"/>
      <c r="S943" s="411"/>
      <c r="T943" s="190"/>
      <c r="U943" s="22"/>
      <c r="V943" s="233"/>
      <c r="W943" s="239"/>
      <c r="X943" s="403"/>
      <c r="Y943" s="258"/>
    </row>
    <row r="944" spans="1:25" ht="37.5" hidden="1" x14ac:dyDescent="0.3">
      <c r="A944" s="47">
        <f>IF(B944="","",SUBTOTAL(3,$B$3:B944)-1)</f>
        <v>7</v>
      </c>
      <c r="B944" s="265" t="s">
        <v>520</v>
      </c>
      <c r="C944" s="265" t="s">
        <v>127</v>
      </c>
      <c r="D944" s="265" t="s">
        <v>1318</v>
      </c>
      <c r="E944" s="46" t="s">
        <v>1214</v>
      </c>
      <c r="F944" s="301">
        <v>9</v>
      </c>
      <c r="G944" s="175" t="s">
        <v>415</v>
      </c>
      <c r="H944" s="405"/>
      <c r="I944" s="185"/>
      <c r="J944" s="71"/>
      <c r="K944" s="194"/>
      <c r="L944" s="67"/>
      <c r="M944" s="67"/>
      <c r="N944" s="67"/>
      <c r="O944" s="73"/>
      <c r="P944" s="237"/>
      <c r="Q944" s="255"/>
      <c r="R944" s="175" t="s">
        <v>661</v>
      </c>
      <c r="S944" s="411"/>
      <c r="T944" s="190"/>
      <c r="U944" s="22"/>
      <c r="V944" s="233"/>
      <c r="W944" s="239"/>
      <c r="X944" s="403"/>
      <c r="Y944" s="320" t="s">
        <v>1046</v>
      </c>
    </row>
    <row r="945" spans="1:25" hidden="1" x14ac:dyDescent="0.3">
      <c r="A945" s="47">
        <f>IF(B945="","",SUBTOTAL(3,$B$3:B945)-1)</f>
        <v>7</v>
      </c>
      <c r="B945" s="39" t="s">
        <v>684</v>
      </c>
      <c r="C945" s="24" t="s">
        <v>679</v>
      </c>
      <c r="D945" s="163"/>
      <c r="E945" s="46">
        <f>($AA$2-O945)*$AB$2+Q945</f>
        <v>0</v>
      </c>
      <c r="F945" s="21">
        <v>11</v>
      </c>
      <c r="G945" s="175" t="s">
        <v>415</v>
      </c>
      <c r="H945" s="405" t="s">
        <v>635</v>
      </c>
      <c r="I945" s="185"/>
      <c r="J945" s="67"/>
      <c r="K945" s="194"/>
      <c r="L945" s="180"/>
      <c r="M945" s="180"/>
      <c r="N945" s="180"/>
      <c r="O945" s="181"/>
      <c r="P945" s="237"/>
      <c r="Q945" s="255"/>
      <c r="R945" s="175" t="s">
        <v>661</v>
      </c>
      <c r="S945" s="411" t="s">
        <v>2</v>
      </c>
      <c r="T945" s="190"/>
      <c r="U945" s="22"/>
      <c r="V945" s="233"/>
      <c r="W945" s="239"/>
      <c r="X945" s="403"/>
      <c r="Y945" s="258"/>
    </row>
    <row r="946" spans="1:25" hidden="1" x14ac:dyDescent="0.3">
      <c r="A946" s="47">
        <f>IF(B946="","",SUBTOTAL(3,$B$3:B946)-1)</f>
        <v>7</v>
      </c>
      <c r="B946" s="25" t="s">
        <v>316</v>
      </c>
      <c r="C946" s="25" t="s">
        <v>109</v>
      </c>
      <c r="D946" s="163"/>
      <c r="E946" s="46">
        <f>($AA$2-O946)*$AB$2+Q946</f>
        <v>0</v>
      </c>
      <c r="F946" s="21">
        <v>11</v>
      </c>
      <c r="G946" s="175" t="s">
        <v>660</v>
      </c>
      <c r="H946" s="405"/>
      <c r="I946" s="185" t="s">
        <v>661</v>
      </c>
      <c r="J946" s="67"/>
      <c r="K946" s="194"/>
      <c r="L946" s="180"/>
      <c r="M946" s="180"/>
      <c r="N946" s="180"/>
      <c r="O946" s="181"/>
      <c r="P946" s="237"/>
      <c r="Q946" s="255"/>
      <c r="R946" s="175" t="s">
        <v>0</v>
      </c>
      <c r="S946" s="411"/>
      <c r="T946" s="190"/>
      <c r="U946" s="22"/>
      <c r="V946" s="233"/>
      <c r="W946" s="239"/>
      <c r="X946" s="403"/>
      <c r="Y946" s="258"/>
    </row>
    <row r="947" spans="1:25" hidden="1" x14ac:dyDescent="0.3">
      <c r="A947" s="47">
        <f>IF(B947="","",SUBTOTAL(3,$B$3:B947)-1)</f>
        <v>7</v>
      </c>
      <c r="B947" s="144" t="s">
        <v>33</v>
      </c>
      <c r="C947" s="146" t="s">
        <v>109</v>
      </c>
      <c r="D947" s="143"/>
      <c r="E947" s="46"/>
      <c r="F947" s="22">
        <v>12</v>
      </c>
      <c r="G947" s="175"/>
      <c r="H947" s="406"/>
      <c r="I947" s="188"/>
      <c r="J947" s="142"/>
      <c r="K947" s="196"/>
      <c r="L947" s="67"/>
      <c r="M947" s="67"/>
      <c r="N947" s="67"/>
      <c r="O947" s="73"/>
      <c r="P947" s="237"/>
      <c r="Q947" s="255"/>
      <c r="R947" s="175"/>
      <c r="S947" s="411"/>
      <c r="T947" s="190"/>
      <c r="U947" s="22"/>
      <c r="V947" s="233"/>
      <c r="W947" s="239"/>
      <c r="X947" s="403"/>
      <c r="Y947" s="258"/>
    </row>
    <row r="948" spans="1:25" hidden="1" x14ac:dyDescent="0.3">
      <c r="A948" s="47">
        <f>IF(B948="","",SUBTOTAL(3,$B$3:B948)-1)</f>
        <v>7</v>
      </c>
      <c r="B948" s="143" t="s">
        <v>674</v>
      </c>
      <c r="C948" s="143" t="s">
        <v>109</v>
      </c>
      <c r="D948" s="143">
        <v>988556504</v>
      </c>
      <c r="E948" s="46"/>
      <c r="F948" s="22">
        <v>10</v>
      </c>
      <c r="G948" s="176" t="s">
        <v>415</v>
      </c>
      <c r="H948" s="406"/>
      <c r="I948" s="188"/>
      <c r="J948" s="142"/>
      <c r="K948" s="196" t="s">
        <v>721</v>
      </c>
      <c r="L948" s="67"/>
      <c r="M948" s="67"/>
      <c r="N948" s="67"/>
      <c r="O948" s="73"/>
      <c r="P948" s="237"/>
      <c r="Q948" s="255"/>
      <c r="R948" s="175" t="s">
        <v>0</v>
      </c>
      <c r="S948" s="411"/>
      <c r="T948" s="190"/>
      <c r="U948" s="22"/>
      <c r="V948" s="233"/>
      <c r="W948" s="239"/>
      <c r="X948" s="403"/>
      <c r="Y948" s="258"/>
    </row>
    <row r="949" spans="1:25" hidden="1" x14ac:dyDescent="0.3">
      <c r="A949" s="47">
        <f>IF(B949="","",SUBTOTAL(3,$B$3:B949)-1)</f>
        <v>7</v>
      </c>
      <c r="B949" s="24" t="s">
        <v>604</v>
      </c>
      <c r="C949" s="242" t="s">
        <v>109</v>
      </c>
      <c r="D949" s="163"/>
      <c r="E949" s="46">
        <f>($AA$2-O949)*$AB$2+Q949</f>
        <v>0</v>
      </c>
      <c r="F949" s="22">
        <v>12</v>
      </c>
      <c r="G949" s="175"/>
      <c r="H949" s="405"/>
      <c r="I949" s="185"/>
      <c r="J949" s="67"/>
      <c r="K949" s="194"/>
      <c r="L949" s="67"/>
      <c r="M949" s="67"/>
      <c r="N949" s="67"/>
      <c r="O949" s="73"/>
      <c r="P949" s="237"/>
      <c r="Q949" s="255"/>
      <c r="R949" s="175"/>
      <c r="S949" s="411"/>
      <c r="T949" s="190"/>
      <c r="U949" s="22"/>
      <c r="V949" s="233"/>
      <c r="W949" s="239"/>
      <c r="X949" s="403"/>
      <c r="Y949" s="258"/>
    </row>
    <row r="950" spans="1:25" hidden="1" x14ac:dyDescent="0.3">
      <c r="A950" s="47">
        <f>IF(B950="","",SUBTOTAL(3,$B$3:B950)-1)</f>
        <v>7</v>
      </c>
      <c r="B950" s="24" t="s">
        <v>280</v>
      </c>
      <c r="C950" s="244" t="s">
        <v>109</v>
      </c>
      <c r="D950" s="163"/>
      <c r="E950" s="46">
        <f>($AA$2-O950)*$AB$2+Q950</f>
        <v>0</v>
      </c>
      <c r="F950" s="22" t="s">
        <v>1213</v>
      </c>
      <c r="G950" s="175" t="s">
        <v>660</v>
      </c>
      <c r="H950" s="405"/>
      <c r="I950" s="185"/>
      <c r="J950" s="67"/>
      <c r="K950" s="194"/>
      <c r="L950" s="67"/>
      <c r="M950" s="67"/>
      <c r="N950" s="67"/>
      <c r="O950" s="73"/>
      <c r="P950" s="237"/>
      <c r="Q950" s="255"/>
      <c r="R950" s="175" t="s">
        <v>1</v>
      </c>
      <c r="S950" s="411"/>
      <c r="T950" s="190"/>
      <c r="U950" s="22"/>
      <c r="V950" s="233"/>
      <c r="W950" s="239"/>
      <c r="X950" s="403"/>
      <c r="Y950" s="258"/>
    </row>
    <row r="951" spans="1:25" hidden="1" x14ac:dyDescent="0.3">
      <c r="A951" s="47">
        <f>IF(B951="","",SUBTOTAL(3,$B$3:B951)-1)</f>
        <v>7</v>
      </c>
      <c r="B951" s="24" t="s">
        <v>258</v>
      </c>
      <c r="C951" s="24" t="s">
        <v>109</v>
      </c>
      <c r="D951" s="163"/>
      <c r="E951" s="46">
        <f>($AA$2-O951)*$AB$2+Q951</f>
        <v>0</v>
      </c>
      <c r="F951" s="21">
        <v>12</v>
      </c>
      <c r="G951" s="175" t="s">
        <v>660</v>
      </c>
      <c r="H951" s="405"/>
      <c r="I951" s="185"/>
      <c r="J951" s="67"/>
      <c r="K951" s="194"/>
      <c r="L951" s="67"/>
      <c r="M951" s="67"/>
      <c r="N951" s="67"/>
      <c r="O951" s="73"/>
      <c r="P951" s="237"/>
      <c r="Q951" s="255"/>
      <c r="R951" s="175" t="s">
        <v>1</v>
      </c>
      <c r="S951" s="411"/>
      <c r="T951" s="190"/>
      <c r="U951" s="22"/>
      <c r="V951" s="233"/>
      <c r="W951" s="239"/>
      <c r="X951" s="403"/>
      <c r="Y951" s="258"/>
    </row>
    <row r="952" spans="1:25" hidden="1" x14ac:dyDescent="0.3">
      <c r="A952" s="47">
        <f>IF(B952="","",SUBTOTAL(3,$B$3:B952)-1)</f>
        <v>7</v>
      </c>
      <c r="B952" s="17" t="s">
        <v>97</v>
      </c>
      <c r="C952" s="24" t="s">
        <v>109</v>
      </c>
      <c r="D952" s="24"/>
      <c r="E952" s="46">
        <f>($AA$2-O952)*$AB$2+Q952</f>
        <v>0</v>
      </c>
      <c r="F952" s="22">
        <v>12</v>
      </c>
      <c r="G952" s="175"/>
      <c r="H952" s="405"/>
      <c r="I952" s="185"/>
      <c r="J952" s="67"/>
      <c r="K952" s="194"/>
      <c r="L952" s="67"/>
      <c r="M952" s="67"/>
      <c r="N952" s="67"/>
      <c r="O952" s="73"/>
      <c r="P952" s="237"/>
      <c r="Q952" s="255"/>
      <c r="R952" s="175" t="s">
        <v>415</v>
      </c>
      <c r="S952" s="411"/>
      <c r="T952" s="190"/>
      <c r="U952" s="22"/>
      <c r="V952" s="233"/>
      <c r="W952" s="239"/>
      <c r="X952" s="403"/>
      <c r="Y952" s="258"/>
    </row>
    <row r="953" spans="1:25" hidden="1" x14ac:dyDescent="0.3">
      <c r="A953" s="47">
        <f>IF(B953="","",SUBTOTAL(3,$B$3:B953)-1)</f>
        <v>7</v>
      </c>
      <c r="B953" s="24" t="s">
        <v>484</v>
      </c>
      <c r="C953" s="24" t="s">
        <v>109</v>
      </c>
      <c r="D953" s="163"/>
      <c r="E953" s="46"/>
      <c r="F953" s="22">
        <v>10</v>
      </c>
      <c r="G953" s="175"/>
      <c r="H953" s="409"/>
      <c r="I953" s="187" t="s">
        <v>661</v>
      </c>
      <c r="J953" s="67"/>
      <c r="K953" s="194"/>
      <c r="L953" s="180"/>
      <c r="M953" s="180"/>
      <c r="N953" s="180"/>
      <c r="O953" s="181"/>
      <c r="P953" s="237"/>
      <c r="Q953" s="255"/>
      <c r="R953" s="175"/>
      <c r="S953" s="411"/>
      <c r="T953" s="190" t="s">
        <v>1</v>
      </c>
      <c r="U953" s="22"/>
      <c r="V953" s="233"/>
      <c r="W953" s="239"/>
      <c r="X953" s="403"/>
      <c r="Y953" s="258"/>
    </row>
    <row r="954" spans="1:25" hidden="1" x14ac:dyDescent="0.3">
      <c r="A954" s="47">
        <f>IF(B954="","",SUBTOTAL(3,$B$3:B954)-1)</f>
        <v>7</v>
      </c>
      <c r="B954" s="26" t="s">
        <v>209</v>
      </c>
      <c r="C954" s="26" t="s">
        <v>109</v>
      </c>
      <c r="D954" s="26">
        <v>788731486</v>
      </c>
      <c r="E954" s="46">
        <f>($AA$2-O954)*$AB$2+Q954</f>
        <v>0</v>
      </c>
      <c r="F954" s="22">
        <v>8</v>
      </c>
      <c r="G954" s="175" t="s">
        <v>415</v>
      </c>
      <c r="H954" s="405" t="s">
        <v>660</v>
      </c>
      <c r="I954" s="185"/>
      <c r="J954" s="67"/>
      <c r="K954" s="194"/>
      <c r="L954" s="180"/>
      <c r="M954" s="180"/>
      <c r="N954" s="180"/>
      <c r="O954" s="181"/>
      <c r="P954" s="237"/>
      <c r="Q954" s="255"/>
      <c r="R954" s="175" t="s">
        <v>848</v>
      </c>
      <c r="S954" s="411" t="s">
        <v>0</v>
      </c>
      <c r="T954" s="190"/>
      <c r="U954" s="22"/>
      <c r="V954" s="233"/>
      <c r="W954" s="239"/>
      <c r="X954" s="403"/>
      <c r="Y954" s="258"/>
    </row>
    <row r="955" spans="1:25" hidden="1" x14ac:dyDescent="0.3">
      <c r="A955" s="47">
        <f>IF(B955="","",SUBTOTAL(3,$B$3:B955)-1)</f>
        <v>7</v>
      </c>
      <c r="B955" s="143" t="s">
        <v>767</v>
      </c>
      <c r="C955" s="143" t="s">
        <v>768</v>
      </c>
      <c r="D955" s="143">
        <v>865534755</v>
      </c>
      <c r="E955" s="46"/>
      <c r="F955" s="22">
        <v>10</v>
      </c>
      <c r="G955" s="176"/>
      <c r="H955" s="406" t="s">
        <v>635</v>
      </c>
      <c r="I955" s="188"/>
      <c r="J955" s="142"/>
      <c r="K955" s="196" t="s">
        <v>721</v>
      </c>
      <c r="L955" s="67"/>
      <c r="M955" s="67"/>
      <c r="N955" s="67"/>
      <c r="O955" s="73"/>
      <c r="P955" s="237"/>
      <c r="Q955" s="255"/>
      <c r="R955" s="175"/>
      <c r="S955" s="411" t="s">
        <v>0</v>
      </c>
      <c r="T955" s="190"/>
      <c r="U955" s="22"/>
      <c r="V955" s="233"/>
      <c r="W955" s="239"/>
      <c r="X955" s="403"/>
      <c r="Y955" s="258"/>
    </row>
    <row r="956" spans="1:25" hidden="1" x14ac:dyDescent="0.3">
      <c r="A956" s="47">
        <f>IF(B956="","",SUBTOTAL(3,$B$3:B956)-1)</f>
        <v>7</v>
      </c>
      <c r="B956" s="39" t="s">
        <v>1138</v>
      </c>
      <c r="C956" s="24" t="s">
        <v>11</v>
      </c>
      <c r="D956" s="163"/>
      <c r="E956" s="46"/>
      <c r="F956" s="142">
        <v>3</v>
      </c>
      <c r="G956" s="175" t="s">
        <v>826</v>
      </c>
      <c r="H956" s="405"/>
      <c r="I956" s="185"/>
      <c r="J956" s="67"/>
      <c r="K956" s="194"/>
      <c r="L956" s="67"/>
      <c r="M956" s="67"/>
      <c r="N956" s="67"/>
      <c r="O956" s="73"/>
      <c r="P956" s="237"/>
      <c r="Q956" s="255"/>
      <c r="R956" s="175" t="s">
        <v>1</v>
      </c>
      <c r="S956" s="411"/>
      <c r="T956" s="190"/>
      <c r="U956" s="22"/>
      <c r="V956" s="233"/>
      <c r="W956" s="239"/>
      <c r="X956" s="403"/>
      <c r="Y956" s="258"/>
    </row>
    <row r="957" spans="1:25" hidden="1" x14ac:dyDescent="0.3">
      <c r="A957" s="47">
        <f>IF(B957="","",SUBTOTAL(3,$B$3:B957)-1)</f>
        <v>7</v>
      </c>
      <c r="B957" s="143" t="s">
        <v>715</v>
      </c>
      <c r="C957" s="143" t="s">
        <v>11</v>
      </c>
      <c r="D957" s="143"/>
      <c r="E957" s="46"/>
      <c r="F957" s="21">
        <v>5</v>
      </c>
      <c r="G957" s="176" t="s">
        <v>660</v>
      </c>
      <c r="H957" s="406"/>
      <c r="I957" s="188"/>
      <c r="J957" s="142"/>
      <c r="K957" s="196"/>
      <c r="L957" s="67"/>
      <c r="M957" s="67"/>
      <c r="N957" s="67"/>
      <c r="O957" s="73"/>
      <c r="P957" s="237"/>
      <c r="Q957" s="255"/>
      <c r="R957" s="175" t="s">
        <v>1</v>
      </c>
      <c r="S957" s="411"/>
      <c r="T957" s="190"/>
      <c r="U957" s="22"/>
      <c r="V957" s="233"/>
      <c r="W957" s="239"/>
      <c r="X957" s="403"/>
      <c r="Y957" s="258"/>
    </row>
    <row r="958" spans="1:25" hidden="1" x14ac:dyDescent="0.3">
      <c r="A958" s="47">
        <f>IF(B958="","",SUBTOTAL(3,$B$3:B958)-1)</f>
        <v>7</v>
      </c>
      <c r="B958" s="143" t="s">
        <v>141</v>
      </c>
      <c r="C958" s="143" t="s">
        <v>11</v>
      </c>
      <c r="D958" s="143">
        <v>76456326</v>
      </c>
      <c r="E958" s="46"/>
      <c r="F958" s="22">
        <v>5</v>
      </c>
      <c r="G958" s="176" t="s">
        <v>660</v>
      </c>
      <c r="H958" s="407" t="s">
        <v>634</v>
      </c>
      <c r="I958" s="189" t="s">
        <v>634</v>
      </c>
      <c r="J958" s="142"/>
      <c r="K958" s="196"/>
      <c r="L958" s="67"/>
      <c r="M958" s="67"/>
      <c r="N958" s="67"/>
      <c r="O958" s="73"/>
      <c r="P958" s="237" t="s">
        <v>1</v>
      </c>
      <c r="Q958" s="255"/>
      <c r="R958" s="175" t="s">
        <v>1</v>
      </c>
      <c r="S958" s="411"/>
      <c r="T958" s="190" t="s">
        <v>0</v>
      </c>
      <c r="U958" s="22"/>
      <c r="V958" s="233"/>
      <c r="W958" s="239"/>
      <c r="X958" s="403"/>
      <c r="Y958" s="258"/>
    </row>
    <row r="959" spans="1:25" hidden="1" x14ac:dyDescent="0.3">
      <c r="A959" s="47">
        <f>IF(B959="","",SUBTOTAL(3,$B$3:B959)-1)</f>
        <v>7</v>
      </c>
      <c r="B959" s="143" t="s">
        <v>1176</v>
      </c>
      <c r="C959" s="143" t="s">
        <v>11</v>
      </c>
      <c r="D959" s="143"/>
      <c r="E959" s="46"/>
      <c r="F959" s="22">
        <v>5</v>
      </c>
      <c r="G959" s="176"/>
      <c r="H959" s="407"/>
      <c r="I959" s="189" t="s">
        <v>634</v>
      </c>
      <c r="J959" s="142"/>
      <c r="K959" s="196"/>
      <c r="L959" s="67"/>
      <c r="M959" s="67"/>
      <c r="N959" s="67"/>
      <c r="O959" s="73"/>
      <c r="P959" s="237"/>
      <c r="Q959" s="255"/>
      <c r="R959" s="175"/>
      <c r="S959" s="411"/>
      <c r="T959" s="190" t="s">
        <v>0</v>
      </c>
      <c r="U959" s="22"/>
      <c r="V959" s="233"/>
      <c r="W959" s="239"/>
      <c r="X959" s="403"/>
      <c r="Y959" s="258"/>
    </row>
    <row r="960" spans="1:25" hidden="1" x14ac:dyDescent="0.3">
      <c r="A960" s="47">
        <f>IF(B960="","",SUBTOTAL(3,$B$3:B960)-1)</f>
        <v>7</v>
      </c>
      <c r="B960" s="143" t="s">
        <v>775</v>
      </c>
      <c r="C960" s="146" t="s">
        <v>11</v>
      </c>
      <c r="D960" s="143">
        <v>858778474</v>
      </c>
      <c r="E960" s="46"/>
      <c r="F960" s="22">
        <v>5</v>
      </c>
      <c r="G960" s="176"/>
      <c r="H960" s="407" t="s">
        <v>776</v>
      </c>
      <c r="I960" s="189" t="s">
        <v>634</v>
      </c>
      <c r="J960" s="142"/>
      <c r="K960" s="196" t="s">
        <v>721</v>
      </c>
      <c r="L960" s="67"/>
      <c r="M960" s="67"/>
      <c r="N960" s="67"/>
      <c r="O960" s="73"/>
      <c r="P960" s="237"/>
      <c r="Q960" s="255"/>
      <c r="R960" s="175"/>
      <c r="S960" s="411"/>
      <c r="T960" s="190" t="s">
        <v>0</v>
      </c>
      <c r="U960" s="22"/>
      <c r="V960" s="233"/>
      <c r="W960" s="239"/>
      <c r="X960" s="403"/>
      <c r="Y960" s="258"/>
    </row>
    <row r="961" spans="1:25" hidden="1" x14ac:dyDescent="0.3">
      <c r="A961" s="47">
        <f>IF(B961="","",SUBTOTAL(3,$B$3:B961)-1)</f>
        <v>7</v>
      </c>
      <c r="B961" s="265" t="s">
        <v>1342</v>
      </c>
      <c r="C961" s="265" t="s">
        <v>11</v>
      </c>
      <c r="D961" s="300">
        <v>919700164</v>
      </c>
      <c r="E961" s="46" t="s">
        <v>1214</v>
      </c>
      <c r="F961" s="22">
        <v>6</v>
      </c>
      <c r="G961" s="175" t="s">
        <v>415</v>
      </c>
      <c r="H961" s="405"/>
      <c r="I961" s="185"/>
      <c r="J961" s="71"/>
      <c r="K961" s="194"/>
      <c r="L961" s="67"/>
      <c r="M961" s="67"/>
      <c r="N961" s="67"/>
      <c r="O961" s="73"/>
      <c r="P961" s="237"/>
      <c r="Q961" s="255"/>
      <c r="R961" s="175" t="s">
        <v>848</v>
      </c>
      <c r="S961" s="408" t="s">
        <v>0</v>
      </c>
      <c r="T961" s="190"/>
      <c r="U961" s="22"/>
      <c r="V961" s="233"/>
      <c r="W961" s="239"/>
      <c r="X961" s="403"/>
      <c r="Y961" s="258"/>
    </row>
    <row r="962" spans="1:25" hidden="1" x14ac:dyDescent="0.3">
      <c r="A962" s="47">
        <f>IF(B962="","",SUBTOTAL(3,$B$3:B962)-1)</f>
        <v>7</v>
      </c>
      <c r="B962" s="265" t="s">
        <v>1264</v>
      </c>
      <c r="C962" s="265" t="s">
        <v>11</v>
      </c>
      <c r="D962" s="300">
        <v>966183070</v>
      </c>
      <c r="E962" s="46" t="s">
        <v>1214</v>
      </c>
      <c r="F962" s="22">
        <v>6</v>
      </c>
      <c r="G962" s="175" t="s">
        <v>1332</v>
      </c>
      <c r="H962" s="405"/>
      <c r="I962" s="185"/>
      <c r="J962" s="71"/>
      <c r="K962" s="194"/>
      <c r="L962" s="67"/>
      <c r="M962" s="67"/>
      <c r="N962" s="67"/>
      <c r="O962" s="73"/>
      <c r="P962" s="237"/>
      <c r="Q962" s="255"/>
      <c r="R962" s="318" t="s">
        <v>2</v>
      </c>
      <c r="S962" s="408" t="s">
        <v>1</v>
      </c>
      <c r="T962" s="190"/>
      <c r="U962" s="22"/>
      <c r="V962" s="233"/>
      <c r="W962" s="239"/>
      <c r="X962" s="403"/>
      <c r="Y962" s="258"/>
    </row>
    <row r="963" spans="1:25" hidden="1" x14ac:dyDescent="0.3">
      <c r="A963" s="47">
        <f>IF(B963="","",SUBTOTAL(3,$B$3:B963)-1)</f>
        <v>7</v>
      </c>
      <c r="B963" s="24" t="s">
        <v>248</v>
      </c>
      <c r="C963" s="24" t="s">
        <v>11</v>
      </c>
      <c r="D963" s="163"/>
      <c r="E963" s="46">
        <f>($AA$2-O963)*$AB$2+Q963</f>
        <v>0</v>
      </c>
      <c r="F963" s="21">
        <v>10</v>
      </c>
      <c r="G963" s="175"/>
      <c r="H963" s="405"/>
      <c r="I963" s="185"/>
      <c r="J963" s="71"/>
      <c r="K963" s="194"/>
      <c r="L963" s="180"/>
      <c r="M963" s="180"/>
      <c r="N963" s="180"/>
      <c r="O963" s="181"/>
      <c r="P963" s="237"/>
      <c r="Q963" s="255"/>
      <c r="R963" s="175"/>
      <c r="S963" s="411"/>
      <c r="T963" s="190" t="s">
        <v>0</v>
      </c>
      <c r="U963" s="22"/>
      <c r="V963" s="233"/>
      <c r="W963" s="239"/>
      <c r="X963" s="403"/>
      <c r="Y963" s="258"/>
    </row>
    <row r="964" spans="1:25" hidden="1" x14ac:dyDescent="0.3">
      <c r="A964" s="47">
        <f>IF(B964="","",SUBTOTAL(3,$B$3:B964)-1)</f>
        <v>7</v>
      </c>
      <c r="B964" s="24" t="s">
        <v>347</v>
      </c>
      <c r="C964" s="242" t="s">
        <v>11</v>
      </c>
      <c r="D964" s="163"/>
      <c r="E964" s="46">
        <f>($AA$2-O964)*$AB$2+Q964</f>
        <v>0</v>
      </c>
      <c r="F964" s="22">
        <v>12</v>
      </c>
      <c r="G964" s="175"/>
      <c r="H964" s="405"/>
      <c r="I964" s="185"/>
      <c r="J964" s="67"/>
      <c r="K964" s="194"/>
      <c r="L964" s="67"/>
      <c r="M964" s="67"/>
      <c r="N964" s="67"/>
      <c r="O964" s="73"/>
      <c r="P964" s="237"/>
      <c r="Q964" s="255"/>
      <c r="R964" s="175"/>
      <c r="S964" s="411"/>
      <c r="T964" s="190"/>
      <c r="U964" s="22"/>
      <c r="V964" s="233"/>
      <c r="W964" s="239"/>
      <c r="X964" s="403"/>
      <c r="Y964" s="258"/>
    </row>
    <row r="965" spans="1:25" hidden="1" x14ac:dyDescent="0.3">
      <c r="A965" s="47">
        <f>IF(B965="","",SUBTOTAL(3,$B$3:B965)-1)</f>
        <v>7</v>
      </c>
      <c r="B965" s="160" t="s">
        <v>927</v>
      </c>
      <c r="C965" s="143" t="s">
        <v>11</v>
      </c>
      <c r="D965" s="143"/>
      <c r="E965" s="46"/>
      <c r="F965" s="22">
        <v>10</v>
      </c>
      <c r="G965" s="176"/>
      <c r="H965" s="406"/>
      <c r="I965" s="188" t="s">
        <v>634</v>
      </c>
      <c r="J965" s="142"/>
      <c r="K965" s="196"/>
      <c r="L965" s="67"/>
      <c r="M965" s="67"/>
      <c r="N965" s="67"/>
      <c r="O965" s="73"/>
      <c r="P965" s="237"/>
      <c r="Q965" s="255"/>
      <c r="R965" s="175"/>
      <c r="S965" s="411"/>
      <c r="T965" s="190" t="s">
        <v>0</v>
      </c>
      <c r="U965" s="22"/>
      <c r="V965" s="233"/>
      <c r="W965" s="239"/>
      <c r="X965" s="403"/>
      <c r="Y965" s="258"/>
    </row>
    <row r="966" spans="1:25" hidden="1" x14ac:dyDescent="0.3">
      <c r="A966" s="47">
        <f>IF(B966="","",SUBTOTAL(3,$B$3:B966)-1)</f>
        <v>7</v>
      </c>
      <c r="B966" s="25" t="s">
        <v>715</v>
      </c>
      <c r="C966" s="25" t="s">
        <v>11</v>
      </c>
      <c r="D966" s="163"/>
      <c r="E966" s="46">
        <f t="shared" ref="E966:E971" si="7">($AA$2-O966)*$AB$2+Q966</f>
        <v>0</v>
      </c>
      <c r="F966" s="22">
        <v>11</v>
      </c>
      <c r="G966" s="175" t="s">
        <v>415</v>
      </c>
      <c r="H966" s="405"/>
      <c r="I966" s="185"/>
      <c r="J966" s="67"/>
      <c r="K966" s="194"/>
      <c r="L966" s="180"/>
      <c r="M966" s="180"/>
      <c r="N966" s="180"/>
      <c r="O966" s="181"/>
      <c r="P966" s="237"/>
      <c r="Q966" s="255"/>
      <c r="R966" s="175" t="s">
        <v>661</v>
      </c>
      <c r="S966" s="411"/>
      <c r="T966" s="190"/>
      <c r="U966" s="22"/>
      <c r="V966" s="233"/>
      <c r="W966" s="239"/>
      <c r="X966" s="403"/>
      <c r="Y966" s="258"/>
    </row>
    <row r="967" spans="1:25" hidden="1" x14ac:dyDescent="0.3">
      <c r="A967" s="47">
        <f>IF(B967="","",SUBTOTAL(3,$B$3:B967)-1)</f>
        <v>7</v>
      </c>
      <c r="B967" s="25" t="s">
        <v>700</v>
      </c>
      <c r="C967" s="241" t="s">
        <v>11</v>
      </c>
      <c r="D967" s="163">
        <v>345969271</v>
      </c>
      <c r="E967" s="46">
        <f t="shared" si="7"/>
        <v>0</v>
      </c>
      <c r="F967" s="21">
        <v>11</v>
      </c>
      <c r="G967" s="175"/>
      <c r="H967" s="405"/>
      <c r="I967" s="185"/>
      <c r="J967" s="67"/>
      <c r="K967" s="194"/>
      <c r="L967" s="180"/>
      <c r="M967" s="180"/>
      <c r="N967" s="180"/>
      <c r="O967" s="181"/>
      <c r="P967" s="237"/>
      <c r="Q967" s="255"/>
      <c r="R967" s="175"/>
      <c r="S967" s="411" t="s">
        <v>1</v>
      </c>
      <c r="T967" s="190"/>
      <c r="U967" s="22"/>
      <c r="V967" s="233"/>
      <c r="W967" s="239"/>
      <c r="X967" s="403"/>
      <c r="Y967" s="258"/>
    </row>
    <row r="968" spans="1:25" hidden="1" x14ac:dyDescent="0.3">
      <c r="A968" s="47">
        <f>IF(B968="","",SUBTOTAL(3,$B$3:B968)-1)</f>
        <v>7</v>
      </c>
      <c r="B968" s="24" t="s">
        <v>495</v>
      </c>
      <c r="C968" s="24" t="s">
        <v>11</v>
      </c>
      <c r="D968" s="24">
        <v>939689694</v>
      </c>
      <c r="E968" s="46">
        <f t="shared" si="7"/>
        <v>0</v>
      </c>
      <c r="F968" s="22">
        <v>11</v>
      </c>
      <c r="G968" s="175"/>
      <c r="H968" s="405" t="s">
        <v>1</v>
      </c>
      <c r="I968" s="185"/>
      <c r="J968" s="67"/>
      <c r="K968" s="194"/>
      <c r="L968" s="180"/>
      <c r="M968" s="180"/>
      <c r="N968" s="180"/>
      <c r="O968" s="181"/>
      <c r="P968" s="237"/>
      <c r="Q968" s="255"/>
      <c r="R968" s="175"/>
      <c r="S968" s="411" t="s">
        <v>0</v>
      </c>
      <c r="T968" s="190"/>
      <c r="U968" s="22"/>
      <c r="V968" s="233"/>
      <c r="W968" s="239"/>
      <c r="X968" s="403"/>
      <c r="Y968" s="258"/>
    </row>
    <row r="969" spans="1:25" hidden="1" x14ac:dyDescent="0.3">
      <c r="A969" s="47">
        <f>IF(B969="","",SUBTOTAL(3,$B$3:B969)-1)</f>
        <v>7</v>
      </c>
      <c r="B969" s="24" t="s">
        <v>339</v>
      </c>
      <c r="C969" s="242" t="s">
        <v>11</v>
      </c>
      <c r="D969" s="25">
        <v>352607559</v>
      </c>
      <c r="E969" s="46">
        <f t="shared" si="7"/>
        <v>0</v>
      </c>
      <c r="F969" s="22">
        <v>12</v>
      </c>
      <c r="G969" s="175"/>
      <c r="H969" s="405"/>
      <c r="I969" s="185"/>
      <c r="J969" s="67"/>
      <c r="K969" s="194"/>
      <c r="L969" s="67"/>
      <c r="M969" s="67"/>
      <c r="N969" s="67"/>
      <c r="O969" s="73"/>
      <c r="P969" s="237"/>
      <c r="Q969" s="255"/>
      <c r="R969" s="175"/>
      <c r="S969" s="411"/>
      <c r="T969" s="190"/>
      <c r="U969" s="22"/>
      <c r="V969" s="233"/>
      <c r="W969" s="239"/>
      <c r="X969" s="403"/>
      <c r="Y969" s="258"/>
    </row>
    <row r="970" spans="1:25" hidden="1" x14ac:dyDescent="0.3">
      <c r="A970" s="47">
        <f>IF(B970="","",SUBTOTAL(3,$B$3:B970)-1)</f>
        <v>7</v>
      </c>
      <c r="B970" s="25" t="s">
        <v>344</v>
      </c>
      <c r="C970" s="25" t="s">
        <v>11</v>
      </c>
      <c r="D970" s="24">
        <v>909559292</v>
      </c>
      <c r="E970" s="46">
        <f t="shared" si="7"/>
        <v>0</v>
      </c>
      <c r="F970" s="21">
        <v>12</v>
      </c>
      <c r="G970" s="175"/>
      <c r="H970" s="405"/>
      <c r="I970" s="185"/>
      <c r="J970" s="67"/>
      <c r="K970" s="194"/>
      <c r="L970" s="67"/>
      <c r="M970" s="67"/>
      <c r="N970" s="67"/>
      <c r="O970" s="73"/>
      <c r="P970" s="237"/>
      <c r="Q970" s="255"/>
      <c r="R970" s="175" t="s">
        <v>415</v>
      </c>
      <c r="S970" s="411"/>
      <c r="T970" s="190"/>
      <c r="U970" s="22"/>
      <c r="V970" s="233"/>
      <c r="W970" s="239"/>
      <c r="X970" s="403"/>
      <c r="Y970" s="258"/>
    </row>
    <row r="971" spans="1:25" hidden="1" x14ac:dyDescent="0.3">
      <c r="A971" s="47">
        <f>IF(B971="","",SUBTOTAL(3,$B$3:B971)-1)</f>
        <v>7</v>
      </c>
      <c r="B971" s="25" t="s">
        <v>366</v>
      </c>
      <c r="C971" s="25" t="s">
        <v>11</v>
      </c>
      <c r="D971" s="163"/>
      <c r="E971" s="46">
        <f t="shared" si="7"/>
        <v>0</v>
      </c>
      <c r="F971" s="22">
        <v>12</v>
      </c>
      <c r="G971" s="175"/>
      <c r="H971" s="405"/>
      <c r="I971" s="185"/>
      <c r="J971" s="67"/>
      <c r="K971" s="194"/>
      <c r="L971" s="67"/>
      <c r="M971" s="67"/>
      <c r="N971" s="67"/>
      <c r="O971" s="73"/>
      <c r="P971" s="237"/>
      <c r="Q971" s="255"/>
      <c r="R971" s="175" t="s">
        <v>415</v>
      </c>
      <c r="S971" s="411"/>
      <c r="T971" s="190"/>
      <c r="U971" s="22"/>
      <c r="V971" s="233"/>
      <c r="W971" s="239"/>
      <c r="X971" s="403"/>
      <c r="Y971" s="258"/>
    </row>
    <row r="972" spans="1:25" hidden="1" x14ac:dyDescent="0.3">
      <c r="A972" s="47">
        <f>IF(B972="","",SUBTOTAL(3,$B$3:B972)-1)</f>
        <v>7</v>
      </c>
      <c r="B972" s="143" t="s">
        <v>332</v>
      </c>
      <c r="C972" s="143" t="s">
        <v>11</v>
      </c>
      <c r="D972" s="143"/>
      <c r="E972" s="46"/>
      <c r="F972" s="22" t="s">
        <v>1213</v>
      </c>
      <c r="G972" s="175" t="s">
        <v>660</v>
      </c>
      <c r="H972" s="406"/>
      <c r="I972" s="188"/>
      <c r="J972" s="142"/>
      <c r="K972" s="196"/>
      <c r="L972" s="67"/>
      <c r="M972" s="67"/>
      <c r="N972" s="67"/>
      <c r="O972" s="73"/>
      <c r="P972" s="237"/>
      <c r="Q972" s="255"/>
      <c r="R972" s="175" t="s">
        <v>1</v>
      </c>
      <c r="S972" s="411"/>
      <c r="T972" s="190"/>
      <c r="U972" s="22"/>
      <c r="V972" s="233"/>
      <c r="W972" s="239"/>
      <c r="X972" s="403"/>
      <c r="Y972" s="258"/>
    </row>
    <row r="973" spans="1:25" hidden="1" x14ac:dyDescent="0.3">
      <c r="A973" s="47">
        <f>IF(B973="","",SUBTOTAL(3,$B$3:B973)-1)</f>
        <v>7</v>
      </c>
      <c r="B973" s="143" t="s">
        <v>332</v>
      </c>
      <c r="C973" s="143" t="s">
        <v>11</v>
      </c>
      <c r="D973" s="143">
        <v>794068416</v>
      </c>
      <c r="E973" s="46"/>
      <c r="F973" s="142">
        <v>7</v>
      </c>
      <c r="G973" s="176"/>
      <c r="H973" s="406"/>
      <c r="I973" s="188"/>
      <c r="J973" s="142"/>
      <c r="K973" s="196" t="s">
        <v>721</v>
      </c>
      <c r="L973" s="67"/>
      <c r="M973" s="67"/>
      <c r="N973" s="67"/>
      <c r="O973" s="73"/>
      <c r="P973" s="237"/>
      <c r="Q973" s="255"/>
      <c r="R973" s="175" t="s">
        <v>661</v>
      </c>
      <c r="S973" s="411"/>
      <c r="T973" s="190"/>
      <c r="U973" s="22"/>
      <c r="V973" s="233"/>
      <c r="W973" s="239"/>
      <c r="X973" s="403"/>
      <c r="Y973" s="258"/>
    </row>
    <row r="974" spans="1:25" hidden="1" x14ac:dyDescent="0.3">
      <c r="A974" s="47">
        <f>IF(B974="","",SUBTOTAL(3,$B$3:B974)-1)</f>
        <v>7</v>
      </c>
      <c r="B974" s="269" t="s">
        <v>332</v>
      </c>
      <c r="C974" s="269" t="s">
        <v>11</v>
      </c>
      <c r="D974" s="269">
        <v>794068416</v>
      </c>
      <c r="E974" s="46" t="s">
        <v>1214</v>
      </c>
      <c r="F974" s="301">
        <v>7</v>
      </c>
      <c r="G974" s="175" t="s">
        <v>1332</v>
      </c>
      <c r="H974" s="405" t="s">
        <v>635</v>
      </c>
      <c r="I974" s="185"/>
      <c r="J974" s="71"/>
      <c r="K974" s="194"/>
      <c r="L974" s="67"/>
      <c r="M974" s="67"/>
      <c r="N974" s="67"/>
      <c r="O974" s="73"/>
      <c r="P974" s="237"/>
      <c r="Q974" s="255"/>
      <c r="R974" s="175" t="s">
        <v>661</v>
      </c>
      <c r="S974" s="411" t="s">
        <v>2</v>
      </c>
      <c r="T974" s="190"/>
      <c r="U974" s="22"/>
      <c r="V974" s="233"/>
      <c r="W974" s="239"/>
      <c r="X974" s="403"/>
      <c r="Y974" s="323">
        <v>7</v>
      </c>
    </row>
    <row r="975" spans="1:25" hidden="1" x14ac:dyDescent="0.3">
      <c r="A975" s="47">
        <f>IF(B975="","",SUBTOTAL(3,$B$3:B975)-1)</f>
        <v>7</v>
      </c>
      <c r="B975" s="26" t="s">
        <v>209</v>
      </c>
      <c r="C975" s="26" t="s">
        <v>11</v>
      </c>
      <c r="D975" s="26"/>
      <c r="E975" s="46">
        <f>($AA$2-O975)*$AB$2+Q975</f>
        <v>0</v>
      </c>
      <c r="F975" s="22">
        <v>8</v>
      </c>
      <c r="G975" s="175"/>
      <c r="H975" s="405"/>
      <c r="I975" s="185"/>
      <c r="J975" s="67"/>
      <c r="K975" s="194"/>
      <c r="L975" s="180"/>
      <c r="M975" s="180"/>
      <c r="N975" s="180"/>
      <c r="O975" s="181"/>
      <c r="P975" s="237"/>
      <c r="Q975" s="255"/>
      <c r="R975" s="175"/>
      <c r="S975" s="411"/>
      <c r="T975" s="190"/>
      <c r="U975" s="22"/>
      <c r="V975" s="233"/>
      <c r="W975" s="239"/>
      <c r="X975" s="403"/>
      <c r="Y975" s="258"/>
    </row>
    <row r="976" spans="1:25" hidden="1" x14ac:dyDescent="0.3">
      <c r="A976" s="47">
        <f>IF(B976="","",SUBTOTAL(3,$B$3:B976)-1)</f>
        <v>7</v>
      </c>
      <c r="B976" s="24" t="s">
        <v>214</v>
      </c>
      <c r="C976" s="24" t="s">
        <v>11</v>
      </c>
      <c r="D976" s="163"/>
      <c r="E976" s="46">
        <f>($AA$2-O976)*$AB$2+Q976</f>
        <v>0</v>
      </c>
      <c r="F976" s="22">
        <v>9</v>
      </c>
      <c r="G976" s="175"/>
      <c r="H976" s="409"/>
      <c r="I976" s="187"/>
      <c r="J976" s="67"/>
      <c r="K976" s="194"/>
      <c r="L976" s="67"/>
      <c r="M976" s="67"/>
      <c r="N976" s="67"/>
      <c r="O976" s="73"/>
      <c r="P976" s="237"/>
      <c r="Q976" s="255"/>
      <c r="R976" s="175"/>
      <c r="S976" s="411"/>
      <c r="T976" s="190"/>
      <c r="U976" s="22"/>
      <c r="V976" s="233"/>
      <c r="W976" s="239"/>
      <c r="X976" s="403"/>
      <c r="Y976" s="258"/>
    </row>
    <row r="977" spans="1:25" hidden="1" x14ac:dyDescent="0.3">
      <c r="A977" s="47">
        <f>IF(B977="","",SUBTOTAL(3,$B$3:B977)-1)</f>
        <v>7</v>
      </c>
      <c r="B977" s="25" t="s">
        <v>595</v>
      </c>
      <c r="C977" s="25" t="s">
        <v>11</v>
      </c>
      <c r="D977" s="163"/>
      <c r="E977" s="46">
        <f>($AA$2-O977)*$AB$2+Q977</f>
        <v>0</v>
      </c>
      <c r="F977" s="22">
        <v>9</v>
      </c>
      <c r="G977" s="175"/>
      <c r="H977" s="409"/>
      <c r="I977" s="187"/>
      <c r="J977" s="67"/>
      <c r="K977" s="194"/>
      <c r="L977" s="180"/>
      <c r="M977" s="180"/>
      <c r="N977" s="180"/>
      <c r="O977" s="181"/>
      <c r="P977" s="237"/>
      <c r="Q977" s="255"/>
      <c r="R977" s="175"/>
      <c r="S977" s="411"/>
      <c r="T977" s="190"/>
      <c r="U977" s="22"/>
      <c r="V977" s="233"/>
      <c r="W977" s="239"/>
      <c r="X977" s="403"/>
      <c r="Y977" s="258"/>
    </row>
    <row r="978" spans="1:25" hidden="1" x14ac:dyDescent="0.3">
      <c r="A978" s="47">
        <f>IF(B978="","",SUBTOTAL(3,$B$3:B978)-1)</f>
        <v>7</v>
      </c>
      <c r="B978" s="24" t="s">
        <v>199</v>
      </c>
      <c r="C978" s="24" t="s">
        <v>11</v>
      </c>
      <c r="D978" s="163"/>
      <c r="E978" s="46">
        <f>($AA$2-O978)*$AB$2+Q978</f>
        <v>0</v>
      </c>
      <c r="F978" s="22">
        <v>9</v>
      </c>
      <c r="G978" s="175" t="s">
        <v>415</v>
      </c>
      <c r="H978" s="409" t="s">
        <v>660</v>
      </c>
      <c r="I978" s="187" t="s">
        <v>634</v>
      </c>
      <c r="J978" s="67" t="s">
        <v>661</v>
      </c>
      <c r="K978" s="194"/>
      <c r="L978" s="180"/>
      <c r="M978" s="180"/>
      <c r="N978" s="180"/>
      <c r="O978" s="181"/>
      <c r="P978" s="237"/>
      <c r="Q978" s="255"/>
      <c r="R978" s="175" t="s">
        <v>848</v>
      </c>
      <c r="S978" s="411" t="s">
        <v>1</v>
      </c>
      <c r="T978" s="190" t="s">
        <v>0</v>
      </c>
      <c r="U978" s="22" t="s">
        <v>0</v>
      </c>
      <c r="V978" s="233"/>
      <c r="W978" s="239"/>
      <c r="X978" s="403"/>
      <c r="Y978" s="258"/>
    </row>
    <row r="979" spans="1:25" hidden="1" x14ac:dyDescent="0.3">
      <c r="A979" s="47">
        <f>IF(B979="","",SUBTOTAL(3,$B$3:B979)-1)</f>
        <v>7</v>
      </c>
      <c r="B979" s="265" t="s">
        <v>477</v>
      </c>
      <c r="C979" s="265" t="s">
        <v>51</v>
      </c>
      <c r="D979" s="265">
        <v>807386948</v>
      </c>
      <c r="E979" s="46" t="s">
        <v>1214</v>
      </c>
      <c r="F979" s="300">
        <v>2</v>
      </c>
      <c r="G979" s="175" t="s">
        <v>826</v>
      </c>
      <c r="H979" s="405"/>
      <c r="I979" s="185"/>
      <c r="J979" s="71"/>
      <c r="K979" s="194"/>
      <c r="L979" s="67"/>
      <c r="M979" s="67"/>
      <c r="N979" s="67"/>
      <c r="O979" s="73"/>
      <c r="P979" s="237"/>
      <c r="Q979" s="255"/>
      <c r="R979" s="175" t="s">
        <v>0</v>
      </c>
      <c r="S979" s="411"/>
      <c r="T979" s="190"/>
      <c r="U979" s="22"/>
      <c r="V979" s="233"/>
      <c r="W979" s="239"/>
      <c r="X979" s="403"/>
      <c r="Y979" s="320">
        <v>2</v>
      </c>
    </row>
    <row r="980" spans="1:25" hidden="1" x14ac:dyDescent="0.3">
      <c r="A980" s="47">
        <f>IF(B980="","",SUBTOTAL(3,$B$3:B980)-1)</f>
        <v>7</v>
      </c>
      <c r="B980" s="24" t="s">
        <v>206</v>
      </c>
      <c r="C980" s="24" t="s">
        <v>51</v>
      </c>
      <c r="D980" s="163"/>
      <c r="E980" s="46">
        <f>($AA$2-O980)*$AB$2+Q980</f>
        <v>0</v>
      </c>
      <c r="F980" s="22">
        <v>11</v>
      </c>
      <c r="G980" s="175"/>
      <c r="H980" s="405" t="s">
        <v>635</v>
      </c>
      <c r="I980" s="185"/>
      <c r="J980" s="67"/>
      <c r="K980" s="194"/>
      <c r="L980" s="67"/>
      <c r="M980" s="67"/>
      <c r="N980" s="67"/>
      <c r="O980" s="73"/>
      <c r="P980" s="237"/>
      <c r="Q980" s="255"/>
      <c r="R980" s="175"/>
      <c r="S980" s="411" t="s">
        <v>0</v>
      </c>
      <c r="T980" s="190"/>
      <c r="U980" s="22"/>
      <c r="V980" s="233"/>
      <c r="W980" s="239"/>
      <c r="X980" s="403"/>
      <c r="Y980" s="258"/>
    </row>
    <row r="981" spans="1:25" hidden="1" x14ac:dyDescent="0.3">
      <c r="A981" s="47">
        <f>IF(B981="","",SUBTOTAL(3,$B$3:B981)-1)</f>
        <v>7</v>
      </c>
      <c r="B981" s="25" t="s">
        <v>194</v>
      </c>
      <c r="C981" s="25" t="s">
        <v>51</v>
      </c>
      <c r="D981" s="163"/>
      <c r="E981" s="46">
        <f>($AA$2-O981)*$AB$2+Q981</f>
        <v>0</v>
      </c>
      <c r="F981" s="22">
        <v>9</v>
      </c>
      <c r="G981" s="175" t="s">
        <v>415</v>
      </c>
      <c r="H981" s="409" t="s">
        <v>2</v>
      </c>
      <c r="I981" s="187"/>
      <c r="J981" s="67" t="s">
        <v>661</v>
      </c>
      <c r="K981" s="194"/>
      <c r="L981" s="180"/>
      <c r="M981" s="180"/>
      <c r="N981" s="180"/>
      <c r="O981" s="181"/>
      <c r="P981" s="237"/>
      <c r="Q981" s="255"/>
      <c r="R981" s="175" t="s">
        <v>848</v>
      </c>
      <c r="S981" s="411" t="s">
        <v>848</v>
      </c>
      <c r="T981" s="190"/>
      <c r="U981" s="22" t="s">
        <v>1</v>
      </c>
      <c r="V981" s="233"/>
      <c r="W981" s="239"/>
      <c r="X981" s="403"/>
      <c r="Y981" s="258"/>
    </row>
    <row r="982" spans="1:25" hidden="1" x14ac:dyDescent="0.3">
      <c r="A982" s="47">
        <f>IF(B982="","",SUBTOTAL(3,$B$3:B982)-1)</f>
        <v>7</v>
      </c>
      <c r="B982" s="24" t="s">
        <v>981</v>
      </c>
      <c r="C982" s="24" t="s">
        <v>982</v>
      </c>
      <c r="D982" s="163"/>
      <c r="E982" s="46"/>
      <c r="F982" s="142">
        <v>7</v>
      </c>
      <c r="G982" s="175" t="s">
        <v>415</v>
      </c>
      <c r="H982" s="409" t="s">
        <v>635</v>
      </c>
      <c r="I982" s="185" t="s">
        <v>661</v>
      </c>
      <c r="J982" s="71"/>
      <c r="K982" s="194"/>
      <c r="L982" s="67"/>
      <c r="M982" s="67"/>
      <c r="N982" s="67"/>
      <c r="O982" s="73"/>
      <c r="P982" s="237"/>
      <c r="Q982" s="255"/>
      <c r="R982" s="175" t="s">
        <v>1</v>
      </c>
      <c r="S982" s="411" t="s">
        <v>1</v>
      </c>
      <c r="T982" s="190" t="s">
        <v>1</v>
      </c>
      <c r="U982" s="22"/>
      <c r="V982" s="233"/>
      <c r="W982" s="239"/>
      <c r="X982" s="403"/>
      <c r="Y982" s="258"/>
    </row>
    <row r="983" spans="1:25" hidden="1" x14ac:dyDescent="0.3">
      <c r="A983" s="47">
        <f>IF(B983="","",SUBTOTAL(3,$B$3:B983)-1)</f>
        <v>7</v>
      </c>
      <c r="B983" s="26" t="s">
        <v>452</v>
      </c>
      <c r="C983" s="26" t="s">
        <v>453</v>
      </c>
      <c r="D983" s="26">
        <v>962322099</v>
      </c>
      <c r="E983" s="46">
        <f>($AA$2-O983)*$AB$2+Q983</f>
        <v>0</v>
      </c>
      <c r="F983" s="22">
        <v>8</v>
      </c>
      <c r="G983" s="175"/>
      <c r="H983" s="405"/>
      <c r="I983" s="185"/>
      <c r="J983" s="67"/>
      <c r="K983" s="194"/>
      <c r="L983" s="67"/>
      <c r="M983" s="67"/>
      <c r="N983" s="67"/>
      <c r="O983" s="73"/>
      <c r="P983" s="237"/>
      <c r="Q983" s="255"/>
      <c r="R983" s="175"/>
      <c r="S983" s="411"/>
      <c r="T983" s="190" t="s">
        <v>0</v>
      </c>
      <c r="U983" s="22"/>
      <c r="V983" s="233"/>
      <c r="W983" s="239"/>
      <c r="X983" s="403"/>
      <c r="Y983" s="258"/>
    </row>
    <row r="984" spans="1:25" hidden="1" x14ac:dyDescent="0.3">
      <c r="A984" s="47">
        <f>IF(B984="","",SUBTOTAL(3,$B$3:B984)-1)</f>
        <v>7</v>
      </c>
      <c r="B984" s="24" t="s">
        <v>1159</v>
      </c>
      <c r="C984" s="24" t="s">
        <v>1160</v>
      </c>
      <c r="D984" s="163">
        <v>338377180</v>
      </c>
      <c r="E984" s="46"/>
      <c r="F984" s="22">
        <v>5</v>
      </c>
      <c r="G984" s="176" t="s">
        <v>660</v>
      </c>
      <c r="H984" s="406"/>
      <c r="I984" s="188"/>
      <c r="J984" s="67"/>
      <c r="K984" s="194"/>
      <c r="L984" s="67"/>
      <c r="M984" s="67"/>
      <c r="N984" s="67"/>
      <c r="O984" s="73"/>
      <c r="P984" s="237"/>
      <c r="Q984" s="255"/>
      <c r="R984" s="175" t="s">
        <v>1</v>
      </c>
      <c r="S984" s="411"/>
      <c r="T984" s="190"/>
      <c r="U984" s="22"/>
      <c r="V984" s="233"/>
      <c r="W984" s="239"/>
      <c r="X984" s="403"/>
      <c r="Y984" s="258"/>
    </row>
    <row r="985" spans="1:25" hidden="1" x14ac:dyDescent="0.3">
      <c r="A985" s="47">
        <f>IF(B985="","",SUBTOTAL(3,$B$3:B985)-1)</f>
        <v>7</v>
      </c>
      <c r="B985" s="143" t="s">
        <v>777</v>
      </c>
      <c r="C985" s="143" t="s">
        <v>778</v>
      </c>
      <c r="D985" s="143">
        <v>862809453</v>
      </c>
      <c r="E985" s="46"/>
      <c r="F985" s="22">
        <v>10</v>
      </c>
      <c r="G985" s="176" t="s">
        <v>415</v>
      </c>
      <c r="H985" s="406" t="s">
        <v>635</v>
      </c>
      <c r="I985" s="188"/>
      <c r="J985" s="142"/>
      <c r="K985" s="196" t="s">
        <v>721</v>
      </c>
      <c r="L985" s="67"/>
      <c r="M985" s="67"/>
      <c r="N985" s="67"/>
      <c r="O985" s="73"/>
      <c r="P985" s="237"/>
      <c r="Q985" s="255"/>
      <c r="R985" s="175" t="s">
        <v>1</v>
      </c>
      <c r="S985" s="411" t="s">
        <v>0</v>
      </c>
      <c r="T985" s="190"/>
      <c r="U985" s="22"/>
      <c r="V985" s="233"/>
      <c r="W985" s="239"/>
      <c r="X985" s="403"/>
      <c r="Y985" s="258"/>
    </row>
    <row r="986" spans="1:25" hidden="1" x14ac:dyDescent="0.3">
      <c r="A986" s="47">
        <f>IF(B986="","",SUBTOTAL(3,$B$3:B986)-1)</f>
        <v>7</v>
      </c>
      <c r="B986" s="24" t="s">
        <v>260</v>
      </c>
      <c r="C986" s="244" t="s">
        <v>130</v>
      </c>
      <c r="D986" s="163"/>
      <c r="E986" s="46">
        <f>($AA$2-O986)*$AB$2+Q986</f>
        <v>0</v>
      </c>
      <c r="F986" s="21" t="s">
        <v>1213</v>
      </c>
      <c r="G986" s="175" t="s">
        <v>660</v>
      </c>
      <c r="H986" s="405"/>
      <c r="I986" s="185"/>
      <c r="J986" s="67"/>
      <c r="K986" s="194"/>
      <c r="L986" s="67"/>
      <c r="M986" s="67"/>
      <c r="N986" s="67"/>
      <c r="O986" s="73"/>
      <c r="P986" s="237"/>
      <c r="Q986" s="255"/>
      <c r="R986" s="175" t="s">
        <v>1</v>
      </c>
      <c r="S986" s="411"/>
      <c r="T986" s="190"/>
      <c r="U986" s="22"/>
      <c r="V986" s="233"/>
      <c r="W986" s="239"/>
      <c r="X986" s="403"/>
      <c r="Y986" s="258"/>
    </row>
    <row r="987" spans="1:25" hidden="1" x14ac:dyDescent="0.3">
      <c r="A987" s="47">
        <f>IF(B987="","",SUBTOTAL(3,$B$3:B987)-1)</f>
        <v>7</v>
      </c>
      <c r="B987" s="25" t="s">
        <v>1127</v>
      </c>
      <c r="C987" s="25" t="s">
        <v>85</v>
      </c>
      <c r="D987" s="163"/>
      <c r="E987" s="46">
        <f>($AA$2-O987)*$AB$2+Q987</f>
        <v>0</v>
      </c>
      <c r="F987" s="22">
        <v>10</v>
      </c>
      <c r="G987" s="175" t="s">
        <v>415</v>
      </c>
      <c r="H987" s="405"/>
      <c r="I987" s="185"/>
      <c r="J987" s="71"/>
      <c r="K987" s="194"/>
      <c r="L987" s="67"/>
      <c r="M987" s="67"/>
      <c r="N987" s="67"/>
      <c r="O987" s="73"/>
      <c r="P987" s="237"/>
      <c r="Q987" s="255"/>
      <c r="R987" s="175" t="s">
        <v>2</v>
      </c>
      <c r="S987" s="411"/>
      <c r="T987" s="190"/>
      <c r="U987" s="22"/>
      <c r="V987" s="233"/>
      <c r="W987" s="239"/>
      <c r="X987" s="403"/>
      <c r="Y987" s="258"/>
    </row>
    <row r="988" spans="1:25" hidden="1" x14ac:dyDescent="0.3">
      <c r="A988" s="47">
        <f>IF(B988="","",SUBTOTAL(3,$B$3:B988)-1)</f>
        <v>7</v>
      </c>
      <c r="B988" s="174" t="s">
        <v>950</v>
      </c>
      <c r="C988" s="24" t="s">
        <v>85</v>
      </c>
      <c r="D988" s="163"/>
      <c r="E988" s="46"/>
      <c r="F988" s="142">
        <v>7</v>
      </c>
      <c r="G988" s="175"/>
      <c r="H988" s="406" t="s">
        <v>635</v>
      </c>
      <c r="I988" s="188"/>
      <c r="J988" s="67"/>
      <c r="K988" s="194"/>
      <c r="L988" s="67"/>
      <c r="M988" s="67"/>
      <c r="N988" s="67"/>
      <c r="O988" s="73"/>
      <c r="P988" s="237"/>
      <c r="Q988" s="255"/>
      <c r="R988" s="175"/>
      <c r="S988" s="411" t="s">
        <v>2</v>
      </c>
      <c r="T988" s="190"/>
      <c r="U988" s="22"/>
      <c r="V988" s="233"/>
      <c r="W988" s="239"/>
      <c r="X988" s="403"/>
      <c r="Y988" s="258"/>
    </row>
    <row r="989" spans="1:25" hidden="1" x14ac:dyDescent="0.3">
      <c r="A989" s="47">
        <f>IF(B989="","",SUBTOTAL(3,$B$3:B989)-1)</f>
        <v>7</v>
      </c>
      <c r="B989" s="24" t="s">
        <v>189</v>
      </c>
      <c r="C989" s="24" t="s">
        <v>85</v>
      </c>
      <c r="D989" s="25">
        <v>765955458</v>
      </c>
      <c r="E989" s="46">
        <f>($AA$2-O989)*$AB$2+Q989</f>
        <v>0</v>
      </c>
      <c r="F989" s="22">
        <v>11</v>
      </c>
      <c r="G989" s="175" t="s">
        <v>415</v>
      </c>
      <c r="H989" s="405"/>
      <c r="I989" s="185" t="s">
        <v>661</v>
      </c>
      <c r="J989" s="67"/>
      <c r="K989" s="194"/>
      <c r="L989" s="180"/>
      <c r="M989" s="180"/>
      <c r="N989" s="180"/>
      <c r="O989" s="181"/>
      <c r="P989" s="237"/>
      <c r="Q989" s="255"/>
      <c r="R989" s="175"/>
      <c r="S989" s="411"/>
      <c r="T989" s="190">
        <v>1</v>
      </c>
      <c r="U989" s="22"/>
      <c r="V989" s="233"/>
      <c r="W989" s="239"/>
      <c r="X989" s="403"/>
      <c r="Y989" s="258"/>
    </row>
    <row r="990" spans="1:25" hidden="1" x14ac:dyDescent="0.3">
      <c r="A990" s="47">
        <f>IF(B990="","",SUBTOTAL(3,$B$3:B990)-1)</f>
        <v>7</v>
      </c>
      <c r="B990" s="39" t="s">
        <v>1097</v>
      </c>
      <c r="C990" s="24" t="s">
        <v>85</v>
      </c>
      <c r="D990" s="163"/>
      <c r="E990" s="46"/>
      <c r="F990" s="142">
        <v>7</v>
      </c>
      <c r="G990" s="176" t="s">
        <v>415</v>
      </c>
      <c r="H990" s="406"/>
      <c r="I990" s="185"/>
      <c r="J990" s="67"/>
      <c r="K990" s="194"/>
      <c r="L990" s="180"/>
      <c r="M990" s="180"/>
      <c r="N990" s="180"/>
      <c r="O990" s="181"/>
      <c r="P990" s="237"/>
      <c r="Q990" s="255"/>
      <c r="R990" s="175" t="s">
        <v>2</v>
      </c>
      <c r="S990" s="411"/>
      <c r="T990" s="190"/>
      <c r="U990" s="22"/>
      <c r="V990" s="233"/>
      <c r="W990" s="239"/>
      <c r="X990" s="403"/>
      <c r="Y990" s="258"/>
    </row>
    <row r="991" spans="1:25" hidden="1" x14ac:dyDescent="0.3">
      <c r="A991" s="47">
        <f>IF(B991="","",SUBTOTAL(3,$B$3:B991)-1)</f>
        <v>7</v>
      </c>
      <c r="B991" s="24" t="s">
        <v>247</v>
      </c>
      <c r="C991" s="24" t="s">
        <v>85</v>
      </c>
      <c r="D991" s="27"/>
      <c r="E991" s="46">
        <f>($AA$2-O991)*$AB$2+Q991</f>
        <v>0</v>
      </c>
      <c r="F991" s="22">
        <v>10</v>
      </c>
      <c r="G991" s="175" t="s">
        <v>415</v>
      </c>
      <c r="H991" s="405" t="s">
        <v>696</v>
      </c>
      <c r="I991" s="185" t="s">
        <v>634</v>
      </c>
      <c r="J991" s="71"/>
      <c r="K991" s="194"/>
      <c r="L991" s="180"/>
      <c r="M991" s="180"/>
      <c r="N991" s="180"/>
      <c r="O991" s="181"/>
      <c r="P991" s="237"/>
      <c r="Q991" s="255"/>
      <c r="R991" s="175" t="s">
        <v>848</v>
      </c>
      <c r="S991" s="411" t="s">
        <v>661</v>
      </c>
      <c r="T991" s="190" t="s">
        <v>0</v>
      </c>
      <c r="U991" s="22"/>
      <c r="V991" s="233"/>
      <c r="W991" s="239"/>
      <c r="X991" s="403"/>
      <c r="Y991" s="258"/>
    </row>
    <row r="992" spans="1:25" hidden="1" x14ac:dyDescent="0.3">
      <c r="A992" s="47">
        <f>IF(B992="","",SUBTOTAL(3,$B$3:B992)-1)</f>
        <v>7</v>
      </c>
      <c r="B992" s="24" t="s">
        <v>515</v>
      </c>
      <c r="C992" s="24" t="s">
        <v>85</v>
      </c>
      <c r="D992" s="163"/>
      <c r="E992" s="46">
        <f>($AA$2-O992)*$AB$2+Q992</f>
        <v>0</v>
      </c>
      <c r="F992" s="22">
        <v>9</v>
      </c>
      <c r="G992" s="175" t="s">
        <v>415</v>
      </c>
      <c r="H992" s="409" t="s">
        <v>660</v>
      </c>
      <c r="I992" s="187"/>
      <c r="J992" s="67"/>
      <c r="K992" s="194"/>
      <c r="L992" s="180"/>
      <c r="M992" s="180"/>
      <c r="N992" s="180"/>
      <c r="O992" s="181"/>
      <c r="P992" s="237"/>
      <c r="Q992" s="255"/>
      <c r="R992" s="175" t="s">
        <v>0</v>
      </c>
      <c r="S992" s="411" t="s">
        <v>0</v>
      </c>
      <c r="T992" s="190"/>
      <c r="U992" s="22"/>
      <c r="V992" s="233"/>
      <c r="W992" s="239"/>
      <c r="X992" s="403"/>
      <c r="Y992" s="258"/>
    </row>
    <row r="993" spans="1:25" hidden="1" x14ac:dyDescent="0.3">
      <c r="A993" s="47">
        <f>IF(B993="","",SUBTOTAL(3,$B$3:B993)-1)</f>
        <v>7</v>
      </c>
      <c r="B993" s="24" t="s">
        <v>636</v>
      </c>
      <c r="C993" s="24" t="s">
        <v>85</v>
      </c>
      <c r="D993" s="163"/>
      <c r="E993" s="46">
        <f>($AA$2-O993)*$AB$2+Q993</f>
        <v>0</v>
      </c>
      <c r="F993" s="22">
        <v>9</v>
      </c>
      <c r="G993" s="175" t="s">
        <v>415</v>
      </c>
      <c r="H993" s="409"/>
      <c r="I993" s="187"/>
      <c r="J993" s="67"/>
      <c r="K993" s="194"/>
      <c r="L993" s="180"/>
      <c r="M993" s="180"/>
      <c r="N993" s="180"/>
      <c r="O993" s="181"/>
      <c r="P993" s="237"/>
      <c r="Q993" s="255"/>
      <c r="R993" s="175" t="s">
        <v>1</v>
      </c>
      <c r="S993" s="411"/>
      <c r="T993" s="190"/>
      <c r="U993" s="22"/>
      <c r="V993" s="233"/>
      <c r="W993" s="239"/>
      <c r="X993" s="403"/>
      <c r="Y993" s="258"/>
    </row>
    <row r="994" spans="1:25" hidden="1" x14ac:dyDescent="0.3">
      <c r="A994" s="47">
        <f>IF(B994="","",SUBTOTAL(3,$B$3:B994)-1)</f>
        <v>7</v>
      </c>
      <c r="B994" s="265" t="s">
        <v>1291</v>
      </c>
      <c r="C994" s="265" t="s">
        <v>1292</v>
      </c>
      <c r="D994" s="265">
        <v>872926439</v>
      </c>
      <c r="E994" s="46" t="s">
        <v>1214</v>
      </c>
      <c r="F994" s="301">
        <v>7</v>
      </c>
      <c r="G994" s="175" t="s">
        <v>1332</v>
      </c>
      <c r="H994" s="405" t="s">
        <v>696</v>
      </c>
      <c r="I994" s="185"/>
      <c r="J994" s="71"/>
      <c r="K994" s="194"/>
      <c r="L994" s="67"/>
      <c r="M994" s="67"/>
      <c r="N994" s="67"/>
      <c r="O994" s="73"/>
      <c r="P994" s="237"/>
      <c r="Q994" s="255"/>
      <c r="R994" s="175" t="s">
        <v>661</v>
      </c>
      <c r="S994" s="411" t="s">
        <v>1</v>
      </c>
      <c r="T994" s="190"/>
      <c r="U994" s="22"/>
      <c r="V994" s="233"/>
      <c r="W994" s="239"/>
      <c r="X994" s="403"/>
      <c r="Y994" s="320" t="s">
        <v>1322</v>
      </c>
    </row>
    <row r="995" spans="1:25" hidden="1" x14ac:dyDescent="0.3">
      <c r="A995" s="47">
        <f>IF(B995="","",SUBTOTAL(3,$B$3:B995)-1)</f>
        <v>7</v>
      </c>
      <c r="B995" s="39" t="s">
        <v>686</v>
      </c>
      <c r="C995" s="24" t="s">
        <v>30</v>
      </c>
      <c r="D995" s="163"/>
      <c r="E995" s="46">
        <f>($AA$2-O995)*$AB$2+Q995</f>
        <v>0</v>
      </c>
      <c r="F995" s="22">
        <v>11</v>
      </c>
      <c r="G995" s="175" t="s">
        <v>415</v>
      </c>
      <c r="H995" s="405" t="s">
        <v>635</v>
      </c>
      <c r="I995" s="185"/>
      <c r="J995" s="67"/>
      <c r="K995" s="194"/>
      <c r="L995" s="180"/>
      <c r="M995" s="180"/>
      <c r="N995" s="180"/>
      <c r="O995" s="181"/>
      <c r="P995" s="237"/>
      <c r="Q995" s="255"/>
      <c r="R995" s="175" t="s">
        <v>661</v>
      </c>
      <c r="S995" s="411" t="s">
        <v>2</v>
      </c>
      <c r="T995" s="190"/>
      <c r="U995" s="22"/>
      <c r="V995" s="233"/>
      <c r="W995" s="239"/>
      <c r="X995" s="403"/>
      <c r="Y995" s="258"/>
    </row>
    <row r="996" spans="1:25" hidden="1" x14ac:dyDescent="0.3">
      <c r="A996" s="47">
        <f>IF(B996="","",SUBTOTAL(3,$B$3:B996)-1)</f>
        <v>7</v>
      </c>
      <c r="B996" s="39" t="s">
        <v>687</v>
      </c>
      <c r="C996" s="24" t="s">
        <v>30</v>
      </c>
      <c r="D996" s="163"/>
      <c r="E996" s="46">
        <f>($AA$2-O996)*$AB$2+Q996</f>
        <v>0</v>
      </c>
      <c r="F996" s="22">
        <v>11</v>
      </c>
      <c r="G996" s="175" t="s">
        <v>415</v>
      </c>
      <c r="H996" s="405" t="s">
        <v>1</v>
      </c>
      <c r="I996" s="185"/>
      <c r="J996" s="67"/>
      <c r="K996" s="194"/>
      <c r="L996" s="180"/>
      <c r="M996" s="180"/>
      <c r="N996" s="180"/>
      <c r="O996" s="181"/>
      <c r="P996" s="237"/>
      <c r="Q996" s="255"/>
      <c r="R996" s="175" t="s">
        <v>661</v>
      </c>
      <c r="S996" s="411" t="s">
        <v>2</v>
      </c>
      <c r="T996" s="190"/>
      <c r="U996" s="22"/>
      <c r="V996" s="233"/>
      <c r="W996" s="239"/>
      <c r="X996" s="403"/>
      <c r="Y996" s="258"/>
    </row>
    <row r="997" spans="1:25" hidden="1" x14ac:dyDescent="0.3">
      <c r="A997" s="47">
        <f>IF(B997="","",SUBTOTAL(3,$B$3:B997)-1)</f>
        <v>7</v>
      </c>
      <c r="B997" s="24" t="s">
        <v>611</v>
      </c>
      <c r="C997" s="24" t="s">
        <v>30</v>
      </c>
      <c r="D997" s="163"/>
      <c r="E997" s="46">
        <f>($AA$2-O997)*$AB$2+Q997</f>
        <v>0</v>
      </c>
      <c r="F997" s="22">
        <v>12</v>
      </c>
      <c r="G997" s="175" t="s">
        <v>660</v>
      </c>
      <c r="H997" s="405"/>
      <c r="I997" s="185"/>
      <c r="J997" s="67"/>
      <c r="K997" s="194"/>
      <c r="L997" s="67"/>
      <c r="M997" s="67"/>
      <c r="N997" s="67"/>
      <c r="O997" s="73"/>
      <c r="P997" s="237"/>
      <c r="Q997" s="255"/>
      <c r="R997" s="175" t="s">
        <v>1</v>
      </c>
      <c r="S997" s="411"/>
      <c r="T997" s="190"/>
      <c r="U997" s="22"/>
      <c r="V997" s="233"/>
      <c r="W997" s="239"/>
      <c r="X997" s="403"/>
      <c r="Y997" s="258"/>
    </row>
    <row r="998" spans="1:25" hidden="1" x14ac:dyDescent="0.3">
      <c r="A998" s="47">
        <f>IF(B998="","",SUBTOTAL(3,$B$3:B998)-1)</f>
        <v>7</v>
      </c>
      <c r="B998" s="24" t="s">
        <v>612</v>
      </c>
      <c r="C998" s="24" t="s">
        <v>30</v>
      </c>
      <c r="D998" s="163"/>
      <c r="E998" s="46">
        <f>($AA$2-O998)*$AB$2+Q998</f>
        <v>0</v>
      </c>
      <c r="F998" s="22">
        <v>12</v>
      </c>
      <c r="G998" s="175" t="s">
        <v>660</v>
      </c>
      <c r="H998" s="405"/>
      <c r="I998" s="185"/>
      <c r="J998" s="67"/>
      <c r="K998" s="194"/>
      <c r="L998" s="67"/>
      <c r="M998" s="67"/>
      <c r="N998" s="67"/>
      <c r="O998" s="73"/>
      <c r="P998" s="237"/>
      <c r="Q998" s="255"/>
      <c r="R998" s="175" t="s">
        <v>1</v>
      </c>
      <c r="S998" s="411"/>
      <c r="T998" s="190"/>
      <c r="U998" s="22"/>
      <c r="V998" s="233"/>
      <c r="W998" s="239"/>
      <c r="X998" s="403"/>
      <c r="Y998" s="258"/>
    </row>
    <row r="999" spans="1:25" hidden="1" x14ac:dyDescent="0.3">
      <c r="A999" s="47">
        <f>IF(B999="","",SUBTOTAL(3,$B$3:B999)-1)</f>
        <v>7</v>
      </c>
      <c r="B999" s="26" t="s">
        <v>169</v>
      </c>
      <c r="C999" s="26" t="s">
        <v>30</v>
      </c>
      <c r="D999" s="163"/>
      <c r="E999" s="46">
        <f>($AA$2-O999)*$AB$2+Q999</f>
        <v>0</v>
      </c>
      <c r="F999" s="142">
        <v>7</v>
      </c>
      <c r="G999" s="175" t="s">
        <v>415</v>
      </c>
      <c r="H999" s="405" t="s">
        <v>696</v>
      </c>
      <c r="I999" s="185" t="s">
        <v>634</v>
      </c>
      <c r="J999" s="67"/>
      <c r="K999" s="194"/>
      <c r="L999" s="180"/>
      <c r="M999" s="180"/>
      <c r="N999" s="180"/>
      <c r="O999" s="181"/>
      <c r="P999" s="237" t="s">
        <v>1</v>
      </c>
      <c r="Q999" s="255"/>
      <c r="R999" s="175" t="s">
        <v>848</v>
      </c>
      <c r="S999" s="411" t="s">
        <v>848</v>
      </c>
      <c r="T999" s="190" t="s">
        <v>0</v>
      </c>
      <c r="U999" s="22"/>
      <c r="V999" s="233"/>
      <c r="W999" s="239" t="s">
        <v>0</v>
      </c>
      <c r="X999" s="403"/>
      <c r="Y999" s="258"/>
    </row>
    <row r="1000" spans="1:25" hidden="1" x14ac:dyDescent="0.3">
      <c r="A1000" s="47">
        <f>IF(B1000="","",SUBTOTAL(3,$B$3:B1000)-1)</f>
        <v>7</v>
      </c>
      <c r="B1000" s="25" t="s">
        <v>137</v>
      </c>
      <c r="C1000" s="25" t="s">
        <v>80</v>
      </c>
      <c r="D1000" s="163" t="s">
        <v>874</v>
      </c>
      <c r="E1000" s="46"/>
      <c r="F1000" s="22">
        <v>5</v>
      </c>
      <c r="G1000" s="176" t="s">
        <v>660</v>
      </c>
      <c r="H1000" s="407" t="s">
        <v>634</v>
      </c>
      <c r="I1000" s="189" t="s">
        <v>634</v>
      </c>
      <c r="J1000" s="68"/>
      <c r="K1000" s="195"/>
      <c r="L1000" s="180"/>
      <c r="M1000" s="180"/>
      <c r="N1000" s="180"/>
      <c r="O1000" s="181"/>
      <c r="P1000" s="237" t="s">
        <v>1</v>
      </c>
      <c r="Q1000" s="255"/>
      <c r="R1000" s="175" t="s">
        <v>1</v>
      </c>
      <c r="S1000" s="411"/>
      <c r="T1000" s="190" t="s">
        <v>0</v>
      </c>
      <c r="U1000" s="22"/>
      <c r="V1000" s="233"/>
      <c r="W1000" s="239" t="s">
        <v>0</v>
      </c>
      <c r="X1000" s="403"/>
      <c r="Y1000" s="258"/>
    </row>
    <row r="1001" spans="1:25" x14ac:dyDescent="0.3">
      <c r="A1001" s="47">
        <f>IF(B1001="","",SUBTOTAL(3,$B$3:B1001)-1)</f>
        <v>8</v>
      </c>
      <c r="B1001" s="254" t="s">
        <v>900</v>
      </c>
      <c r="C1001" s="24" t="s">
        <v>80</v>
      </c>
      <c r="D1001" s="24"/>
      <c r="E1001" s="46"/>
      <c r="F1001" s="142">
        <v>6</v>
      </c>
      <c r="G1001" s="175"/>
      <c r="H1001" s="405"/>
      <c r="I1001" s="185" t="s">
        <v>634</v>
      </c>
      <c r="J1001" s="67"/>
      <c r="K1001" s="194"/>
      <c r="L1001" s="67"/>
      <c r="M1001" s="67"/>
      <c r="N1001" s="67"/>
      <c r="O1001" s="73"/>
      <c r="P1001" s="237"/>
      <c r="Q1001" s="255"/>
      <c r="R1001" s="175"/>
      <c r="S1001" s="411"/>
      <c r="T1001" s="190" t="s">
        <v>0</v>
      </c>
      <c r="U1001" s="22"/>
      <c r="V1001" s="233"/>
      <c r="W1001" s="239"/>
      <c r="X1001" s="403"/>
      <c r="Y1001" s="258"/>
    </row>
    <row r="1002" spans="1:25" hidden="1" x14ac:dyDescent="0.3">
      <c r="A1002" s="47">
        <f>IF(B1002="","",SUBTOTAL(3,$B$3:B1002)-1)</f>
        <v>8</v>
      </c>
      <c r="B1002" s="39" t="s">
        <v>998</v>
      </c>
      <c r="C1002" s="24" t="s">
        <v>80</v>
      </c>
      <c r="D1002" s="163"/>
      <c r="E1002" s="46"/>
      <c r="F1002" s="142">
        <v>7</v>
      </c>
      <c r="G1002" s="176" t="s">
        <v>415</v>
      </c>
      <c r="H1002" s="406"/>
      <c r="I1002" s="185"/>
      <c r="J1002" s="67"/>
      <c r="K1002" s="194"/>
      <c r="L1002" s="180"/>
      <c r="M1002" s="180"/>
      <c r="N1002" s="180"/>
      <c r="O1002" s="181"/>
      <c r="P1002" s="237"/>
      <c r="Q1002" s="255"/>
      <c r="R1002" s="175" t="s">
        <v>2</v>
      </c>
      <c r="S1002" s="411"/>
      <c r="T1002" s="190"/>
      <c r="U1002" s="22"/>
      <c r="V1002" s="233"/>
      <c r="W1002" s="239"/>
      <c r="X1002" s="403"/>
      <c r="Y1002" s="258"/>
    </row>
    <row r="1003" spans="1:25" hidden="1" x14ac:dyDescent="0.3">
      <c r="A1003" s="47">
        <f>IF(B1003="","",SUBTOTAL(3,$B$3:B1003)-1)</f>
        <v>8</v>
      </c>
      <c r="B1003" s="25" t="s">
        <v>236</v>
      </c>
      <c r="C1003" s="25" t="s">
        <v>80</v>
      </c>
      <c r="D1003" s="163"/>
      <c r="E1003" s="46">
        <f>($AA$2-O1003)*$AB$2+Q1003</f>
        <v>0</v>
      </c>
      <c r="F1003" s="22">
        <v>10</v>
      </c>
      <c r="G1003" s="175" t="s">
        <v>415</v>
      </c>
      <c r="H1003" s="405" t="s">
        <v>635</v>
      </c>
      <c r="I1003" s="185" t="s">
        <v>661</v>
      </c>
      <c r="J1003" s="71" t="s">
        <v>661</v>
      </c>
      <c r="K1003" s="194"/>
      <c r="L1003" s="180"/>
      <c r="M1003" s="180"/>
      <c r="N1003" s="180"/>
      <c r="O1003" s="181"/>
      <c r="P1003" s="237"/>
      <c r="Q1003" s="255"/>
      <c r="R1003" s="175" t="s">
        <v>848</v>
      </c>
      <c r="S1003" s="411" t="s">
        <v>848</v>
      </c>
      <c r="T1003" s="190" t="s">
        <v>0</v>
      </c>
      <c r="U1003" s="22" t="s">
        <v>0</v>
      </c>
      <c r="V1003" s="233"/>
      <c r="W1003" s="239"/>
      <c r="X1003" s="403"/>
      <c r="Y1003" s="258"/>
    </row>
    <row r="1004" spans="1:25" hidden="1" x14ac:dyDescent="0.3">
      <c r="A1004" s="47">
        <f>IF(B1004="","",SUBTOTAL(3,$B$3:B1004)-1)</f>
        <v>8</v>
      </c>
      <c r="B1004" s="24" t="s">
        <v>322</v>
      </c>
      <c r="C1004" s="24" t="s">
        <v>80</v>
      </c>
      <c r="D1004" s="24"/>
      <c r="E1004" s="46">
        <f>($AA$2-O1004)*$AB$2+Q1004</f>
        <v>0</v>
      </c>
      <c r="F1004" s="22">
        <v>11</v>
      </c>
      <c r="G1004" s="175" t="s">
        <v>415</v>
      </c>
      <c r="H1004" s="405" t="s">
        <v>635</v>
      </c>
      <c r="I1004" s="185"/>
      <c r="J1004" s="67"/>
      <c r="K1004" s="194"/>
      <c r="L1004" s="180"/>
      <c r="M1004" s="180"/>
      <c r="N1004" s="180"/>
      <c r="O1004" s="181"/>
      <c r="P1004" s="237"/>
      <c r="Q1004" s="255"/>
      <c r="R1004" s="175" t="s">
        <v>574</v>
      </c>
      <c r="S1004" s="411" t="s">
        <v>0</v>
      </c>
      <c r="T1004" s="190"/>
      <c r="U1004" s="22"/>
      <c r="V1004" s="233"/>
      <c r="W1004" s="239"/>
      <c r="X1004" s="403"/>
      <c r="Y1004" s="258"/>
    </row>
    <row r="1005" spans="1:25" hidden="1" x14ac:dyDescent="0.3">
      <c r="A1005" s="47">
        <f>IF(B1005="","",SUBTOTAL(3,$B$3:B1005)-1)</f>
        <v>8</v>
      </c>
      <c r="B1005" s="26" t="s">
        <v>416</v>
      </c>
      <c r="C1005" s="26" t="s">
        <v>80</v>
      </c>
      <c r="D1005" s="26"/>
      <c r="E1005" s="46">
        <f>($AA$2-O1005)*$AB$2+Q1005</f>
        <v>0</v>
      </c>
      <c r="F1005" s="22">
        <v>9</v>
      </c>
      <c r="G1005" s="175"/>
      <c r="H1005" s="409" t="s">
        <v>2</v>
      </c>
      <c r="I1005" s="187"/>
      <c r="J1005" s="67"/>
      <c r="K1005" s="194"/>
      <c r="L1005" s="67"/>
      <c r="M1005" s="67"/>
      <c r="N1005" s="67"/>
      <c r="O1005" s="73"/>
      <c r="P1005" s="237"/>
      <c r="Q1005" s="255"/>
      <c r="R1005" s="175"/>
      <c r="S1005" s="411" t="s">
        <v>848</v>
      </c>
      <c r="T1005" s="190"/>
      <c r="U1005" s="22"/>
      <c r="V1005" s="233"/>
      <c r="W1005" s="239"/>
      <c r="X1005" s="403"/>
      <c r="Y1005" s="258"/>
    </row>
    <row r="1006" spans="1:25" hidden="1" x14ac:dyDescent="0.3">
      <c r="A1006" s="47">
        <f>IF(B1006="","",SUBTOTAL(3,$B$3:B1006)-1)</f>
        <v>8</v>
      </c>
      <c r="B1006" s="26" t="s">
        <v>171</v>
      </c>
      <c r="C1006" s="26" t="s">
        <v>80</v>
      </c>
      <c r="D1006" s="26"/>
      <c r="E1006" s="46">
        <f>($AA$2-O1006)*$AB$2+Q1006</f>
        <v>0</v>
      </c>
      <c r="F1006" s="22">
        <v>9</v>
      </c>
      <c r="G1006" s="175"/>
      <c r="H1006" s="409" t="s">
        <v>2</v>
      </c>
      <c r="I1006" s="187" t="s">
        <v>634</v>
      </c>
      <c r="J1006" s="67" t="s">
        <v>661</v>
      </c>
      <c r="K1006" s="194"/>
      <c r="L1006" s="67"/>
      <c r="M1006" s="67"/>
      <c r="N1006" s="67"/>
      <c r="O1006" s="73"/>
      <c r="P1006" s="237"/>
      <c r="Q1006" s="255"/>
      <c r="R1006" s="175"/>
      <c r="S1006" s="411" t="s">
        <v>848</v>
      </c>
      <c r="T1006" s="190" t="s">
        <v>0</v>
      </c>
      <c r="U1006" s="22" t="s">
        <v>0</v>
      </c>
      <c r="V1006" s="233"/>
      <c r="W1006" s="239"/>
      <c r="X1006" s="403"/>
      <c r="Y1006" s="258"/>
    </row>
    <row r="1007" spans="1:25" hidden="1" x14ac:dyDescent="0.3">
      <c r="A1007" s="47">
        <f>IF(B1007="","",SUBTOTAL(3,$B$3:B1007)-1)</f>
        <v>8</v>
      </c>
      <c r="B1007" s="380" t="s">
        <v>416</v>
      </c>
      <c r="C1007" s="380" t="s">
        <v>80</v>
      </c>
      <c r="D1007" s="380">
        <v>918843746</v>
      </c>
      <c r="E1007" s="46" t="s">
        <v>1356</v>
      </c>
      <c r="F1007" s="382">
        <v>9</v>
      </c>
      <c r="G1007" s="175" t="s">
        <v>415</v>
      </c>
      <c r="H1007" s="405"/>
      <c r="I1007" s="185"/>
      <c r="J1007" s="71"/>
      <c r="K1007" s="194"/>
      <c r="L1007" s="67"/>
      <c r="M1007" s="67"/>
      <c r="N1007" s="67"/>
      <c r="O1007" s="73"/>
      <c r="P1007" s="237"/>
      <c r="Q1007" s="255"/>
      <c r="R1007" s="175" t="s">
        <v>661</v>
      </c>
      <c r="S1007" s="411"/>
      <c r="T1007" s="190"/>
      <c r="U1007" s="22"/>
      <c r="V1007" s="233"/>
      <c r="W1007" s="239"/>
      <c r="X1007" s="403"/>
      <c r="Y1007" s="383" t="s">
        <v>1376</v>
      </c>
    </row>
    <row r="1008" spans="1:25" hidden="1" x14ac:dyDescent="0.3">
      <c r="A1008" s="47">
        <f>IF(B1008="","",SUBTOTAL(3,$B$3:B1008)-1)</f>
        <v>8</v>
      </c>
      <c r="B1008" s="161" t="s">
        <v>104</v>
      </c>
      <c r="C1008" s="25" t="s">
        <v>381</v>
      </c>
      <c r="D1008" s="24"/>
      <c r="E1008" s="46"/>
      <c r="F1008" s="22">
        <v>10</v>
      </c>
      <c r="G1008" s="175"/>
      <c r="H1008" s="405"/>
      <c r="I1008" s="185"/>
      <c r="J1008" s="71"/>
      <c r="K1008" s="194"/>
      <c r="L1008" s="180"/>
      <c r="M1008" s="180"/>
      <c r="N1008" s="180"/>
      <c r="O1008" s="181"/>
      <c r="P1008" s="237"/>
      <c r="Q1008" s="255"/>
      <c r="R1008" s="175"/>
      <c r="S1008" s="414"/>
      <c r="T1008" s="190"/>
      <c r="U1008" s="22"/>
      <c r="V1008" s="233"/>
      <c r="W1008" s="239"/>
      <c r="X1008" s="403"/>
      <c r="Y1008" s="258"/>
    </row>
    <row r="1009" spans="1:26" hidden="1" x14ac:dyDescent="0.3">
      <c r="A1009" s="47">
        <f>IF(B1009="","",SUBTOTAL(3,$B$3:B1009)-1)</f>
        <v>8</v>
      </c>
      <c r="B1009" s="143" t="s">
        <v>60</v>
      </c>
      <c r="C1009" s="143" t="s">
        <v>117</v>
      </c>
      <c r="D1009" s="143"/>
      <c r="E1009" s="46"/>
      <c r="F1009" s="142">
        <v>6</v>
      </c>
      <c r="G1009" s="175"/>
      <c r="H1009" s="405" t="s">
        <v>634</v>
      </c>
      <c r="I1009" s="185"/>
      <c r="J1009" s="142"/>
      <c r="K1009" s="196"/>
      <c r="L1009" s="67"/>
      <c r="M1009" s="67"/>
      <c r="N1009" s="67"/>
      <c r="O1009" s="73"/>
      <c r="P1009" s="237"/>
      <c r="Q1009" s="255"/>
      <c r="R1009" s="175"/>
      <c r="S1009" s="411"/>
      <c r="T1009" s="190"/>
      <c r="U1009" s="22"/>
      <c r="V1009" s="233"/>
      <c r="W1009" s="239"/>
      <c r="X1009" s="403"/>
      <c r="Y1009" s="258"/>
    </row>
    <row r="1010" spans="1:26" hidden="1" x14ac:dyDescent="0.3">
      <c r="A1010" s="47">
        <f>IF(B1010="","",SUBTOTAL(3,$B$3:B1010)-1)</f>
        <v>8</v>
      </c>
      <c r="B1010" s="39" t="s">
        <v>1345</v>
      </c>
      <c r="C1010" s="39" t="s">
        <v>117</v>
      </c>
      <c r="D1010" s="304">
        <v>767911463</v>
      </c>
      <c r="E1010" s="46" t="s">
        <v>1214</v>
      </c>
      <c r="F1010" s="22">
        <v>6</v>
      </c>
      <c r="G1010" s="175" t="s">
        <v>1332</v>
      </c>
      <c r="H1010" s="405" t="s">
        <v>635</v>
      </c>
      <c r="I1010" s="185"/>
      <c r="J1010" s="71"/>
      <c r="K1010" s="194"/>
      <c r="L1010" s="67"/>
      <c r="M1010" s="67"/>
      <c r="N1010" s="67"/>
      <c r="O1010" s="73"/>
      <c r="P1010" s="237"/>
      <c r="Q1010" s="255"/>
      <c r="R1010" s="318" t="s">
        <v>2</v>
      </c>
      <c r="S1010" s="408"/>
      <c r="T1010" s="190"/>
      <c r="U1010" s="22"/>
      <c r="V1010" s="233"/>
      <c r="W1010" s="239"/>
      <c r="X1010" s="403"/>
      <c r="Y1010" s="258"/>
    </row>
    <row r="1011" spans="1:26" hidden="1" x14ac:dyDescent="0.3">
      <c r="A1011" s="47">
        <f>IF(B1011="","",SUBTOTAL(3,$B$3:B1011)-1)</f>
        <v>8</v>
      </c>
      <c r="B1011" s="24" t="s">
        <v>569</v>
      </c>
      <c r="C1011" s="24" t="s">
        <v>117</v>
      </c>
      <c r="D1011" s="24"/>
      <c r="E1011" s="46">
        <f>($AA$2-O1011)*$AB$2+Q1011</f>
        <v>0</v>
      </c>
      <c r="F1011" s="22">
        <v>11</v>
      </c>
      <c r="G1011" s="175"/>
      <c r="H1011" s="405"/>
      <c r="I1011" s="185"/>
      <c r="J1011" s="67"/>
      <c r="K1011" s="194"/>
      <c r="L1011" s="67"/>
      <c r="M1011" s="67"/>
      <c r="N1011" s="67"/>
      <c r="O1011" s="73"/>
      <c r="P1011" s="237"/>
      <c r="Q1011" s="255"/>
      <c r="R1011" s="175"/>
      <c r="S1011" s="411"/>
      <c r="T1011" s="190"/>
      <c r="U1011" s="22"/>
      <c r="V1011" s="233"/>
      <c r="W1011" s="239"/>
      <c r="X1011" s="403"/>
      <c r="Y1011" s="258"/>
    </row>
    <row r="1012" spans="1:26" hidden="1" x14ac:dyDescent="0.3">
      <c r="A1012" s="47">
        <f>IF(B1012="","",SUBTOTAL(3,$B$3:B1012)-1)</f>
        <v>8</v>
      </c>
      <c r="B1012" s="39" t="s">
        <v>711</v>
      </c>
      <c r="C1012" s="24" t="s">
        <v>117</v>
      </c>
      <c r="D1012" s="163"/>
      <c r="E1012" s="46">
        <f>($AA$2-O1012)*$AB$2+Q1012</f>
        <v>0</v>
      </c>
      <c r="F1012" s="22">
        <v>11</v>
      </c>
      <c r="G1012" s="175" t="s">
        <v>415</v>
      </c>
      <c r="H1012" s="405" t="s">
        <v>635</v>
      </c>
      <c r="I1012" s="185"/>
      <c r="J1012" s="67"/>
      <c r="K1012" s="194"/>
      <c r="L1012" s="180"/>
      <c r="M1012" s="180"/>
      <c r="N1012" s="180"/>
      <c r="O1012" s="181"/>
      <c r="P1012" s="237"/>
      <c r="Q1012" s="255"/>
      <c r="R1012" s="175" t="s">
        <v>661</v>
      </c>
      <c r="S1012" s="411" t="s">
        <v>2</v>
      </c>
      <c r="T1012" s="190"/>
      <c r="U1012" s="22"/>
      <c r="V1012" s="233"/>
      <c r="W1012" s="239"/>
      <c r="X1012" s="403"/>
      <c r="Y1012" s="258"/>
    </row>
    <row r="1013" spans="1:26" hidden="1" x14ac:dyDescent="0.3">
      <c r="A1013" s="47">
        <f>IF(B1013="","",SUBTOTAL(3,$B$3:B1013)-1)</f>
        <v>8</v>
      </c>
      <c r="B1013" s="24" t="s">
        <v>3</v>
      </c>
      <c r="C1013" s="24" t="s">
        <v>117</v>
      </c>
      <c r="D1013" s="24"/>
      <c r="E1013" s="46">
        <f>($AA$2-O1013)*$AB$2+Q1013</f>
        <v>0</v>
      </c>
      <c r="F1013" s="22">
        <v>12</v>
      </c>
      <c r="G1013" s="175"/>
      <c r="H1013" s="405"/>
      <c r="I1013" s="185"/>
      <c r="J1013" s="67"/>
      <c r="K1013" s="194"/>
      <c r="L1013" s="67"/>
      <c r="M1013" s="67"/>
      <c r="N1013" s="67"/>
      <c r="O1013" s="73"/>
      <c r="P1013" s="237"/>
      <c r="Q1013" s="255"/>
      <c r="R1013" s="175" t="s">
        <v>415</v>
      </c>
      <c r="S1013" s="411"/>
      <c r="T1013" s="190"/>
      <c r="U1013" s="22"/>
      <c r="V1013" s="233"/>
      <c r="W1013" s="239"/>
      <c r="X1013" s="403"/>
      <c r="Y1013" s="258"/>
    </row>
    <row r="1014" spans="1:26" hidden="1" x14ac:dyDescent="0.3">
      <c r="A1014" s="47">
        <f>IF(B1014="","",SUBTOTAL(3,$B$3:B1014)-1)</f>
        <v>8</v>
      </c>
      <c r="B1014" s="39" t="s">
        <v>1095</v>
      </c>
      <c r="C1014" s="24" t="s">
        <v>1002</v>
      </c>
      <c r="D1014" s="163"/>
      <c r="E1014" s="46"/>
      <c r="F1014" s="142">
        <v>7</v>
      </c>
      <c r="G1014" s="176" t="s">
        <v>415</v>
      </c>
      <c r="H1014" s="406" t="s">
        <v>696</v>
      </c>
      <c r="I1014" s="185"/>
      <c r="J1014" s="67"/>
      <c r="K1014" s="194"/>
      <c r="L1014" s="180"/>
      <c r="M1014" s="180"/>
      <c r="N1014" s="180"/>
      <c r="O1014" s="181"/>
      <c r="P1014" s="237"/>
      <c r="Q1014" s="255"/>
      <c r="R1014" s="175" t="s">
        <v>1</v>
      </c>
      <c r="S1014" s="411" t="s">
        <v>0</v>
      </c>
      <c r="T1014" s="190"/>
      <c r="U1014" s="22"/>
      <c r="V1014" s="233"/>
      <c r="W1014" s="239"/>
      <c r="X1014" s="403"/>
      <c r="Y1014" s="258"/>
    </row>
    <row r="1015" spans="1:26" hidden="1" x14ac:dyDescent="0.3">
      <c r="A1015" s="47">
        <f>IF(B1015="","",SUBTOTAL(3,$B$3:B1015)-1)</f>
        <v>8</v>
      </c>
      <c r="B1015" s="25" t="s">
        <v>1003</v>
      </c>
      <c r="C1015" s="25" t="s">
        <v>1002</v>
      </c>
      <c r="D1015" s="163"/>
      <c r="E1015" s="46"/>
      <c r="F1015" s="22">
        <v>10</v>
      </c>
      <c r="G1015" s="175" t="s">
        <v>415</v>
      </c>
      <c r="H1015" s="405"/>
      <c r="I1015" s="185"/>
      <c r="J1015" s="71"/>
      <c r="K1015" s="194"/>
      <c r="L1015" s="67"/>
      <c r="M1015" s="67"/>
      <c r="N1015" s="67"/>
      <c r="O1015" s="73"/>
      <c r="P1015" s="237"/>
      <c r="Q1015" s="255"/>
      <c r="R1015" s="175" t="s">
        <v>0</v>
      </c>
      <c r="S1015" s="411"/>
      <c r="T1015" s="190"/>
      <c r="U1015" s="22"/>
      <c r="V1015" s="233"/>
      <c r="W1015" s="239"/>
      <c r="X1015" s="403"/>
      <c r="Y1015" s="258"/>
    </row>
    <row r="1016" spans="1:26" hidden="1" x14ac:dyDescent="0.3">
      <c r="A1016" s="47">
        <f>IF(B1016="","",SUBTOTAL(3,$B$3:B1016)-1)</f>
        <v>8</v>
      </c>
      <c r="B1016" s="24" t="s">
        <v>544</v>
      </c>
      <c r="C1016" s="24" t="s">
        <v>1002</v>
      </c>
      <c r="D1016" s="163">
        <v>773496702</v>
      </c>
      <c r="E1016" s="46">
        <f>($AA$2-O1016)*$AB$2+Q1016</f>
        <v>0</v>
      </c>
      <c r="F1016" s="22">
        <v>9</v>
      </c>
      <c r="G1016" s="175"/>
      <c r="H1016" s="409" t="s">
        <v>660</v>
      </c>
      <c r="I1016" s="190"/>
      <c r="J1016" s="68" t="s">
        <v>661</v>
      </c>
      <c r="K1016" s="195"/>
      <c r="L1016" s="182"/>
      <c r="M1016" s="182"/>
      <c r="N1016" s="182"/>
      <c r="O1016" s="181"/>
      <c r="P1016" s="237"/>
      <c r="Q1016" s="255"/>
      <c r="R1016" s="175"/>
      <c r="S1016" s="411" t="s">
        <v>1</v>
      </c>
      <c r="T1016" s="190"/>
      <c r="U1016" s="22" t="s">
        <v>1</v>
      </c>
      <c r="V1016" s="233"/>
      <c r="W1016" s="239"/>
      <c r="X1016" s="403"/>
      <c r="Y1016" s="258"/>
    </row>
    <row r="1017" spans="1:26" hidden="1" x14ac:dyDescent="0.3">
      <c r="A1017" s="47">
        <f>IF(B1017="","",SUBTOTAL(3,$B$3:B1017)-1)</f>
        <v>8</v>
      </c>
      <c r="B1017" s="24" t="s">
        <v>544</v>
      </c>
      <c r="C1017" s="24" t="s">
        <v>1002</v>
      </c>
      <c r="D1017" s="163"/>
      <c r="E1017" s="46"/>
      <c r="F1017" s="22">
        <v>9</v>
      </c>
      <c r="G1017" s="175" t="s">
        <v>415</v>
      </c>
      <c r="H1017" s="409"/>
      <c r="I1017" s="187"/>
      <c r="J1017" s="67"/>
      <c r="K1017" s="194"/>
      <c r="L1017" s="180"/>
      <c r="M1017" s="180"/>
      <c r="N1017" s="180"/>
      <c r="O1017" s="181"/>
      <c r="P1017" s="237"/>
      <c r="Q1017" s="255"/>
      <c r="R1017" s="175" t="s">
        <v>1</v>
      </c>
      <c r="S1017" s="411"/>
      <c r="T1017" s="190"/>
      <c r="U1017" s="22"/>
      <c r="V1017" s="233"/>
      <c r="W1017" s="239"/>
      <c r="X1017" s="403"/>
      <c r="Y1017" s="258"/>
    </row>
    <row r="1018" spans="1:26" hidden="1" x14ac:dyDescent="0.3">
      <c r="A1018" s="47">
        <f>IF(B1018="","",SUBTOTAL(3,$B$3:B1018)-1)</f>
        <v>8</v>
      </c>
      <c r="B1018" s="24" t="s">
        <v>985</v>
      </c>
      <c r="C1018" s="24" t="s">
        <v>58</v>
      </c>
      <c r="D1018" s="24"/>
      <c r="E1018" s="46"/>
      <c r="F1018" s="142">
        <v>7</v>
      </c>
      <c r="G1018" s="176"/>
      <c r="H1018" s="408" t="s">
        <v>635</v>
      </c>
      <c r="I1018" s="188" t="s">
        <v>661</v>
      </c>
      <c r="J1018" s="68"/>
      <c r="K1018" s="195"/>
      <c r="L1018" s="67"/>
      <c r="M1018" s="67"/>
      <c r="N1018" s="67"/>
      <c r="O1018" s="73"/>
      <c r="P1018" s="237"/>
      <c r="Q1018" s="255"/>
      <c r="R1018" s="175"/>
      <c r="S1018" s="411" t="s">
        <v>2</v>
      </c>
      <c r="T1018" s="190" t="s">
        <v>1</v>
      </c>
      <c r="U1018" s="22"/>
      <c r="V1018" s="233"/>
      <c r="W1018" s="239"/>
      <c r="X1018" s="403"/>
      <c r="Y1018" s="258"/>
    </row>
    <row r="1019" spans="1:26" ht="19.5" hidden="1" thickBot="1" x14ac:dyDescent="0.35">
      <c r="A1019" s="47">
        <f>IF(B1019="","",SUBTOTAL(3,$B$3:B1019)-1)</f>
        <v>8</v>
      </c>
      <c r="B1019" s="330" t="s">
        <v>985</v>
      </c>
      <c r="C1019" s="267" t="s">
        <v>58</v>
      </c>
      <c r="D1019" s="293"/>
      <c r="E1019" s="46"/>
      <c r="F1019" s="370">
        <v>7</v>
      </c>
      <c r="G1019" s="175" t="s">
        <v>415</v>
      </c>
      <c r="H1019" s="409"/>
      <c r="I1019" s="185" t="s">
        <v>661</v>
      </c>
      <c r="J1019" s="71"/>
      <c r="K1019" s="194"/>
      <c r="L1019" s="67"/>
      <c r="M1019" s="67"/>
      <c r="N1019" s="67"/>
      <c r="O1019" s="73"/>
      <c r="P1019" s="237"/>
      <c r="Q1019" s="255"/>
      <c r="R1019" s="175" t="s">
        <v>2</v>
      </c>
      <c r="S1019" s="411"/>
      <c r="T1019" s="190" t="s">
        <v>1</v>
      </c>
      <c r="U1019" s="22"/>
      <c r="V1019" s="233"/>
      <c r="W1019" s="239"/>
      <c r="X1019" s="403"/>
      <c r="Y1019" s="321"/>
      <c r="Z1019" s="261"/>
    </row>
    <row r="1020" spans="1:26" ht="19.5" hidden="1" thickBot="1" x14ac:dyDescent="0.35">
      <c r="A1020" s="47">
        <f>IF(B1020="","",SUBTOTAL(3,$B$3:B1020)-1)</f>
        <v>8</v>
      </c>
      <c r="B1020" s="270" t="s">
        <v>287</v>
      </c>
      <c r="C1020" s="270" t="s">
        <v>58</v>
      </c>
      <c r="D1020" s="296"/>
      <c r="E1020" s="46">
        <f>($AA$2-O1020)*$AB$2+Q1020</f>
        <v>0</v>
      </c>
      <c r="F1020" s="313">
        <v>10</v>
      </c>
      <c r="G1020" s="175"/>
      <c r="H1020" s="405" t="s">
        <v>635</v>
      </c>
      <c r="I1020" s="185"/>
      <c r="J1020" s="71"/>
      <c r="K1020" s="194"/>
      <c r="L1020" s="67"/>
      <c r="M1020" s="67"/>
      <c r="N1020" s="67"/>
      <c r="O1020" s="73"/>
      <c r="P1020" s="237"/>
      <c r="Q1020" s="255"/>
      <c r="R1020" s="175"/>
      <c r="S1020" s="411" t="s">
        <v>1</v>
      </c>
      <c r="T1020" s="190"/>
      <c r="U1020" s="22"/>
      <c r="V1020" s="233"/>
      <c r="W1020" s="239"/>
      <c r="X1020" s="403"/>
      <c r="Y1020" s="324"/>
      <c r="Z1020" s="262"/>
    </row>
    <row r="1021" spans="1:26" ht="19.5" hidden="1" thickBot="1" x14ac:dyDescent="0.35">
      <c r="A1021" s="47">
        <f>IF(B1021="","",SUBTOTAL(3,$B$3:B1021)-1)</f>
        <v>8</v>
      </c>
      <c r="B1021" s="267" t="s">
        <v>998</v>
      </c>
      <c r="C1021" s="267" t="s">
        <v>58</v>
      </c>
      <c r="D1021" s="293"/>
      <c r="E1021" s="46">
        <f>($AA$2-O1021)*$AB$2+Q1021</f>
        <v>0</v>
      </c>
      <c r="F1021" s="312">
        <v>9</v>
      </c>
      <c r="G1021" s="175"/>
      <c r="H1021" s="409"/>
      <c r="I1021" s="187"/>
      <c r="J1021" s="67"/>
      <c r="K1021" s="194"/>
      <c r="L1021" s="180"/>
      <c r="M1021" s="180"/>
      <c r="N1021" s="180"/>
      <c r="O1021" s="181"/>
      <c r="P1021" s="237"/>
      <c r="Q1021" s="255"/>
      <c r="R1021" s="175"/>
      <c r="S1021" s="411"/>
      <c r="T1021" s="190"/>
      <c r="U1021" s="22"/>
      <c r="V1021" s="233"/>
      <c r="W1021" s="239"/>
      <c r="X1021" s="403"/>
      <c r="Y1021" s="321"/>
      <c r="Z1021" s="261"/>
    </row>
    <row r="1022" spans="1:26" ht="19.5" hidden="1" thickBot="1" x14ac:dyDescent="0.35">
      <c r="A1022" s="47">
        <f>IF(B1022="","",SUBTOTAL(3,$B$3:B1022)-1)</f>
        <v>8</v>
      </c>
      <c r="B1022" s="270" t="s">
        <v>557</v>
      </c>
      <c r="C1022" s="270" t="s">
        <v>558</v>
      </c>
      <c r="D1022" s="296"/>
      <c r="E1022" s="46">
        <f>($AA$2-O1022)*$AB$2+Q1022</f>
        <v>0</v>
      </c>
      <c r="F1022" s="313">
        <v>12</v>
      </c>
      <c r="G1022" s="175"/>
      <c r="H1022" s="405"/>
      <c r="I1022" s="185"/>
      <c r="J1022" s="67"/>
      <c r="K1022" s="194"/>
      <c r="L1022" s="67"/>
      <c r="M1022" s="67"/>
      <c r="N1022" s="67"/>
      <c r="O1022" s="73"/>
      <c r="P1022" s="237"/>
      <c r="Q1022" s="255"/>
      <c r="R1022" s="175" t="s">
        <v>415</v>
      </c>
      <c r="S1022" s="411"/>
      <c r="T1022" s="190"/>
      <c r="U1022" s="22"/>
      <c r="V1022" s="233"/>
      <c r="W1022" s="239"/>
      <c r="X1022" s="403"/>
      <c r="Y1022" s="324"/>
      <c r="Z1022" s="262"/>
    </row>
    <row r="1023" spans="1:26" ht="19.5" hidden="1" thickBot="1" x14ac:dyDescent="0.35">
      <c r="A1023" s="47">
        <f>IF(B1023="","",SUBTOTAL(3,$B$3:B1023)-1)</f>
        <v>8</v>
      </c>
      <c r="B1023" s="334" t="s">
        <v>797</v>
      </c>
      <c r="C1023" s="334" t="s">
        <v>93</v>
      </c>
      <c r="D1023" s="334">
        <v>898026107</v>
      </c>
      <c r="E1023" s="46"/>
      <c r="F1023" s="370">
        <v>4</v>
      </c>
      <c r="G1023" s="176"/>
      <c r="H1023" s="412" t="s">
        <v>634</v>
      </c>
      <c r="I1023" s="192" t="s">
        <v>634</v>
      </c>
      <c r="J1023" s="142"/>
      <c r="K1023" s="196" t="s">
        <v>721</v>
      </c>
      <c r="L1023" s="67"/>
      <c r="M1023" s="67"/>
      <c r="N1023" s="67"/>
      <c r="O1023" s="73"/>
      <c r="P1023" s="237"/>
      <c r="Q1023" s="255"/>
      <c r="R1023" s="175"/>
      <c r="S1023" s="411"/>
      <c r="T1023" s="190" t="s">
        <v>0</v>
      </c>
      <c r="U1023" s="22"/>
      <c r="V1023" s="233"/>
      <c r="W1023" s="239"/>
      <c r="X1023" s="403"/>
      <c r="Y1023" s="321"/>
      <c r="Z1023" s="261"/>
    </row>
    <row r="1024" spans="1:26" ht="19.5" hidden="1" thickBot="1" x14ac:dyDescent="0.35">
      <c r="A1024" s="47">
        <f>IF(B1024="","",SUBTOTAL(3,$B$3:B1024)-1)</f>
        <v>8</v>
      </c>
      <c r="B1024" s="284" t="s">
        <v>252</v>
      </c>
      <c r="C1024" s="284" t="s">
        <v>93</v>
      </c>
      <c r="D1024" s="296"/>
      <c r="E1024" s="46">
        <f>($AA$2-O1024)*$AB$2+Q1024</f>
        <v>0</v>
      </c>
      <c r="F1024" s="291">
        <v>4</v>
      </c>
      <c r="G1024" s="175"/>
      <c r="H1024" s="408"/>
      <c r="I1024" s="186"/>
      <c r="J1024" s="68"/>
      <c r="K1024" s="195"/>
      <c r="L1024" s="68"/>
      <c r="M1024" s="68"/>
      <c r="N1024" s="68"/>
      <c r="O1024" s="73"/>
      <c r="P1024" s="237"/>
      <c r="Q1024" s="255"/>
      <c r="R1024" s="175"/>
      <c r="S1024" s="411"/>
      <c r="T1024" s="190"/>
      <c r="U1024" s="22"/>
      <c r="V1024" s="233"/>
      <c r="W1024" s="239"/>
      <c r="X1024" s="403"/>
      <c r="Y1024" s="324"/>
      <c r="Z1024" s="262"/>
    </row>
    <row r="1025" spans="1:26" ht="19.5" hidden="1" thickBot="1" x14ac:dyDescent="0.35">
      <c r="A1025" s="47">
        <f>IF(B1025="","",SUBTOTAL(3,$B$3:B1025)-1)</f>
        <v>8</v>
      </c>
      <c r="B1025" s="267" t="s">
        <v>258</v>
      </c>
      <c r="C1025" s="267" t="s">
        <v>93</v>
      </c>
      <c r="D1025" s="267"/>
      <c r="E1025" s="46"/>
      <c r="F1025" s="370">
        <v>6</v>
      </c>
      <c r="G1025" s="175" t="s">
        <v>660</v>
      </c>
      <c r="H1025" s="405"/>
      <c r="I1025" s="185"/>
      <c r="J1025" s="67"/>
      <c r="K1025" s="194"/>
      <c r="L1025" s="67"/>
      <c r="M1025" s="67"/>
      <c r="N1025" s="67"/>
      <c r="O1025" s="73"/>
      <c r="P1025" s="237"/>
      <c r="Q1025" s="255"/>
      <c r="R1025" s="175" t="s">
        <v>1</v>
      </c>
      <c r="S1025" s="411"/>
      <c r="T1025" s="190"/>
      <c r="U1025" s="22"/>
      <c r="V1025" s="233"/>
      <c r="W1025" s="239"/>
      <c r="X1025" s="403"/>
      <c r="Y1025" s="321"/>
      <c r="Z1025" s="261"/>
    </row>
    <row r="1026" spans="1:26" ht="19.5" hidden="1" thickBot="1" x14ac:dyDescent="0.35">
      <c r="A1026" s="47">
        <f>IF(B1026="","",SUBTOTAL(3,$B$3:B1026)-1)</f>
        <v>8</v>
      </c>
      <c r="B1026" s="343" t="s">
        <v>258</v>
      </c>
      <c r="C1026" s="343" t="s">
        <v>93</v>
      </c>
      <c r="D1026" s="368"/>
      <c r="E1026" s="46" t="s">
        <v>1214</v>
      </c>
      <c r="F1026" s="313">
        <v>6</v>
      </c>
      <c r="G1026" s="175" t="s">
        <v>415</v>
      </c>
      <c r="H1026" s="405"/>
      <c r="I1026" s="185"/>
      <c r="J1026" s="71"/>
      <c r="K1026" s="194"/>
      <c r="L1026" s="67"/>
      <c r="M1026" s="67"/>
      <c r="N1026" s="67"/>
      <c r="O1026" s="73"/>
      <c r="P1026" s="237"/>
      <c r="Q1026" s="255"/>
      <c r="R1026" s="175" t="s">
        <v>0</v>
      </c>
      <c r="S1026" s="408">
        <v>6</v>
      </c>
      <c r="T1026" s="190"/>
      <c r="U1026" s="22"/>
      <c r="V1026" s="233"/>
      <c r="W1026" s="239"/>
      <c r="X1026" s="403"/>
      <c r="Y1026" s="324"/>
      <c r="Z1026" s="262"/>
    </row>
    <row r="1027" spans="1:26" ht="19.5" hidden="1" thickBot="1" x14ac:dyDescent="0.35">
      <c r="A1027" s="47">
        <f>IF(B1027="","",SUBTOTAL(3,$B$3:B1027)-1)</f>
        <v>8</v>
      </c>
      <c r="B1027" s="267" t="s">
        <v>178</v>
      </c>
      <c r="C1027" s="267" t="s">
        <v>93</v>
      </c>
      <c r="D1027" s="293"/>
      <c r="E1027" s="46">
        <f>($AA$2-O1027)*$AB$2+Q1027</f>
        <v>0</v>
      </c>
      <c r="F1027" s="312">
        <v>10</v>
      </c>
      <c r="G1027" s="175" t="s">
        <v>415</v>
      </c>
      <c r="H1027" s="405" t="s">
        <v>635</v>
      </c>
      <c r="I1027" s="185"/>
      <c r="J1027" s="71"/>
      <c r="K1027" s="194"/>
      <c r="L1027" s="180"/>
      <c r="M1027" s="180"/>
      <c r="N1027" s="180"/>
      <c r="O1027" s="181"/>
      <c r="P1027" s="237"/>
      <c r="Q1027" s="255"/>
      <c r="R1027" s="175" t="s">
        <v>848</v>
      </c>
      <c r="S1027" s="411" t="s">
        <v>848</v>
      </c>
      <c r="T1027" s="190"/>
      <c r="U1027" s="22"/>
      <c r="V1027" s="233"/>
      <c r="W1027" s="239"/>
      <c r="X1027" s="403"/>
      <c r="Y1027" s="321"/>
      <c r="Z1027" s="261"/>
    </row>
    <row r="1028" spans="1:26" ht="19.5" hidden="1" thickBot="1" x14ac:dyDescent="0.35">
      <c r="A1028" s="47">
        <f>IF(B1028="","",SUBTOTAL(3,$B$3:B1028)-1)</f>
        <v>8</v>
      </c>
      <c r="B1028" s="337" t="s">
        <v>1075</v>
      </c>
      <c r="C1028" s="270" t="s">
        <v>1186</v>
      </c>
      <c r="D1028" s="296"/>
      <c r="E1028" s="46"/>
      <c r="F1028" s="291">
        <v>7</v>
      </c>
      <c r="G1028" s="176" t="s">
        <v>415</v>
      </c>
      <c r="H1028" s="406" t="s">
        <v>635</v>
      </c>
      <c r="I1028" s="185"/>
      <c r="J1028" s="67"/>
      <c r="K1028" s="194"/>
      <c r="L1028" s="180"/>
      <c r="M1028" s="180"/>
      <c r="N1028" s="180"/>
      <c r="O1028" s="181"/>
      <c r="P1028" s="237"/>
      <c r="Q1028" s="255"/>
      <c r="R1028" s="175" t="s">
        <v>2</v>
      </c>
      <c r="S1028" s="411" t="s">
        <v>2</v>
      </c>
      <c r="T1028" s="190"/>
      <c r="U1028" s="22"/>
      <c r="V1028" s="233"/>
      <c r="W1028" s="239"/>
      <c r="X1028" s="403"/>
      <c r="Y1028" s="324"/>
      <c r="Z1028" s="262"/>
    </row>
    <row r="1029" spans="1:26" ht="19.5" hidden="1" thickBot="1" x14ac:dyDescent="0.35">
      <c r="A1029" s="47">
        <f>IF(B1029="","",SUBTOTAL(3,$B$3:B1029)-1)</f>
        <v>8</v>
      </c>
      <c r="B1029" s="266" t="s">
        <v>850</v>
      </c>
      <c r="C1029" s="266" t="s">
        <v>47</v>
      </c>
      <c r="D1029" s="266" t="s">
        <v>867</v>
      </c>
      <c r="E1029" s="46"/>
      <c r="F1029" s="312">
        <v>2</v>
      </c>
      <c r="G1029" s="175"/>
      <c r="H1029" s="405" t="s">
        <v>860</v>
      </c>
      <c r="I1029" s="185" t="s">
        <v>860</v>
      </c>
      <c r="J1029" s="67"/>
      <c r="K1029" s="194" t="s">
        <v>721</v>
      </c>
      <c r="L1029" s="180"/>
      <c r="M1029" s="180"/>
      <c r="N1029" s="180"/>
      <c r="O1029" s="181"/>
      <c r="P1029" s="237"/>
      <c r="Q1029" s="255"/>
      <c r="R1029" s="175"/>
      <c r="S1029" s="411"/>
      <c r="T1029" s="190" t="s">
        <v>1</v>
      </c>
      <c r="U1029" s="22"/>
      <c r="V1029" s="233"/>
      <c r="W1029" s="239"/>
      <c r="X1029" s="403"/>
      <c r="Y1029" s="321"/>
      <c r="Z1029" s="261"/>
    </row>
    <row r="1030" spans="1:26" ht="19.5" hidden="1" thickBot="1" x14ac:dyDescent="0.35">
      <c r="A1030" s="47">
        <f>IF(B1030="","",SUBTOTAL(3,$B$3:B1030)-1)</f>
        <v>8</v>
      </c>
      <c r="B1030" s="281" t="s">
        <v>159</v>
      </c>
      <c r="C1030" s="281" t="s">
        <v>47</v>
      </c>
      <c r="D1030" s="281"/>
      <c r="E1030" s="46"/>
      <c r="F1030" s="291">
        <v>4</v>
      </c>
      <c r="G1030" s="175"/>
      <c r="H1030" s="407"/>
      <c r="I1030" s="189" t="s">
        <v>634</v>
      </c>
      <c r="J1030" s="67"/>
      <c r="K1030" s="194"/>
      <c r="L1030" s="180"/>
      <c r="M1030" s="180"/>
      <c r="N1030" s="180"/>
      <c r="O1030" s="181"/>
      <c r="P1030" s="237"/>
      <c r="Q1030" s="255"/>
      <c r="R1030" s="175"/>
      <c r="S1030" s="411"/>
      <c r="T1030" s="190" t="s">
        <v>0</v>
      </c>
      <c r="U1030" s="22"/>
      <c r="V1030" s="233"/>
      <c r="W1030" s="239"/>
      <c r="X1030" s="403"/>
      <c r="Y1030" s="324"/>
      <c r="Z1030" s="262"/>
    </row>
    <row r="1031" spans="1:26" ht="19.5" hidden="1" thickBot="1" x14ac:dyDescent="0.35">
      <c r="A1031" s="47">
        <f>IF(B1031="","",SUBTOTAL(3,$B$3:B1031)-1)</f>
        <v>8</v>
      </c>
      <c r="B1031" s="261" t="s">
        <v>1343</v>
      </c>
      <c r="C1031" s="261" t="s">
        <v>47</v>
      </c>
      <c r="D1031" s="360">
        <v>907676128</v>
      </c>
      <c r="E1031" s="46" t="s">
        <v>1214</v>
      </c>
      <c r="F1031" s="312">
        <v>6</v>
      </c>
      <c r="G1031" s="175" t="s">
        <v>1332</v>
      </c>
      <c r="H1031" s="405"/>
      <c r="I1031" s="185"/>
      <c r="J1031" s="71"/>
      <c r="K1031" s="194"/>
      <c r="L1031" s="67"/>
      <c r="M1031" s="67"/>
      <c r="N1031" s="67"/>
      <c r="O1031" s="73"/>
      <c r="P1031" s="237"/>
      <c r="Q1031" s="255"/>
      <c r="R1031" s="318" t="s">
        <v>1</v>
      </c>
      <c r="S1031" s="408" t="s">
        <v>1</v>
      </c>
      <c r="T1031" s="190"/>
      <c r="U1031" s="22"/>
      <c r="V1031" s="233"/>
      <c r="W1031" s="239"/>
      <c r="X1031" s="403"/>
      <c r="Y1031" s="321"/>
      <c r="Z1031" s="261"/>
    </row>
    <row r="1032" spans="1:26" ht="19.5" hidden="1" thickBot="1" x14ac:dyDescent="0.35">
      <c r="A1032" s="47">
        <f>IF(B1032="","",SUBTOTAL(3,$B$3:B1032)-1)</f>
        <v>8</v>
      </c>
      <c r="B1032" s="339" t="s">
        <v>1265</v>
      </c>
      <c r="C1032" s="339" t="s">
        <v>47</v>
      </c>
      <c r="D1032" s="367">
        <v>814633733</v>
      </c>
      <c r="E1032" s="46" t="s">
        <v>1214</v>
      </c>
      <c r="F1032" s="313">
        <v>6</v>
      </c>
      <c r="G1032" s="175" t="s">
        <v>415</v>
      </c>
      <c r="H1032" s="405"/>
      <c r="I1032" s="185"/>
      <c r="J1032" s="71"/>
      <c r="K1032" s="194"/>
      <c r="L1032" s="67"/>
      <c r="M1032" s="67"/>
      <c r="N1032" s="67"/>
      <c r="O1032" s="73"/>
      <c r="P1032" s="237"/>
      <c r="Q1032" s="255"/>
      <c r="R1032" s="318" t="s">
        <v>0</v>
      </c>
      <c r="S1032" s="408" t="s">
        <v>1</v>
      </c>
      <c r="T1032" s="190"/>
      <c r="U1032" s="22"/>
      <c r="V1032" s="233"/>
      <c r="W1032" s="239"/>
      <c r="X1032" s="403"/>
      <c r="Y1032" s="324"/>
      <c r="Z1032" s="262"/>
    </row>
    <row r="1033" spans="1:26" ht="19.5" hidden="1" thickBot="1" x14ac:dyDescent="0.35">
      <c r="A1033" s="47">
        <f>IF(B1033="","",SUBTOTAL(3,$B$3:B1033)-1)</f>
        <v>8</v>
      </c>
      <c r="B1033" s="267" t="s">
        <v>340</v>
      </c>
      <c r="C1033" s="267" t="s">
        <v>47</v>
      </c>
      <c r="D1033" s="293"/>
      <c r="E1033" s="46">
        <f>($AA$2-O1033)*$AB$2+Q1033</f>
        <v>0</v>
      </c>
      <c r="F1033" s="312">
        <v>12</v>
      </c>
      <c r="G1033" s="175" t="s">
        <v>660</v>
      </c>
      <c r="H1033" s="405"/>
      <c r="I1033" s="185"/>
      <c r="J1033" s="67"/>
      <c r="K1033" s="194"/>
      <c r="L1033" s="67"/>
      <c r="M1033" s="67"/>
      <c r="N1033" s="67"/>
      <c r="O1033" s="73"/>
      <c r="P1033" s="237"/>
      <c r="Q1033" s="255"/>
      <c r="R1033" s="175" t="s">
        <v>0</v>
      </c>
      <c r="S1033" s="411"/>
      <c r="T1033" s="190"/>
      <c r="U1033" s="22"/>
      <c r="V1033" s="233"/>
      <c r="W1033" s="239"/>
      <c r="X1033" s="403"/>
      <c r="Y1033" s="321"/>
      <c r="Z1033" s="261"/>
    </row>
    <row r="1034" spans="1:26" ht="19.5" hidden="1" thickBot="1" x14ac:dyDescent="0.35">
      <c r="A1034" s="47">
        <f>IF(B1034="","",SUBTOTAL(3,$B$3:B1034)-1)</f>
        <v>8</v>
      </c>
      <c r="B1034" s="284" t="s">
        <v>1060</v>
      </c>
      <c r="C1034" s="284" t="s">
        <v>47</v>
      </c>
      <c r="D1034" s="284"/>
      <c r="E1034" s="46"/>
      <c r="F1034" s="313">
        <v>10</v>
      </c>
      <c r="G1034" s="175" t="s">
        <v>415</v>
      </c>
      <c r="H1034" s="406" t="s">
        <v>635</v>
      </c>
      <c r="I1034" s="185"/>
      <c r="J1034" s="67"/>
      <c r="K1034" s="194"/>
      <c r="L1034" s="67"/>
      <c r="M1034" s="67"/>
      <c r="N1034" s="67"/>
      <c r="O1034" s="73"/>
      <c r="P1034" s="237"/>
      <c r="Q1034" s="255"/>
      <c r="R1034" s="175" t="s">
        <v>2</v>
      </c>
      <c r="S1034" s="411" t="s">
        <v>0</v>
      </c>
      <c r="T1034" s="190"/>
      <c r="U1034" s="22"/>
      <c r="V1034" s="233"/>
      <c r="W1034" s="239"/>
      <c r="X1034" s="403"/>
      <c r="Y1034" s="324"/>
      <c r="Z1034" s="262"/>
    </row>
    <row r="1035" spans="1:26" ht="19.5" hidden="1" thickBot="1" x14ac:dyDescent="0.35">
      <c r="A1035" s="47">
        <f>IF(B1035="","",SUBTOTAL(3,$B$3:B1035)-1)</f>
        <v>8</v>
      </c>
      <c r="B1035" s="286" t="s">
        <v>794</v>
      </c>
      <c r="C1035" s="286" t="s">
        <v>47</v>
      </c>
      <c r="D1035" s="286">
        <v>917113749</v>
      </c>
      <c r="E1035" s="46"/>
      <c r="F1035" s="312">
        <v>10</v>
      </c>
      <c r="G1035" s="176" t="s">
        <v>415</v>
      </c>
      <c r="H1035" s="406"/>
      <c r="I1035" s="188"/>
      <c r="J1035" s="142"/>
      <c r="K1035" s="196" t="s">
        <v>721</v>
      </c>
      <c r="L1035" s="67"/>
      <c r="M1035" s="67"/>
      <c r="N1035" s="67"/>
      <c r="O1035" s="73"/>
      <c r="P1035" s="237"/>
      <c r="Q1035" s="255"/>
      <c r="R1035" s="175"/>
      <c r="S1035" s="411"/>
      <c r="T1035" s="190"/>
      <c r="U1035" s="22"/>
      <c r="V1035" s="233"/>
      <c r="W1035" s="239"/>
      <c r="X1035" s="403"/>
      <c r="Y1035" s="321"/>
      <c r="Z1035" s="261"/>
    </row>
    <row r="1036" spans="1:26" ht="19.5" hidden="1" thickBot="1" x14ac:dyDescent="0.35">
      <c r="A1036" s="47">
        <f>IF(B1036="","",SUBTOTAL(3,$B$3:B1036)-1)</f>
        <v>8</v>
      </c>
      <c r="B1036" s="337" t="s">
        <v>690</v>
      </c>
      <c r="C1036" s="270" t="s">
        <v>47</v>
      </c>
      <c r="D1036" s="296"/>
      <c r="E1036" s="46">
        <f>($AA$2-O1036)*$AB$2+Q1036</f>
        <v>0</v>
      </c>
      <c r="F1036" s="313">
        <v>11</v>
      </c>
      <c r="G1036" s="175"/>
      <c r="H1036" s="405" t="s">
        <v>635</v>
      </c>
      <c r="I1036" s="185"/>
      <c r="J1036" s="67"/>
      <c r="K1036" s="194"/>
      <c r="L1036" s="67"/>
      <c r="M1036" s="67"/>
      <c r="N1036" s="67"/>
      <c r="O1036" s="73"/>
      <c r="P1036" s="237"/>
      <c r="Q1036" s="255"/>
      <c r="R1036" s="175"/>
      <c r="S1036" s="411" t="s">
        <v>2</v>
      </c>
      <c r="T1036" s="190"/>
      <c r="U1036" s="22"/>
      <c r="V1036" s="233"/>
      <c r="W1036" s="239"/>
      <c r="X1036" s="403"/>
      <c r="Y1036" s="324"/>
      <c r="Z1036" s="262"/>
    </row>
    <row r="1037" spans="1:26" ht="19.5" hidden="1" thickBot="1" x14ac:dyDescent="0.35">
      <c r="A1037" s="47">
        <f>IF(B1037="","",SUBTOTAL(3,$B$3:B1037)-1)</f>
        <v>8</v>
      </c>
      <c r="B1037" s="285" t="s">
        <v>719</v>
      </c>
      <c r="C1037" s="355" t="s">
        <v>47</v>
      </c>
      <c r="D1037" s="293">
        <v>774889529</v>
      </c>
      <c r="E1037" s="46">
        <f>($AA$2-O1037)*$AB$2+Q1037</f>
        <v>0</v>
      </c>
      <c r="F1037" s="312">
        <v>11</v>
      </c>
      <c r="G1037" s="175"/>
      <c r="H1037" s="405" t="s">
        <v>1</v>
      </c>
      <c r="I1037" s="185"/>
      <c r="J1037" s="67"/>
      <c r="K1037" s="194"/>
      <c r="L1037" s="180"/>
      <c r="M1037" s="180"/>
      <c r="N1037" s="180"/>
      <c r="O1037" s="181"/>
      <c r="P1037" s="237"/>
      <c r="Q1037" s="255"/>
      <c r="R1037" s="175"/>
      <c r="S1037" s="411" t="s">
        <v>1</v>
      </c>
      <c r="T1037" s="190"/>
      <c r="U1037" s="22"/>
      <c r="V1037" s="233" t="s">
        <v>848</v>
      </c>
      <c r="W1037" s="239"/>
      <c r="X1037" s="403"/>
      <c r="Y1037" s="321"/>
      <c r="Z1037" s="261"/>
    </row>
    <row r="1038" spans="1:26" ht="19.5" hidden="1" thickBot="1" x14ac:dyDescent="0.35">
      <c r="A1038" s="47">
        <f>IF(B1038="","",SUBTOTAL(3,$B$3:B1038)-1)</f>
        <v>8</v>
      </c>
      <c r="B1038" s="284" t="s">
        <v>534</v>
      </c>
      <c r="C1038" s="284" t="s">
        <v>47</v>
      </c>
      <c r="D1038" s="284"/>
      <c r="E1038" s="46">
        <f>($AA$2-O1038)*$AB$2+Q1038</f>
        <v>0</v>
      </c>
      <c r="F1038" s="313">
        <v>8</v>
      </c>
      <c r="G1038" s="175" t="s">
        <v>415</v>
      </c>
      <c r="H1038" s="405" t="s">
        <v>660</v>
      </c>
      <c r="I1038" s="185" t="s">
        <v>634</v>
      </c>
      <c r="J1038" s="67"/>
      <c r="K1038" s="194"/>
      <c r="L1038" s="180"/>
      <c r="M1038" s="180"/>
      <c r="N1038" s="180"/>
      <c r="O1038" s="181"/>
      <c r="P1038" s="237"/>
      <c r="Q1038" s="255"/>
      <c r="R1038" s="175" t="s">
        <v>848</v>
      </c>
      <c r="S1038" s="411" t="s">
        <v>0</v>
      </c>
      <c r="T1038" s="190" t="s">
        <v>0</v>
      </c>
      <c r="U1038" s="22"/>
      <c r="V1038" s="233"/>
      <c r="W1038" s="239"/>
      <c r="X1038" s="403"/>
      <c r="Y1038" s="324"/>
      <c r="Z1038" s="262"/>
    </row>
    <row r="1039" spans="1:26" ht="19.5" hidden="1" thickBot="1" x14ac:dyDescent="0.35">
      <c r="A1039" s="47">
        <f>IF(B1039="","",SUBTOTAL(3,$B$3:B1039)-1)</f>
        <v>8</v>
      </c>
      <c r="B1039" s="267" t="s">
        <v>514</v>
      </c>
      <c r="C1039" s="267" t="s">
        <v>47</v>
      </c>
      <c r="D1039" s="293"/>
      <c r="E1039" s="46">
        <f>($AA$2-O1039)*$AB$2+Q1039</f>
        <v>0</v>
      </c>
      <c r="F1039" s="312">
        <v>9</v>
      </c>
      <c r="G1039" s="175" t="s">
        <v>415</v>
      </c>
      <c r="H1039" s="409" t="s">
        <v>2</v>
      </c>
      <c r="I1039" s="187" t="s">
        <v>634</v>
      </c>
      <c r="J1039" s="67" t="s">
        <v>661</v>
      </c>
      <c r="K1039" s="194"/>
      <c r="L1039" s="180"/>
      <c r="M1039" s="180"/>
      <c r="N1039" s="180"/>
      <c r="O1039" s="181"/>
      <c r="P1039" s="237"/>
      <c r="Q1039" s="255"/>
      <c r="R1039" s="175" t="s">
        <v>848</v>
      </c>
      <c r="S1039" s="411" t="s">
        <v>848</v>
      </c>
      <c r="T1039" s="190" t="s">
        <v>0</v>
      </c>
      <c r="U1039" s="22" t="s">
        <v>0</v>
      </c>
      <c r="V1039" s="233"/>
      <c r="W1039" s="239"/>
      <c r="X1039" s="403"/>
      <c r="Y1039" s="321"/>
      <c r="Z1039" s="261"/>
    </row>
    <row r="1040" spans="1:26" ht="19.5" hidden="1" thickBot="1" x14ac:dyDescent="0.35">
      <c r="A1040" s="47">
        <f>IF(B1040="","",SUBTOTAL(3,$B$3:B1040)-1)</f>
        <v>8</v>
      </c>
      <c r="B1040" s="262" t="s">
        <v>1221</v>
      </c>
      <c r="C1040" s="262" t="s">
        <v>47</v>
      </c>
      <c r="D1040" s="262">
        <v>949344548</v>
      </c>
      <c r="E1040" s="46" t="s">
        <v>1214</v>
      </c>
      <c r="F1040" s="263">
        <v>9</v>
      </c>
      <c r="G1040" s="175" t="s">
        <v>415</v>
      </c>
      <c r="H1040" s="405"/>
      <c r="I1040" s="185"/>
      <c r="J1040" s="71"/>
      <c r="K1040" s="194"/>
      <c r="L1040" s="67"/>
      <c r="M1040" s="67"/>
      <c r="N1040" s="67"/>
      <c r="O1040" s="73"/>
      <c r="P1040" s="237"/>
      <c r="Q1040" s="255"/>
      <c r="R1040" s="175" t="s">
        <v>661</v>
      </c>
      <c r="S1040" s="411"/>
      <c r="T1040" s="190"/>
      <c r="U1040" s="22"/>
      <c r="V1040" s="233"/>
      <c r="W1040" s="239"/>
      <c r="X1040" s="403"/>
      <c r="Y1040" s="262">
        <v>9</v>
      </c>
      <c r="Z1040" s="262"/>
    </row>
    <row r="1041" spans="1:26" ht="19.5" hidden="1" thickBot="1" x14ac:dyDescent="0.35">
      <c r="A1041" s="47">
        <f>IF(B1041="","",SUBTOTAL(3,$B$3:B1041)-1)</f>
        <v>8</v>
      </c>
      <c r="B1041" s="266" t="s">
        <v>159</v>
      </c>
      <c r="C1041" s="266" t="s">
        <v>84</v>
      </c>
      <c r="D1041" s="266"/>
      <c r="E1041" s="46"/>
      <c r="F1041" s="370">
        <v>4</v>
      </c>
      <c r="G1041" s="175" t="s">
        <v>826</v>
      </c>
      <c r="H1041" s="405"/>
      <c r="I1041" s="185"/>
      <c r="J1041" s="67"/>
      <c r="K1041" s="194"/>
      <c r="L1041" s="180"/>
      <c r="M1041" s="180"/>
      <c r="N1041" s="180"/>
      <c r="O1041" s="181"/>
      <c r="P1041" s="237"/>
      <c r="Q1041" s="255"/>
      <c r="R1041" s="175" t="s">
        <v>1</v>
      </c>
      <c r="S1041" s="411"/>
      <c r="T1041" s="190"/>
      <c r="U1041" s="22"/>
      <c r="V1041" s="233"/>
      <c r="W1041" s="239"/>
      <c r="X1041" s="403"/>
      <c r="Y1041" s="321"/>
      <c r="Z1041" s="261"/>
    </row>
    <row r="1042" spans="1:26" ht="19.5" hidden="1" thickBot="1" x14ac:dyDescent="0.35">
      <c r="A1042" s="47">
        <f>IF(B1042="","",SUBTOTAL(3,$B$3:B1042)-1)</f>
        <v>8</v>
      </c>
      <c r="B1042" s="281" t="s">
        <v>244</v>
      </c>
      <c r="C1042" s="281" t="s">
        <v>84</v>
      </c>
      <c r="D1042" s="296"/>
      <c r="E1042" s="46">
        <f>($AA$2-O1042)*$AB$2+Q1042</f>
        <v>0</v>
      </c>
      <c r="F1042" s="313">
        <v>10</v>
      </c>
      <c r="G1042" s="175" t="s">
        <v>415</v>
      </c>
      <c r="H1042" s="405" t="s">
        <v>696</v>
      </c>
      <c r="I1042" s="185" t="s">
        <v>634</v>
      </c>
      <c r="J1042" s="71"/>
      <c r="K1042" s="194"/>
      <c r="L1042" s="180"/>
      <c r="M1042" s="180"/>
      <c r="N1042" s="180"/>
      <c r="O1042" s="181"/>
      <c r="P1042" s="237"/>
      <c r="Q1042" s="255"/>
      <c r="R1042" s="175" t="s">
        <v>0</v>
      </c>
      <c r="S1042" s="411" t="s">
        <v>661</v>
      </c>
      <c r="T1042" s="190" t="s">
        <v>0</v>
      </c>
      <c r="U1042" s="22"/>
      <c r="V1042" s="233"/>
      <c r="W1042" s="239"/>
      <c r="X1042" s="403"/>
      <c r="Y1042" s="324"/>
      <c r="Z1042" s="262"/>
    </row>
    <row r="1043" spans="1:26" ht="19.5" hidden="1" thickBot="1" x14ac:dyDescent="0.35">
      <c r="A1043" s="47">
        <f>IF(B1043="","",SUBTOTAL(3,$B$3:B1043)-1)</f>
        <v>8</v>
      </c>
      <c r="B1043" s="267" t="s">
        <v>342</v>
      </c>
      <c r="C1043" s="267" t="s">
        <v>84</v>
      </c>
      <c r="D1043" s="293"/>
      <c r="E1043" s="46">
        <f>($AA$2-O1043)*$AB$2+Q1043</f>
        <v>0</v>
      </c>
      <c r="F1043" s="312">
        <v>12</v>
      </c>
      <c r="G1043" s="175"/>
      <c r="H1043" s="405"/>
      <c r="I1043" s="185"/>
      <c r="J1043" s="67"/>
      <c r="K1043" s="194"/>
      <c r="L1043" s="67"/>
      <c r="M1043" s="67"/>
      <c r="N1043" s="67"/>
      <c r="O1043" s="73"/>
      <c r="P1043" s="237"/>
      <c r="Q1043" s="255"/>
      <c r="R1043" s="175" t="s">
        <v>415</v>
      </c>
      <c r="S1043" s="411"/>
      <c r="T1043" s="190"/>
      <c r="U1043" s="22"/>
      <c r="V1043" s="233"/>
      <c r="W1043" s="239"/>
      <c r="X1043" s="403"/>
      <c r="Y1043" s="321"/>
      <c r="Z1043" s="261"/>
    </row>
    <row r="1044" spans="1:26" ht="19.5" hidden="1" thickBot="1" x14ac:dyDescent="0.35">
      <c r="A1044" s="47">
        <f>IF(B1044="","",SUBTOTAL(3,$B$3:B1044)-1)</f>
        <v>8</v>
      </c>
      <c r="B1044" s="279" t="s">
        <v>1237</v>
      </c>
      <c r="C1044" s="279" t="s">
        <v>74</v>
      </c>
      <c r="D1044" s="279">
        <v>949874216</v>
      </c>
      <c r="E1044" s="46" t="s">
        <v>1214</v>
      </c>
      <c r="F1044" s="316">
        <v>4</v>
      </c>
      <c r="G1044" s="175"/>
      <c r="H1044" s="405" t="s">
        <v>634</v>
      </c>
      <c r="I1044" s="185"/>
      <c r="J1044" s="71"/>
      <c r="K1044" s="194"/>
      <c r="L1044" s="67"/>
      <c r="M1044" s="67"/>
      <c r="N1044" s="67"/>
      <c r="O1044" s="73"/>
      <c r="P1044" s="237"/>
      <c r="Q1044" s="255"/>
      <c r="R1044" s="175"/>
      <c r="S1044" s="411"/>
      <c r="T1044" s="190"/>
      <c r="U1044" s="22"/>
      <c r="V1044" s="233"/>
      <c r="W1044" s="239"/>
      <c r="X1044" s="403"/>
      <c r="Y1044" s="279">
        <v>4</v>
      </c>
      <c r="Z1044" s="262"/>
    </row>
    <row r="1045" spans="1:26" ht="19.5" hidden="1" thickBot="1" x14ac:dyDescent="0.35">
      <c r="A1045" s="47">
        <f>IF(B1045="","",SUBTOTAL(3,$B$3:B1045)-1)</f>
        <v>8</v>
      </c>
      <c r="B1045" s="266" t="s">
        <v>250</v>
      </c>
      <c r="C1045" s="266" t="s">
        <v>74</v>
      </c>
      <c r="D1045" s="293">
        <v>902718532</v>
      </c>
      <c r="E1045" s="46"/>
      <c r="F1045" s="312">
        <v>5</v>
      </c>
      <c r="G1045" s="176" t="s">
        <v>660</v>
      </c>
      <c r="H1045" s="408"/>
      <c r="I1045" s="186"/>
      <c r="J1045" s="68"/>
      <c r="K1045" s="195"/>
      <c r="L1045" s="68"/>
      <c r="M1045" s="68"/>
      <c r="N1045" s="68"/>
      <c r="O1045" s="73"/>
      <c r="P1045" s="237"/>
      <c r="Q1045" s="255"/>
      <c r="R1045" s="175" t="s">
        <v>1</v>
      </c>
      <c r="S1045" s="411"/>
      <c r="T1045" s="190"/>
      <c r="U1045" s="22"/>
      <c r="V1045" s="233"/>
      <c r="W1045" s="239"/>
      <c r="X1045" s="403"/>
      <c r="Y1045" s="321"/>
      <c r="Z1045" s="261"/>
    </row>
    <row r="1046" spans="1:26" ht="19.5" hidden="1" thickBot="1" x14ac:dyDescent="0.35">
      <c r="A1046" s="47">
        <f>IF(B1046="","",SUBTOTAL(3,$B$3:B1046)-1)</f>
        <v>8</v>
      </c>
      <c r="B1046" s="284" t="s">
        <v>229</v>
      </c>
      <c r="C1046" s="284" t="s">
        <v>74</v>
      </c>
      <c r="D1046" s="296"/>
      <c r="E1046" s="46"/>
      <c r="F1046" s="291">
        <v>7</v>
      </c>
      <c r="G1046" s="175"/>
      <c r="H1046" s="408"/>
      <c r="I1046" s="186"/>
      <c r="J1046" s="68"/>
      <c r="K1046" s="195"/>
      <c r="L1046" s="68"/>
      <c r="M1046" s="68"/>
      <c r="N1046" s="68"/>
      <c r="O1046" s="73"/>
      <c r="P1046" s="237"/>
      <c r="Q1046" s="255"/>
      <c r="R1046" s="175"/>
      <c r="S1046" s="411"/>
      <c r="T1046" s="190"/>
      <c r="U1046" s="22"/>
      <c r="V1046" s="233"/>
      <c r="W1046" s="239"/>
      <c r="X1046" s="403"/>
      <c r="Y1046" s="324"/>
      <c r="Z1046" s="262"/>
    </row>
    <row r="1047" spans="1:26" ht="19.5" hidden="1" thickBot="1" x14ac:dyDescent="0.35">
      <c r="A1047" s="47">
        <f>IF(B1047="","",SUBTOTAL(3,$B$3:B1047)-1)</f>
        <v>8</v>
      </c>
      <c r="B1047" s="283" t="s">
        <v>191</v>
      </c>
      <c r="C1047" s="283" t="s">
        <v>74</v>
      </c>
      <c r="D1047" s="283"/>
      <c r="E1047" s="46"/>
      <c r="F1047" s="291">
        <v>7</v>
      </c>
      <c r="G1047" s="176"/>
      <c r="H1047" s="405" t="s">
        <v>635</v>
      </c>
      <c r="I1047" s="189"/>
      <c r="J1047" s="142"/>
      <c r="K1047" s="196"/>
      <c r="L1047" s="67"/>
      <c r="M1047" s="67"/>
      <c r="N1047" s="67"/>
      <c r="O1047" s="73"/>
      <c r="P1047" s="237"/>
      <c r="Q1047" s="255"/>
      <c r="R1047" s="175"/>
      <c r="S1047" s="411" t="s">
        <v>1</v>
      </c>
      <c r="T1047" s="190"/>
      <c r="U1047" s="22"/>
      <c r="V1047" s="233"/>
      <c r="W1047" s="239"/>
      <c r="X1047" s="403"/>
      <c r="Y1047" s="324"/>
      <c r="Z1047" s="262"/>
    </row>
    <row r="1048" spans="1:26" ht="19.5" hidden="1" thickBot="1" x14ac:dyDescent="0.35">
      <c r="A1048" s="47">
        <f>IF(B1048="","",SUBTOTAL(3,$B$3:B1048)-1)</f>
        <v>8</v>
      </c>
      <c r="B1048" s="267" t="s">
        <v>767</v>
      </c>
      <c r="C1048" s="267" t="s">
        <v>74</v>
      </c>
      <c r="D1048" s="293"/>
      <c r="E1048" s="46"/>
      <c r="F1048" s="370">
        <v>7</v>
      </c>
      <c r="G1048" s="175"/>
      <c r="H1048" s="405"/>
      <c r="I1048" s="185"/>
      <c r="J1048" s="67"/>
      <c r="K1048" s="194"/>
      <c r="L1048" s="180"/>
      <c r="M1048" s="180"/>
      <c r="N1048" s="180"/>
      <c r="O1048" s="181"/>
      <c r="P1048" s="237"/>
      <c r="Q1048" s="255"/>
      <c r="R1048" s="175"/>
      <c r="S1048" s="411"/>
      <c r="T1048" s="190"/>
      <c r="U1048" s="22"/>
      <c r="V1048" s="233"/>
      <c r="W1048" s="239"/>
      <c r="X1048" s="403"/>
      <c r="Y1048" s="321"/>
      <c r="Z1048" s="261"/>
    </row>
    <row r="1049" spans="1:26" ht="19.5" hidden="1" thickBot="1" x14ac:dyDescent="0.35">
      <c r="A1049" s="47">
        <f>IF(B1049="","",SUBTOTAL(3,$B$3:B1049)-1)</f>
        <v>8</v>
      </c>
      <c r="B1049" s="270" t="s">
        <v>356</v>
      </c>
      <c r="C1049" s="270" t="s">
        <v>74</v>
      </c>
      <c r="D1049" s="284"/>
      <c r="E1049" s="46">
        <f>($AA$2-O1049)*$AB$2+Q1049</f>
        <v>0</v>
      </c>
      <c r="F1049" s="313">
        <v>12</v>
      </c>
      <c r="G1049" s="175" t="s">
        <v>660</v>
      </c>
      <c r="H1049" s="405"/>
      <c r="I1049" s="185"/>
      <c r="J1049" s="67"/>
      <c r="K1049" s="194"/>
      <c r="L1049" s="67"/>
      <c r="M1049" s="67"/>
      <c r="N1049" s="67"/>
      <c r="O1049" s="73"/>
      <c r="P1049" s="237"/>
      <c r="Q1049" s="255"/>
      <c r="R1049" s="175" t="s">
        <v>0</v>
      </c>
      <c r="S1049" s="411"/>
      <c r="T1049" s="190"/>
      <c r="U1049" s="22"/>
      <c r="V1049" s="233"/>
      <c r="W1049" s="239"/>
      <c r="X1049" s="403"/>
      <c r="Y1049" s="324"/>
      <c r="Z1049" s="262"/>
    </row>
    <row r="1050" spans="1:26" ht="19.5" hidden="1" thickBot="1" x14ac:dyDescent="0.35">
      <c r="A1050" s="47">
        <f>IF(B1050="","",SUBTOTAL(3,$B$3:B1050)-1)</f>
        <v>8</v>
      </c>
      <c r="B1050" s="329" t="s">
        <v>681</v>
      </c>
      <c r="C1050" s="267" t="s">
        <v>74</v>
      </c>
      <c r="D1050" s="293"/>
      <c r="E1050" s="46">
        <f>($AA$2-O1050)*$AB$2+Q1050</f>
        <v>0</v>
      </c>
      <c r="F1050" s="312">
        <v>11</v>
      </c>
      <c r="G1050" s="175"/>
      <c r="H1050" s="405" t="s">
        <v>635</v>
      </c>
      <c r="I1050" s="185"/>
      <c r="J1050" s="67"/>
      <c r="K1050" s="194"/>
      <c r="L1050" s="67"/>
      <c r="M1050" s="67"/>
      <c r="N1050" s="67"/>
      <c r="O1050" s="73"/>
      <c r="P1050" s="237"/>
      <c r="Q1050" s="255"/>
      <c r="R1050" s="175"/>
      <c r="S1050" s="411" t="s">
        <v>2</v>
      </c>
      <c r="T1050" s="190"/>
      <c r="U1050" s="22"/>
      <c r="V1050" s="233"/>
      <c r="W1050" s="239"/>
      <c r="X1050" s="403"/>
      <c r="Y1050" s="321"/>
      <c r="Z1050" s="261"/>
    </row>
    <row r="1051" spans="1:26" ht="19.5" hidden="1" thickBot="1" x14ac:dyDescent="0.35">
      <c r="A1051" s="47">
        <f>IF(B1051="","",SUBTOTAL(3,$B$3:B1051)-1)</f>
        <v>8</v>
      </c>
      <c r="B1051" s="281" t="s">
        <v>284</v>
      </c>
      <c r="C1051" s="353" t="s">
        <v>74</v>
      </c>
      <c r="D1051" s="281"/>
      <c r="E1051" s="46">
        <f>($AA$2-O1051)*$AB$2+Q1051</f>
        <v>0</v>
      </c>
      <c r="F1051" s="313" t="s">
        <v>1213</v>
      </c>
      <c r="G1051" s="175"/>
      <c r="H1051" s="405"/>
      <c r="I1051" s="185"/>
      <c r="J1051" s="67"/>
      <c r="K1051" s="194"/>
      <c r="L1051" s="67"/>
      <c r="M1051" s="67"/>
      <c r="N1051" s="67"/>
      <c r="O1051" s="73"/>
      <c r="P1051" s="237"/>
      <c r="Q1051" s="255"/>
      <c r="R1051" s="175"/>
      <c r="S1051" s="411"/>
      <c r="T1051" s="190"/>
      <c r="U1051" s="22"/>
      <c r="V1051" s="233"/>
      <c r="W1051" s="239"/>
      <c r="X1051" s="403"/>
      <c r="Y1051" s="324"/>
      <c r="Z1051" s="262"/>
    </row>
    <row r="1052" spans="1:26" ht="19.5" hidden="1" thickBot="1" x14ac:dyDescent="0.35">
      <c r="A1052" s="47">
        <f>IF(B1052="","",SUBTOTAL(3,$B$3:B1052)-1)</f>
        <v>8</v>
      </c>
      <c r="B1052" s="267" t="s">
        <v>361</v>
      </c>
      <c r="C1052" s="267" t="s">
        <v>74</v>
      </c>
      <c r="D1052" s="267"/>
      <c r="E1052" s="46">
        <f>($AA$2-O1052)*$AB$2+Q1052</f>
        <v>0</v>
      </c>
      <c r="F1052" s="312">
        <v>12</v>
      </c>
      <c r="G1052" s="175"/>
      <c r="H1052" s="405"/>
      <c r="I1052" s="185"/>
      <c r="J1052" s="67"/>
      <c r="K1052" s="194"/>
      <c r="L1052" s="67"/>
      <c r="M1052" s="67"/>
      <c r="N1052" s="67"/>
      <c r="O1052" s="73"/>
      <c r="P1052" s="237"/>
      <c r="Q1052" s="255"/>
      <c r="R1052" s="175" t="s">
        <v>415</v>
      </c>
      <c r="S1052" s="411"/>
      <c r="T1052" s="190"/>
      <c r="U1052" s="22"/>
      <c r="V1052" s="233"/>
      <c r="W1052" s="239"/>
      <c r="X1052" s="403"/>
      <c r="Y1052" s="321"/>
      <c r="Z1052" s="261"/>
    </row>
    <row r="1053" spans="1:26" ht="19.5" hidden="1" thickBot="1" x14ac:dyDescent="0.35">
      <c r="A1053" s="47">
        <f>IF(B1053="","",SUBTOTAL(3,$B$3:B1053)-1)</f>
        <v>8</v>
      </c>
      <c r="B1053" s="266" t="s">
        <v>1191</v>
      </c>
      <c r="C1053" s="266" t="s">
        <v>74</v>
      </c>
      <c r="D1053" s="295"/>
      <c r="E1053" s="46"/>
      <c r="F1053" s="312">
        <v>8</v>
      </c>
      <c r="G1053" s="176"/>
      <c r="H1053" s="405"/>
      <c r="I1053" s="185"/>
      <c r="J1053" s="67"/>
      <c r="K1053" s="194"/>
      <c r="L1053" s="67"/>
      <c r="M1053" s="67"/>
      <c r="N1053" s="67"/>
      <c r="O1053" s="73"/>
      <c r="P1053" s="237"/>
      <c r="Q1053" s="255"/>
      <c r="R1053" s="175"/>
      <c r="S1053" s="411"/>
      <c r="T1053" s="190"/>
      <c r="U1053" s="22"/>
      <c r="V1053" s="233"/>
      <c r="W1053" s="239"/>
      <c r="X1053" s="403"/>
      <c r="Y1053" s="321"/>
      <c r="Z1053" s="261"/>
    </row>
    <row r="1054" spans="1:26" ht="19.5" hidden="1" thickBot="1" x14ac:dyDescent="0.35">
      <c r="A1054" s="47">
        <f>IF(B1054="","",SUBTOTAL(3,$B$3:B1054)-1)</f>
        <v>8</v>
      </c>
      <c r="B1054" s="284" t="s">
        <v>628</v>
      </c>
      <c r="C1054" s="284" t="s">
        <v>74</v>
      </c>
      <c r="D1054" s="284"/>
      <c r="E1054" s="46">
        <f>($AA$2-O1054)*$AB$2+Q1054</f>
        <v>0</v>
      </c>
      <c r="F1054" s="313">
        <v>8</v>
      </c>
      <c r="G1054" s="175"/>
      <c r="H1054" s="405"/>
      <c r="I1054" s="185"/>
      <c r="J1054" s="67"/>
      <c r="K1054" s="194"/>
      <c r="L1054" s="67"/>
      <c r="M1054" s="67"/>
      <c r="N1054" s="67"/>
      <c r="O1054" s="73"/>
      <c r="P1054" s="237"/>
      <c r="Q1054" s="255"/>
      <c r="R1054" s="175"/>
      <c r="S1054" s="411"/>
      <c r="T1054" s="190"/>
      <c r="U1054" s="22"/>
      <c r="V1054" s="233"/>
      <c r="W1054" s="239"/>
      <c r="X1054" s="403"/>
      <c r="Y1054" s="324"/>
      <c r="Z1054" s="262"/>
    </row>
    <row r="1055" spans="1:26" ht="19.5" hidden="1" thickBot="1" x14ac:dyDescent="0.35">
      <c r="A1055" s="47">
        <f>IF(B1055="","",SUBTOTAL(3,$B$3:B1055)-1)</f>
        <v>8</v>
      </c>
      <c r="B1055" s="285" t="s">
        <v>593</v>
      </c>
      <c r="C1055" s="285" t="s">
        <v>74</v>
      </c>
      <c r="D1055" s="293"/>
      <c r="E1055" s="46">
        <f>($AA$2-O1055)*$AB$2+Q1055</f>
        <v>0</v>
      </c>
      <c r="F1055" s="312">
        <v>9</v>
      </c>
      <c r="G1055" s="175" t="s">
        <v>415</v>
      </c>
      <c r="H1055" s="409"/>
      <c r="I1055" s="187" t="s">
        <v>634</v>
      </c>
      <c r="J1055" s="67"/>
      <c r="K1055" s="194"/>
      <c r="L1055" s="180"/>
      <c r="M1055" s="180"/>
      <c r="N1055" s="180"/>
      <c r="O1055" s="181"/>
      <c r="P1055" s="237"/>
      <c r="Q1055" s="255"/>
      <c r="R1055" s="175" t="s">
        <v>2</v>
      </c>
      <c r="S1055" s="411"/>
      <c r="T1055" s="190" t="s">
        <v>0</v>
      </c>
      <c r="U1055" s="22"/>
      <c r="V1055" s="233"/>
      <c r="W1055" s="239"/>
      <c r="X1055" s="403"/>
      <c r="Y1055" s="321"/>
      <c r="Z1055" s="261"/>
    </row>
    <row r="1056" spans="1:26" ht="19.5" hidden="1" thickBot="1" x14ac:dyDescent="0.35">
      <c r="A1056" s="47">
        <f>IF(B1056="","",SUBTOTAL(3,$B$3:B1056)-1)</f>
        <v>8</v>
      </c>
      <c r="B1056" s="270" t="s">
        <v>226</v>
      </c>
      <c r="C1056" s="270" t="s">
        <v>74</v>
      </c>
      <c r="D1056" s="296"/>
      <c r="E1056" s="46">
        <f>($AA$2-O1056)*$AB$2+Q1056</f>
        <v>0</v>
      </c>
      <c r="F1056" s="313">
        <v>9</v>
      </c>
      <c r="G1056" s="175" t="s">
        <v>415</v>
      </c>
      <c r="H1056" s="409" t="s">
        <v>696</v>
      </c>
      <c r="I1056" s="187"/>
      <c r="J1056" s="67"/>
      <c r="K1056" s="194"/>
      <c r="L1056" s="180"/>
      <c r="M1056" s="180"/>
      <c r="N1056" s="180"/>
      <c r="O1056" s="181"/>
      <c r="P1056" s="237"/>
      <c r="Q1056" s="255"/>
      <c r="R1056" s="175" t="s">
        <v>1</v>
      </c>
      <c r="S1056" s="411" t="s">
        <v>661</v>
      </c>
      <c r="T1056" s="190" t="s">
        <v>2</v>
      </c>
      <c r="U1056" s="22"/>
      <c r="V1056" s="233"/>
      <c r="W1056" s="239"/>
      <c r="X1056" s="403"/>
      <c r="Y1056" s="324"/>
      <c r="Z1056" s="262"/>
    </row>
    <row r="1057" spans="1:26" ht="19.5" hidden="1" thickBot="1" x14ac:dyDescent="0.35">
      <c r="A1057" s="47">
        <f>IF(B1057="","",SUBTOTAL(3,$B$3:B1057)-1)</f>
        <v>8</v>
      </c>
      <c r="B1057" s="340" t="s">
        <v>359</v>
      </c>
      <c r="C1057" s="340" t="s">
        <v>74</v>
      </c>
      <c r="D1057" s="340">
        <v>339926912</v>
      </c>
      <c r="E1057" s="46" t="s">
        <v>1214</v>
      </c>
      <c r="F1057" s="315">
        <v>9</v>
      </c>
      <c r="G1057" s="175" t="s">
        <v>415</v>
      </c>
      <c r="H1057" s="405"/>
      <c r="I1057" s="185"/>
      <c r="J1057" s="71"/>
      <c r="K1057" s="194"/>
      <c r="L1057" s="67"/>
      <c r="M1057" s="67"/>
      <c r="N1057" s="67"/>
      <c r="O1057" s="73"/>
      <c r="P1057" s="237"/>
      <c r="Q1057" s="255"/>
      <c r="R1057" s="175" t="s">
        <v>661</v>
      </c>
      <c r="S1057" s="411"/>
      <c r="T1057" s="190"/>
      <c r="U1057" s="22"/>
      <c r="V1057" s="233"/>
      <c r="W1057" s="239"/>
      <c r="X1057" s="403"/>
      <c r="Y1057" s="340" t="s">
        <v>1046</v>
      </c>
      <c r="Z1057" s="261"/>
    </row>
    <row r="1058" spans="1:26" ht="19.5" hidden="1" thickBot="1" x14ac:dyDescent="0.35">
      <c r="A1058" s="47">
        <f>IF(B1058="","",SUBTOTAL(3,$B$3:B1058)-1)</f>
        <v>8</v>
      </c>
      <c r="B1058" s="279" t="s">
        <v>1303</v>
      </c>
      <c r="C1058" s="279" t="s">
        <v>74</v>
      </c>
      <c r="D1058" s="279">
        <v>375020296</v>
      </c>
      <c r="E1058" s="46" t="s">
        <v>1214</v>
      </c>
      <c r="F1058" s="315">
        <v>9</v>
      </c>
      <c r="G1058" s="175" t="s">
        <v>415</v>
      </c>
      <c r="H1058" s="405"/>
      <c r="I1058" s="185"/>
      <c r="J1058" s="71"/>
      <c r="K1058" s="194"/>
      <c r="L1058" s="67"/>
      <c r="M1058" s="67"/>
      <c r="N1058" s="67"/>
      <c r="O1058" s="73"/>
      <c r="P1058" s="237"/>
      <c r="Q1058" s="255"/>
      <c r="R1058" s="175" t="s">
        <v>661</v>
      </c>
      <c r="S1058" s="411"/>
      <c r="T1058" s="190"/>
      <c r="U1058" s="22"/>
      <c r="V1058" s="233"/>
      <c r="W1058" s="239"/>
      <c r="X1058" s="403"/>
      <c r="Y1058" s="279" t="s">
        <v>1046</v>
      </c>
      <c r="Z1058" s="262"/>
    </row>
    <row r="1059" spans="1:26" ht="19.5" hidden="1" thickBot="1" x14ac:dyDescent="0.35">
      <c r="A1059" s="47">
        <f>IF(B1059="","",SUBTOTAL(3,$B$3:B1059)-1)</f>
        <v>8</v>
      </c>
      <c r="B1059" s="285" t="s">
        <v>873</v>
      </c>
      <c r="C1059" s="285" t="s">
        <v>134</v>
      </c>
      <c r="D1059" s="293"/>
      <c r="E1059" s="46"/>
      <c r="F1059" s="312">
        <v>5</v>
      </c>
      <c r="G1059" s="176" t="s">
        <v>660</v>
      </c>
      <c r="H1059" s="408" t="s">
        <v>634</v>
      </c>
      <c r="I1059" s="186"/>
      <c r="J1059" s="68"/>
      <c r="K1059" s="195"/>
      <c r="L1059" s="180"/>
      <c r="M1059" s="180"/>
      <c r="N1059" s="180"/>
      <c r="O1059" s="181"/>
      <c r="P1059" s="237"/>
      <c r="Q1059" s="255"/>
      <c r="R1059" s="175" t="s">
        <v>1</v>
      </c>
      <c r="S1059" s="411"/>
      <c r="T1059" s="190"/>
      <c r="U1059" s="22"/>
      <c r="V1059" s="233"/>
      <c r="W1059" s="239"/>
      <c r="X1059" s="403"/>
      <c r="Y1059" s="321"/>
      <c r="Z1059" s="261"/>
    </row>
    <row r="1060" spans="1:26" ht="19.5" hidden="1" thickBot="1" x14ac:dyDescent="0.35">
      <c r="A1060" s="47">
        <f>IF(B1060="","",SUBTOTAL(3,$B$3:B1060)-1)</f>
        <v>8</v>
      </c>
      <c r="B1060" s="284" t="s">
        <v>152</v>
      </c>
      <c r="C1060" s="284" t="s">
        <v>134</v>
      </c>
      <c r="D1060" s="296"/>
      <c r="E1060" s="46">
        <f>($AA$2-O1060)*$AB$2+Q1060</f>
        <v>0</v>
      </c>
      <c r="F1060" s="370">
        <v>6</v>
      </c>
      <c r="G1060" s="175" t="s">
        <v>660</v>
      </c>
      <c r="H1060" s="405"/>
      <c r="I1060" s="185"/>
      <c r="J1060" s="67"/>
      <c r="K1060" s="194"/>
      <c r="L1060" s="67"/>
      <c r="M1060" s="67"/>
      <c r="N1060" s="67"/>
      <c r="O1060" s="73"/>
      <c r="P1060" s="237"/>
      <c r="Q1060" s="255"/>
      <c r="R1060" s="175" t="s">
        <v>1</v>
      </c>
      <c r="S1060" s="411"/>
      <c r="T1060" s="190"/>
      <c r="U1060" s="22"/>
      <c r="V1060" s="233"/>
      <c r="W1060" s="239"/>
      <c r="X1060" s="403"/>
      <c r="Y1060" s="324"/>
      <c r="Z1060" s="262"/>
    </row>
    <row r="1061" spans="1:26" ht="19.5" hidden="1" thickBot="1" x14ac:dyDescent="0.35">
      <c r="A1061" s="47">
        <f>IF(B1061="","",SUBTOTAL(3,$B$3:B1061)-1)</f>
        <v>8</v>
      </c>
      <c r="B1061" s="333" t="s">
        <v>152</v>
      </c>
      <c r="C1061" s="333" t="s">
        <v>134</v>
      </c>
      <c r="D1061" s="313">
        <v>862327215</v>
      </c>
      <c r="E1061" s="46" t="s">
        <v>1214</v>
      </c>
      <c r="F1061" s="312">
        <v>6</v>
      </c>
      <c r="G1061" s="175" t="s">
        <v>1332</v>
      </c>
      <c r="H1061" s="405"/>
      <c r="I1061" s="185"/>
      <c r="J1061" s="71"/>
      <c r="K1061" s="194"/>
      <c r="L1061" s="67"/>
      <c r="M1061" s="67"/>
      <c r="N1061" s="67"/>
      <c r="O1061" s="73"/>
      <c r="P1061" s="237"/>
      <c r="Q1061" s="255"/>
      <c r="R1061" s="175" t="s">
        <v>1</v>
      </c>
      <c r="S1061" s="408">
        <v>6</v>
      </c>
      <c r="T1061" s="190"/>
      <c r="U1061" s="22"/>
      <c r="V1061" s="233"/>
      <c r="W1061" s="239"/>
      <c r="X1061" s="403"/>
      <c r="Y1061" s="321"/>
      <c r="Z1061" s="261"/>
    </row>
    <row r="1062" spans="1:26" ht="19.5" hidden="1" thickBot="1" x14ac:dyDescent="0.35">
      <c r="A1062" s="47">
        <f>IF(B1062="","",SUBTOTAL(3,$B$3:B1062)-1)</f>
        <v>8</v>
      </c>
      <c r="B1062" s="385" t="s">
        <v>1360</v>
      </c>
      <c r="C1062" s="385" t="s">
        <v>134</v>
      </c>
      <c r="D1062" s="385">
        <v>345292915</v>
      </c>
      <c r="E1062" s="46" t="s">
        <v>1356</v>
      </c>
      <c r="F1062" s="386">
        <v>6</v>
      </c>
      <c r="G1062" s="175" t="s">
        <v>1332</v>
      </c>
      <c r="H1062" s="405"/>
      <c r="I1062" s="185"/>
      <c r="J1062" s="71"/>
      <c r="K1062" s="194"/>
      <c r="L1062" s="67"/>
      <c r="M1062" s="67"/>
      <c r="N1062" s="67"/>
      <c r="O1062" s="73"/>
      <c r="P1062" s="237"/>
      <c r="Q1062" s="255"/>
      <c r="R1062" s="175" t="s">
        <v>2</v>
      </c>
      <c r="S1062" s="411"/>
      <c r="T1062" s="190"/>
      <c r="U1062" s="22"/>
      <c r="V1062" s="233"/>
      <c r="W1062" s="239"/>
      <c r="X1062" s="403"/>
      <c r="Y1062" s="385" t="s">
        <v>1376</v>
      </c>
      <c r="Z1062" s="262"/>
    </row>
    <row r="1063" spans="1:26" ht="19.5" hidden="1" thickBot="1" x14ac:dyDescent="0.35">
      <c r="A1063" s="47">
        <f>IF(B1063="","",SUBTOTAL(3,$B$3:B1063)-1)</f>
        <v>8</v>
      </c>
      <c r="B1063" s="329" t="s">
        <v>917</v>
      </c>
      <c r="C1063" s="267" t="s">
        <v>134</v>
      </c>
      <c r="D1063" s="293"/>
      <c r="E1063" s="46"/>
      <c r="F1063" s="370">
        <v>7</v>
      </c>
      <c r="G1063" s="176" t="s">
        <v>415</v>
      </c>
      <c r="H1063" s="406"/>
      <c r="I1063" s="185"/>
      <c r="J1063" s="67"/>
      <c r="K1063" s="194"/>
      <c r="L1063" s="180"/>
      <c r="M1063" s="180"/>
      <c r="N1063" s="180"/>
      <c r="O1063" s="181"/>
      <c r="P1063" s="237"/>
      <c r="Q1063" s="255"/>
      <c r="R1063" s="175" t="s">
        <v>2</v>
      </c>
      <c r="S1063" s="411"/>
      <c r="T1063" s="190"/>
      <c r="U1063" s="22"/>
      <c r="V1063" s="233"/>
      <c r="W1063" s="239"/>
      <c r="X1063" s="403"/>
      <c r="Y1063" s="321"/>
      <c r="Z1063" s="261"/>
    </row>
    <row r="1064" spans="1:26" ht="19.5" hidden="1" thickBot="1" x14ac:dyDescent="0.35">
      <c r="A1064" s="47">
        <f>IF(B1064="","",SUBTOTAL(3,$B$3:B1064)-1)</f>
        <v>8</v>
      </c>
      <c r="B1064" s="337" t="s">
        <v>159</v>
      </c>
      <c r="C1064" s="270" t="s">
        <v>134</v>
      </c>
      <c r="D1064" s="296"/>
      <c r="E1064" s="46"/>
      <c r="F1064" s="370">
        <v>7</v>
      </c>
      <c r="G1064" s="176"/>
      <c r="H1064" s="406" t="s">
        <v>696</v>
      </c>
      <c r="I1064" s="185"/>
      <c r="J1064" s="67"/>
      <c r="K1064" s="194"/>
      <c r="L1064" s="180"/>
      <c r="M1064" s="180"/>
      <c r="N1064" s="180"/>
      <c r="O1064" s="181"/>
      <c r="P1064" s="237"/>
      <c r="Q1064" s="255"/>
      <c r="R1064" s="175"/>
      <c r="S1064" s="411" t="s">
        <v>0</v>
      </c>
      <c r="T1064" s="190"/>
      <c r="U1064" s="22"/>
      <c r="V1064" s="233"/>
      <c r="W1064" s="239"/>
      <c r="X1064" s="403"/>
      <c r="Y1064" s="324"/>
      <c r="Z1064" s="262"/>
    </row>
    <row r="1065" spans="1:26" ht="19.5" hidden="1" thickBot="1" x14ac:dyDescent="0.35">
      <c r="A1065" s="47">
        <f>IF(B1065="","",SUBTOTAL(3,$B$3:B1065)-1)</f>
        <v>8</v>
      </c>
      <c r="B1065" s="267" t="s">
        <v>1084</v>
      </c>
      <c r="C1065" s="267" t="s">
        <v>134</v>
      </c>
      <c r="D1065" s="293"/>
      <c r="E1065" s="46"/>
      <c r="F1065" s="370">
        <v>7</v>
      </c>
      <c r="G1065" s="175" t="s">
        <v>415</v>
      </c>
      <c r="H1065" s="405"/>
      <c r="I1065" s="185"/>
      <c r="J1065" s="67"/>
      <c r="K1065" s="194"/>
      <c r="L1065" s="180"/>
      <c r="M1065" s="180"/>
      <c r="N1065" s="180"/>
      <c r="O1065" s="181"/>
      <c r="P1065" s="237"/>
      <c r="Q1065" s="255"/>
      <c r="R1065" s="175" t="s">
        <v>1</v>
      </c>
      <c r="S1065" s="411"/>
      <c r="T1065" s="190"/>
      <c r="U1065" s="22"/>
      <c r="V1065" s="233"/>
      <c r="W1065" s="239"/>
      <c r="X1065" s="403"/>
      <c r="Y1065" s="321"/>
      <c r="Z1065" s="261"/>
    </row>
    <row r="1066" spans="1:26" ht="19.5" hidden="1" thickBot="1" x14ac:dyDescent="0.35">
      <c r="A1066" s="47">
        <f>IF(B1066="","",SUBTOTAL(3,$B$3:B1066)-1)</f>
        <v>8</v>
      </c>
      <c r="B1066" s="270" t="s">
        <v>917</v>
      </c>
      <c r="C1066" s="356" t="s">
        <v>134</v>
      </c>
      <c r="D1066" s="270">
        <v>328756338</v>
      </c>
      <c r="E1066" s="46">
        <f>($AA$2-O1066)*$AB$2+Q1066</f>
        <v>0</v>
      </c>
      <c r="F1066" s="312">
        <v>11</v>
      </c>
      <c r="G1066" s="175"/>
      <c r="H1066" s="405"/>
      <c r="I1066" s="187"/>
      <c r="J1066" s="67"/>
      <c r="K1066" s="194"/>
      <c r="L1066" s="180"/>
      <c r="M1066" s="180"/>
      <c r="N1066" s="180"/>
      <c r="O1066" s="181"/>
      <c r="P1066" s="237"/>
      <c r="Q1066" s="255"/>
      <c r="R1066" s="175"/>
      <c r="S1066" s="411" t="s">
        <v>1</v>
      </c>
      <c r="T1066" s="190"/>
      <c r="U1066" s="22"/>
      <c r="V1066" s="233"/>
      <c r="W1066" s="239"/>
      <c r="X1066" s="403"/>
      <c r="Y1066" s="324"/>
      <c r="Z1066" s="262"/>
    </row>
    <row r="1067" spans="1:26" ht="19.5" hidden="1" thickBot="1" x14ac:dyDescent="0.35">
      <c r="A1067" s="47">
        <f>IF(B1067="","",SUBTOTAL(3,$B$3:B1067)-1)</f>
        <v>8</v>
      </c>
      <c r="B1067" s="329" t="s">
        <v>680</v>
      </c>
      <c r="C1067" s="267" t="s">
        <v>134</v>
      </c>
      <c r="D1067" s="293"/>
      <c r="E1067" s="46">
        <f>($AA$2-O1067)*$AB$2+Q1067</f>
        <v>0</v>
      </c>
      <c r="F1067" s="312">
        <v>11</v>
      </c>
      <c r="G1067" s="175"/>
      <c r="H1067" s="405" t="s">
        <v>635</v>
      </c>
      <c r="I1067" s="185" t="s">
        <v>634</v>
      </c>
      <c r="J1067" s="67"/>
      <c r="K1067" s="194"/>
      <c r="L1067" s="67"/>
      <c r="M1067" s="67"/>
      <c r="N1067" s="67"/>
      <c r="O1067" s="73"/>
      <c r="P1067" s="237"/>
      <c r="Q1067" s="255"/>
      <c r="R1067" s="175"/>
      <c r="S1067" s="411" t="s">
        <v>2</v>
      </c>
      <c r="T1067" s="190" t="s">
        <v>661</v>
      </c>
      <c r="U1067" s="22"/>
      <c r="V1067" s="233"/>
      <c r="W1067" s="239"/>
      <c r="X1067" s="403"/>
      <c r="Y1067" s="321"/>
      <c r="Z1067" s="261"/>
    </row>
    <row r="1068" spans="1:26" ht="19.5" hidden="1" thickBot="1" x14ac:dyDescent="0.35">
      <c r="A1068" s="47">
        <f>IF(B1068="","",SUBTOTAL(3,$B$3:B1068)-1)</f>
        <v>8</v>
      </c>
      <c r="B1068" s="281" t="s">
        <v>1078</v>
      </c>
      <c r="C1068" s="348" t="s">
        <v>134</v>
      </c>
      <c r="D1068" s="296"/>
      <c r="E1068" s="46">
        <f>($AA$2-O1068)*$AB$2+Q1068</f>
        <v>0</v>
      </c>
      <c r="F1068" s="312" t="s">
        <v>1213</v>
      </c>
      <c r="G1068" s="175" t="s">
        <v>660</v>
      </c>
      <c r="H1068" s="405"/>
      <c r="I1068" s="185"/>
      <c r="J1068" s="67"/>
      <c r="K1068" s="194"/>
      <c r="L1068" s="67"/>
      <c r="M1068" s="67"/>
      <c r="N1068" s="67"/>
      <c r="O1068" s="73"/>
      <c r="P1068" s="237"/>
      <c r="Q1068" s="255"/>
      <c r="R1068" s="175" t="s">
        <v>1</v>
      </c>
      <c r="S1068" s="411"/>
      <c r="T1068" s="190"/>
      <c r="U1068" s="22"/>
      <c r="V1068" s="233"/>
      <c r="W1068" s="239"/>
      <c r="X1068" s="403"/>
      <c r="Y1068" s="324"/>
      <c r="Z1068" s="262"/>
    </row>
    <row r="1069" spans="1:26" ht="19.5" hidden="1" thickBot="1" x14ac:dyDescent="0.35">
      <c r="A1069" s="47">
        <f>IF(B1069="","",SUBTOTAL(3,$B$3:B1069)-1)</f>
        <v>8</v>
      </c>
      <c r="B1069" s="261" t="s">
        <v>1221</v>
      </c>
      <c r="C1069" s="261" t="s">
        <v>1222</v>
      </c>
      <c r="D1069" s="261">
        <v>783970215</v>
      </c>
      <c r="E1069" s="46" t="s">
        <v>1214</v>
      </c>
      <c r="F1069" s="360">
        <v>1</v>
      </c>
      <c r="G1069" s="175"/>
      <c r="H1069" s="405" t="s">
        <v>634</v>
      </c>
      <c r="I1069" s="185"/>
      <c r="J1069" s="71"/>
      <c r="K1069" s="194"/>
      <c r="L1069" s="67"/>
      <c r="M1069" s="67"/>
      <c r="N1069" s="67"/>
      <c r="O1069" s="73"/>
      <c r="P1069" s="237"/>
      <c r="Q1069" s="255"/>
      <c r="R1069" s="175"/>
      <c r="S1069" s="411"/>
      <c r="T1069" s="190" t="s">
        <v>0</v>
      </c>
      <c r="U1069" s="22"/>
      <c r="V1069" s="233"/>
      <c r="W1069" s="239"/>
      <c r="X1069" s="403"/>
      <c r="Y1069" s="261">
        <v>1</v>
      </c>
      <c r="Z1069" s="261"/>
    </row>
    <row r="1070" spans="1:26" ht="19.5" hidden="1" thickBot="1" x14ac:dyDescent="0.35">
      <c r="A1070" s="47">
        <f>IF(B1070="","",SUBTOTAL(3,$B$3:B1070)-1)</f>
        <v>8</v>
      </c>
      <c r="B1070" s="270" t="s">
        <v>902</v>
      </c>
      <c r="C1070" s="270" t="s">
        <v>33</v>
      </c>
      <c r="D1070" s="296"/>
      <c r="E1070" s="46"/>
      <c r="F1070" s="312">
        <v>2</v>
      </c>
      <c r="G1070" s="175"/>
      <c r="H1070" s="406" t="s">
        <v>634</v>
      </c>
      <c r="I1070" s="185" t="s">
        <v>634</v>
      </c>
      <c r="J1070" s="67"/>
      <c r="K1070" s="194"/>
      <c r="L1070" s="67"/>
      <c r="M1070" s="67"/>
      <c r="N1070" s="67"/>
      <c r="O1070" s="73"/>
      <c r="P1070" s="237"/>
      <c r="Q1070" s="255"/>
      <c r="R1070" s="175"/>
      <c r="S1070" s="411"/>
      <c r="T1070" s="190" t="s">
        <v>0</v>
      </c>
      <c r="U1070" s="22"/>
      <c r="V1070" s="233"/>
      <c r="W1070" s="239"/>
      <c r="X1070" s="403"/>
      <c r="Y1070" s="324"/>
      <c r="Z1070" s="262"/>
    </row>
    <row r="1071" spans="1:26" ht="19.5" hidden="1" thickBot="1" x14ac:dyDescent="0.35">
      <c r="A1071" s="47">
        <f>IF(B1071="","",SUBTOTAL(3,$B$3:B1071)-1)</f>
        <v>8</v>
      </c>
      <c r="B1071" s="266" t="s">
        <v>484</v>
      </c>
      <c r="C1071" s="266" t="s">
        <v>33</v>
      </c>
      <c r="D1071" s="293"/>
      <c r="E1071" s="46"/>
      <c r="F1071" s="370">
        <v>7</v>
      </c>
      <c r="G1071" s="175" t="s">
        <v>415</v>
      </c>
      <c r="H1071" s="408"/>
      <c r="I1071" s="186"/>
      <c r="J1071" s="68"/>
      <c r="K1071" s="195"/>
      <c r="L1071" s="68"/>
      <c r="M1071" s="68"/>
      <c r="N1071" s="68"/>
      <c r="O1071" s="73"/>
      <c r="P1071" s="237" t="s">
        <v>1</v>
      </c>
      <c r="Q1071" s="255"/>
      <c r="R1071" s="175" t="s">
        <v>848</v>
      </c>
      <c r="S1071" s="411"/>
      <c r="T1071" s="190"/>
      <c r="U1071" s="22"/>
      <c r="V1071" s="233"/>
      <c r="W1071" s="239" t="s">
        <v>0</v>
      </c>
      <c r="X1071" s="403"/>
      <c r="Y1071" s="321"/>
      <c r="Z1071" s="261"/>
    </row>
    <row r="1072" spans="1:26" ht="19.5" hidden="1" thickBot="1" x14ac:dyDescent="0.35">
      <c r="A1072" s="47">
        <f>IF(B1072="","",SUBTOTAL(3,$B$3:B1072)-1)</f>
        <v>8</v>
      </c>
      <c r="B1072" s="283" t="s">
        <v>171</v>
      </c>
      <c r="C1072" s="283" t="s">
        <v>33</v>
      </c>
      <c r="D1072" s="283">
        <v>978366026</v>
      </c>
      <c r="E1072" s="46"/>
      <c r="F1072" s="370">
        <v>7</v>
      </c>
      <c r="G1072" s="175" t="s">
        <v>415</v>
      </c>
      <c r="H1072" s="406"/>
      <c r="I1072" s="188"/>
      <c r="J1072" s="142"/>
      <c r="K1072" s="196" t="s">
        <v>721</v>
      </c>
      <c r="L1072" s="67"/>
      <c r="M1072" s="67"/>
      <c r="N1072" s="67"/>
      <c r="O1072" s="73"/>
      <c r="P1072" s="237"/>
      <c r="Q1072" s="255"/>
      <c r="R1072" s="175" t="s">
        <v>0</v>
      </c>
      <c r="S1072" s="411"/>
      <c r="T1072" s="190"/>
      <c r="U1072" s="22"/>
      <c r="V1072" s="233"/>
      <c r="W1072" s="239"/>
      <c r="X1072" s="403"/>
      <c r="Y1072" s="324"/>
      <c r="Z1072" s="262"/>
    </row>
    <row r="1073" spans="1:26" ht="19.5" hidden="1" thickBot="1" x14ac:dyDescent="0.35">
      <c r="A1073" s="47">
        <f>IF(B1073="","",SUBTOTAL(3,$B$3:B1073)-1)</f>
        <v>8</v>
      </c>
      <c r="B1073" s="267" t="s">
        <v>556</v>
      </c>
      <c r="C1073" s="267" t="s">
        <v>33</v>
      </c>
      <c r="D1073" s="293"/>
      <c r="E1073" s="46">
        <f>($AA$2-O1073)*$AB$2+Q1073</f>
        <v>0</v>
      </c>
      <c r="F1073" s="312">
        <v>12</v>
      </c>
      <c r="G1073" s="175" t="s">
        <v>660</v>
      </c>
      <c r="H1073" s="405"/>
      <c r="I1073" s="185"/>
      <c r="J1073" s="67"/>
      <c r="K1073" s="194"/>
      <c r="L1073" s="67"/>
      <c r="M1073" s="67"/>
      <c r="N1073" s="67"/>
      <c r="O1073" s="73"/>
      <c r="P1073" s="237"/>
      <c r="Q1073" s="255"/>
      <c r="R1073" s="175" t="s">
        <v>1</v>
      </c>
      <c r="S1073" s="411"/>
      <c r="T1073" s="190"/>
      <c r="U1073" s="22"/>
      <c r="V1073" s="233"/>
      <c r="W1073" s="239"/>
      <c r="X1073" s="403"/>
      <c r="Y1073" s="321"/>
      <c r="Z1073" s="261"/>
    </row>
    <row r="1074" spans="1:26" ht="19.5" hidden="1" thickBot="1" x14ac:dyDescent="0.35">
      <c r="A1074" s="47">
        <f>IF(B1074="","",SUBTOTAL(3,$B$3:B1074)-1)</f>
        <v>8</v>
      </c>
      <c r="B1074" s="284" t="s">
        <v>588</v>
      </c>
      <c r="C1074" s="284" t="s">
        <v>33</v>
      </c>
      <c r="D1074" s="284"/>
      <c r="E1074" s="46">
        <f>($AA$2-O1074)*$AB$2+Q1074</f>
        <v>0</v>
      </c>
      <c r="F1074" s="312">
        <v>8</v>
      </c>
      <c r="G1074" s="175"/>
      <c r="H1074" s="405"/>
      <c r="I1074" s="185"/>
      <c r="J1074" s="67"/>
      <c r="K1074" s="194"/>
      <c r="L1074" s="180"/>
      <c r="M1074" s="180"/>
      <c r="N1074" s="180"/>
      <c r="O1074" s="181"/>
      <c r="P1074" s="237"/>
      <c r="Q1074" s="255"/>
      <c r="R1074" s="175"/>
      <c r="S1074" s="411"/>
      <c r="T1074" s="190"/>
      <c r="U1074" s="22"/>
      <c r="V1074" s="233"/>
      <c r="W1074" s="239"/>
      <c r="X1074" s="403"/>
      <c r="Y1074" s="324"/>
      <c r="Z1074" s="262"/>
    </row>
    <row r="1075" spans="1:26" ht="19.5" hidden="1" thickBot="1" x14ac:dyDescent="0.35">
      <c r="A1075" s="47">
        <f>IF(B1075="","",SUBTOTAL(3,$B$3:B1075)-1)</f>
        <v>8</v>
      </c>
      <c r="B1075" s="266" t="s">
        <v>443</v>
      </c>
      <c r="C1075" s="266" t="s">
        <v>33</v>
      </c>
      <c r="D1075" s="266">
        <v>987631807</v>
      </c>
      <c r="E1075" s="46">
        <f>($AA$2-O1075)*$AB$2+Q1075</f>
        <v>0</v>
      </c>
      <c r="F1075" s="312">
        <v>8</v>
      </c>
      <c r="G1075" s="175"/>
      <c r="H1075" s="405"/>
      <c r="I1075" s="185"/>
      <c r="J1075" s="67"/>
      <c r="K1075" s="194"/>
      <c r="L1075" s="180"/>
      <c r="M1075" s="180"/>
      <c r="N1075" s="180"/>
      <c r="O1075" s="181"/>
      <c r="P1075" s="237"/>
      <c r="Q1075" s="255"/>
      <c r="R1075" s="175"/>
      <c r="S1075" s="411"/>
      <c r="T1075" s="190"/>
      <c r="U1075" s="22"/>
      <c r="V1075" s="233"/>
      <c r="W1075" s="239"/>
      <c r="X1075" s="403"/>
      <c r="Y1075" s="321"/>
      <c r="Z1075" s="261"/>
    </row>
    <row r="1076" spans="1:26" ht="19.5" hidden="1" thickBot="1" x14ac:dyDescent="0.35">
      <c r="A1076" s="47">
        <f>IF(B1076="","",SUBTOTAL(3,$B$3:B1076)-1)</f>
        <v>8</v>
      </c>
      <c r="B1076" s="344" t="s">
        <v>252</v>
      </c>
      <c r="C1076" s="281" t="s">
        <v>33</v>
      </c>
      <c r="D1076" s="296"/>
      <c r="E1076" s="46"/>
      <c r="F1076" s="312">
        <v>9</v>
      </c>
      <c r="G1076" s="176"/>
      <c r="H1076" s="405"/>
      <c r="I1076" s="185"/>
      <c r="J1076" s="67"/>
      <c r="K1076" s="194"/>
      <c r="L1076" s="180"/>
      <c r="M1076" s="180"/>
      <c r="N1076" s="180"/>
      <c r="O1076" s="181"/>
      <c r="P1076" s="237"/>
      <c r="Q1076" s="255"/>
      <c r="R1076" s="175"/>
      <c r="S1076" s="411"/>
      <c r="T1076" s="190"/>
      <c r="U1076" s="22"/>
      <c r="V1076" s="233"/>
      <c r="W1076" s="239"/>
      <c r="X1076" s="403"/>
      <c r="Y1076" s="324"/>
      <c r="Z1076" s="262"/>
    </row>
    <row r="1077" spans="1:26" ht="19.5" hidden="1" thickBot="1" x14ac:dyDescent="0.35">
      <c r="A1077" s="47">
        <f>IF(B1077="","",SUBTOTAL(3,$B$3:B1077)-1)</f>
        <v>8</v>
      </c>
      <c r="B1077" s="267" t="s">
        <v>80</v>
      </c>
      <c r="C1077" s="267" t="s">
        <v>432</v>
      </c>
      <c r="D1077" s="293"/>
      <c r="E1077" s="46"/>
      <c r="F1077" s="312">
        <v>2</v>
      </c>
      <c r="G1077" s="175"/>
      <c r="H1077" s="406" t="s">
        <v>634</v>
      </c>
      <c r="I1077" s="185" t="s">
        <v>634</v>
      </c>
      <c r="J1077" s="67"/>
      <c r="K1077" s="194"/>
      <c r="L1077" s="67"/>
      <c r="M1077" s="67"/>
      <c r="N1077" s="67"/>
      <c r="O1077" s="73"/>
      <c r="P1077" s="237"/>
      <c r="Q1077" s="255"/>
      <c r="R1077" s="175"/>
      <c r="S1077" s="411"/>
      <c r="T1077" s="190" t="s">
        <v>0</v>
      </c>
      <c r="U1077" s="22"/>
      <c r="V1077" s="233"/>
      <c r="W1077" s="239"/>
      <c r="X1077" s="403"/>
      <c r="Y1077" s="321"/>
      <c r="Z1077" s="261"/>
    </row>
    <row r="1078" spans="1:26" ht="19.5" hidden="1" thickBot="1" x14ac:dyDescent="0.35">
      <c r="A1078" s="47">
        <f>IF(B1078="","",SUBTOTAL(3,$B$3:B1078)-1)</f>
        <v>8</v>
      </c>
      <c r="B1078" s="284" t="s">
        <v>431</v>
      </c>
      <c r="C1078" s="284" t="s">
        <v>432</v>
      </c>
      <c r="D1078" s="284">
        <v>708678032</v>
      </c>
      <c r="E1078" s="46">
        <f>($AA$2-O1078)*$AB$2+Q1078</f>
        <v>0</v>
      </c>
      <c r="F1078" s="312">
        <v>8</v>
      </c>
      <c r="G1078" s="175" t="s">
        <v>415</v>
      </c>
      <c r="H1078" s="405" t="s">
        <v>2</v>
      </c>
      <c r="I1078" s="185"/>
      <c r="J1078" s="67" t="s">
        <v>661</v>
      </c>
      <c r="K1078" s="194"/>
      <c r="L1078" s="180"/>
      <c r="M1078" s="180"/>
      <c r="N1078" s="180"/>
      <c r="O1078" s="181"/>
      <c r="P1078" s="237"/>
      <c r="Q1078" s="255"/>
      <c r="R1078" s="175" t="s">
        <v>848</v>
      </c>
      <c r="S1078" s="411" t="s">
        <v>848</v>
      </c>
      <c r="T1078" s="190"/>
      <c r="U1078" s="22" t="s">
        <v>0</v>
      </c>
      <c r="V1078" s="233"/>
      <c r="W1078" s="239"/>
      <c r="X1078" s="403"/>
      <c r="Y1078" s="324"/>
      <c r="Z1078" s="262"/>
    </row>
    <row r="1079" spans="1:26" ht="19.5" hidden="1" thickBot="1" x14ac:dyDescent="0.35">
      <c r="A1079" s="47">
        <f>IF(B1079="","",SUBTOTAL(3,$B$3:B1079)-1)</f>
        <v>8</v>
      </c>
      <c r="B1079" s="266" t="s">
        <v>1405</v>
      </c>
      <c r="C1079" s="266" t="s">
        <v>467</v>
      </c>
      <c r="D1079" s="293"/>
      <c r="E1079" s="46"/>
      <c r="F1079" s="312">
        <v>5</v>
      </c>
      <c r="G1079" s="175" t="s">
        <v>660</v>
      </c>
      <c r="H1079" s="405"/>
      <c r="I1079" s="185"/>
      <c r="J1079" s="67"/>
      <c r="K1079" s="194"/>
      <c r="L1079" s="180"/>
      <c r="M1079" s="180"/>
      <c r="N1079" s="180"/>
      <c r="O1079" s="181"/>
      <c r="P1079" s="237"/>
      <c r="Q1079" s="255"/>
      <c r="R1079" s="175" t="s">
        <v>0</v>
      </c>
      <c r="S1079" s="411"/>
      <c r="T1079" s="190"/>
      <c r="U1079" s="22"/>
      <c r="V1079" s="233"/>
      <c r="W1079" s="239"/>
      <c r="X1079" s="403"/>
      <c r="Y1079" s="321"/>
      <c r="Z1079" s="261"/>
    </row>
    <row r="1080" spans="1:26" ht="19.5" hidden="1" thickBot="1" x14ac:dyDescent="0.35">
      <c r="A1080" s="47">
        <f>IF(B1080="","",SUBTOTAL(3,$B$3:B1080)-1)</f>
        <v>8</v>
      </c>
      <c r="B1080" s="284" t="s">
        <v>466</v>
      </c>
      <c r="C1080" s="284" t="s">
        <v>467</v>
      </c>
      <c r="D1080" s="296">
        <v>966508789</v>
      </c>
      <c r="E1080" s="46">
        <f>($AA$2-O1080)*$AB$2+Q1080</f>
        <v>0</v>
      </c>
      <c r="F1080" s="312">
        <v>5</v>
      </c>
      <c r="G1080" s="175"/>
      <c r="H1080" s="408"/>
      <c r="I1080" s="186"/>
      <c r="J1080" s="68"/>
      <c r="K1080" s="195"/>
      <c r="L1080" s="68"/>
      <c r="M1080" s="68"/>
      <c r="N1080" s="68"/>
      <c r="O1080" s="73"/>
      <c r="P1080" s="237"/>
      <c r="Q1080" s="255"/>
      <c r="R1080" s="175"/>
      <c r="S1080" s="411"/>
      <c r="T1080" s="190"/>
      <c r="U1080" s="22"/>
      <c r="V1080" s="233"/>
      <c r="W1080" s="239"/>
      <c r="X1080" s="403"/>
      <c r="Y1080" s="324"/>
      <c r="Z1080" s="262"/>
    </row>
    <row r="1081" spans="1:26" ht="19.5" hidden="1" thickBot="1" x14ac:dyDescent="0.35">
      <c r="A1081" s="47">
        <f>IF(B1081="","",SUBTOTAL(3,$B$3:B1081)-1)</f>
        <v>8</v>
      </c>
      <c r="B1081" s="261" t="s">
        <v>466</v>
      </c>
      <c r="C1081" s="261" t="s">
        <v>467</v>
      </c>
      <c r="D1081" s="261">
        <v>966508789</v>
      </c>
      <c r="E1081" s="46" t="s">
        <v>1214</v>
      </c>
      <c r="F1081" s="360">
        <v>5</v>
      </c>
      <c r="G1081" s="175" t="s">
        <v>826</v>
      </c>
      <c r="H1081" s="405"/>
      <c r="I1081" s="185"/>
      <c r="J1081" s="71"/>
      <c r="K1081" s="194"/>
      <c r="L1081" s="67"/>
      <c r="M1081" s="67"/>
      <c r="N1081" s="67"/>
      <c r="O1081" s="73"/>
      <c r="P1081" s="237"/>
      <c r="Q1081" s="255"/>
      <c r="R1081" s="175" t="s">
        <v>2</v>
      </c>
      <c r="S1081" s="411"/>
      <c r="T1081" s="190"/>
      <c r="U1081" s="22"/>
      <c r="V1081" s="233"/>
      <c r="W1081" s="239"/>
      <c r="X1081" s="403"/>
      <c r="Y1081" s="261" t="s">
        <v>1319</v>
      </c>
      <c r="Z1081" s="261"/>
    </row>
    <row r="1082" spans="1:26" ht="19.5" hidden="1" thickBot="1" x14ac:dyDescent="0.35">
      <c r="A1082" s="47">
        <f>IF(B1082="","",SUBTOTAL(3,$B$3:B1082)-1)</f>
        <v>8</v>
      </c>
      <c r="B1082" s="284" t="s">
        <v>266</v>
      </c>
      <c r="C1082" s="284" t="s">
        <v>101</v>
      </c>
      <c r="D1082" s="284">
        <v>386082211</v>
      </c>
      <c r="E1082" s="46"/>
      <c r="F1082" s="370">
        <v>4</v>
      </c>
      <c r="G1082" s="175" t="s">
        <v>660</v>
      </c>
      <c r="H1082" s="406"/>
      <c r="I1082" s="188"/>
      <c r="J1082" s="142"/>
      <c r="K1082" s="196" t="s">
        <v>721</v>
      </c>
      <c r="L1082" s="180"/>
      <c r="M1082" s="180"/>
      <c r="N1082" s="180"/>
      <c r="O1082" s="181"/>
      <c r="P1082" s="237"/>
      <c r="Q1082" s="255"/>
      <c r="R1082" s="175" t="s">
        <v>0</v>
      </c>
      <c r="S1082" s="411"/>
      <c r="T1082" s="190"/>
      <c r="U1082" s="22"/>
      <c r="V1082" s="233"/>
      <c r="W1082" s="239"/>
      <c r="X1082" s="403"/>
      <c r="Y1082" s="324"/>
      <c r="Z1082" s="262"/>
    </row>
    <row r="1083" spans="1:26" ht="19.5" hidden="1" thickBot="1" x14ac:dyDescent="0.35">
      <c r="A1083" s="47">
        <f>IF(B1083="","",SUBTOTAL(3,$B$3:B1083)-1)</f>
        <v>8</v>
      </c>
      <c r="B1083" s="266" t="s">
        <v>898</v>
      </c>
      <c r="C1083" s="266" t="s">
        <v>101</v>
      </c>
      <c r="D1083" s="295">
        <v>368611286</v>
      </c>
      <c r="E1083" s="46">
        <f>($AA$2-O1083)*$AB$2+Q1083</f>
        <v>0</v>
      </c>
      <c r="F1083" s="370">
        <v>6</v>
      </c>
      <c r="G1083" s="176" t="s">
        <v>660</v>
      </c>
      <c r="H1083" s="405"/>
      <c r="I1083" s="185"/>
      <c r="J1083" s="67"/>
      <c r="K1083" s="194"/>
      <c r="L1083" s="67"/>
      <c r="M1083" s="67"/>
      <c r="N1083" s="67"/>
      <c r="O1083" s="73"/>
      <c r="P1083" s="237" t="s">
        <v>1</v>
      </c>
      <c r="Q1083" s="255"/>
      <c r="R1083" s="175" t="s">
        <v>0</v>
      </c>
      <c r="S1083" s="411"/>
      <c r="T1083" s="190"/>
      <c r="U1083" s="22"/>
      <c r="V1083" s="233"/>
      <c r="W1083" s="239"/>
      <c r="X1083" s="403"/>
      <c r="Y1083" s="321"/>
      <c r="Z1083" s="261"/>
    </row>
    <row r="1084" spans="1:26" ht="19.5" hidden="1" thickBot="1" x14ac:dyDescent="0.35">
      <c r="A1084" s="47">
        <f>IF(B1084="","",SUBTOTAL(3,$B$3:B1084)-1)</f>
        <v>8</v>
      </c>
      <c r="B1084" s="394" t="s">
        <v>898</v>
      </c>
      <c r="C1084" s="394" t="s">
        <v>101</v>
      </c>
      <c r="D1084" s="401">
        <v>368611286</v>
      </c>
      <c r="E1084" s="46" t="s">
        <v>1214</v>
      </c>
      <c r="F1084" s="313">
        <v>6</v>
      </c>
      <c r="G1084" s="175" t="s">
        <v>415</v>
      </c>
      <c r="H1084" s="405"/>
      <c r="I1084" s="185"/>
      <c r="J1084" s="71"/>
      <c r="K1084" s="194"/>
      <c r="L1084" s="67"/>
      <c r="M1084" s="67"/>
      <c r="N1084" s="67"/>
      <c r="O1084" s="73"/>
      <c r="P1084" s="237"/>
      <c r="Q1084" s="255"/>
      <c r="R1084" s="175" t="s">
        <v>0</v>
      </c>
      <c r="S1084" s="408" t="s">
        <v>1</v>
      </c>
      <c r="T1084" s="190"/>
      <c r="U1084" s="22"/>
      <c r="V1084" s="233"/>
      <c r="W1084" s="239"/>
      <c r="X1084" s="403"/>
      <c r="Y1084" s="324"/>
      <c r="Z1084" s="262"/>
    </row>
    <row r="1085" spans="1:26" ht="19.5" hidden="1" thickBot="1" x14ac:dyDescent="0.35">
      <c r="A1085" s="47">
        <f>IF(B1085="","",SUBTOTAL(3,$B$3:B1085)-1)</f>
        <v>8</v>
      </c>
      <c r="B1085" s="267" t="s">
        <v>626</v>
      </c>
      <c r="C1085" s="267" t="s">
        <v>101</v>
      </c>
      <c r="D1085" s="293"/>
      <c r="E1085" s="46"/>
      <c r="F1085" s="313">
        <v>10</v>
      </c>
      <c r="G1085" s="175"/>
      <c r="H1085" s="405" t="s">
        <v>660</v>
      </c>
      <c r="I1085" s="187"/>
      <c r="J1085" s="67"/>
      <c r="K1085" s="194"/>
      <c r="L1085" s="67"/>
      <c r="M1085" s="67"/>
      <c r="N1085" s="67"/>
      <c r="O1085" s="73"/>
      <c r="P1085" s="237"/>
      <c r="Q1085" s="255"/>
      <c r="R1085" s="175"/>
      <c r="S1085" s="411" t="s">
        <v>2</v>
      </c>
      <c r="T1085" s="190"/>
      <c r="U1085" s="22"/>
      <c r="V1085" s="233"/>
      <c r="W1085" s="239"/>
      <c r="X1085" s="403"/>
      <c r="Y1085" s="321"/>
      <c r="Z1085" s="261"/>
    </row>
    <row r="1086" spans="1:26" ht="19.5" hidden="1" thickBot="1" x14ac:dyDescent="0.35">
      <c r="A1086" s="47">
        <f>IF(B1086="","",SUBTOTAL(3,$B$3:B1086)-1)</f>
        <v>8</v>
      </c>
      <c r="B1086" s="270" t="s">
        <v>306</v>
      </c>
      <c r="C1086" s="270" t="s">
        <v>101</v>
      </c>
      <c r="D1086" s="281">
        <v>907691215</v>
      </c>
      <c r="E1086" s="46">
        <f>($AA$2-O1086)*$AB$2+Q1086</f>
        <v>0</v>
      </c>
      <c r="F1086" s="313">
        <v>10</v>
      </c>
      <c r="G1086" s="175"/>
      <c r="H1086" s="405"/>
      <c r="I1086" s="185"/>
      <c r="J1086" s="71"/>
      <c r="K1086" s="194"/>
      <c r="L1086" s="67"/>
      <c r="M1086" s="67"/>
      <c r="N1086" s="67"/>
      <c r="O1086" s="73"/>
      <c r="P1086" s="237"/>
      <c r="Q1086" s="255"/>
      <c r="R1086" s="175"/>
      <c r="S1086" s="411"/>
      <c r="T1086" s="190"/>
      <c r="U1086" s="22"/>
      <c r="V1086" s="233"/>
      <c r="W1086" s="239"/>
      <c r="X1086" s="403"/>
      <c r="Y1086" s="324"/>
      <c r="Z1086" s="262"/>
    </row>
    <row r="1087" spans="1:26" ht="19.5" hidden="1" thickBot="1" x14ac:dyDescent="0.35">
      <c r="A1087" s="47">
        <f>IF(B1087="","",SUBTOTAL(3,$B$3:B1087)-1)</f>
        <v>8</v>
      </c>
      <c r="B1087" s="267" t="s">
        <v>600</v>
      </c>
      <c r="C1087" s="267" t="s">
        <v>101</v>
      </c>
      <c r="D1087" s="266"/>
      <c r="E1087" s="46">
        <f>($AA$2-O1087)*$AB$2+Q1087</f>
        <v>0</v>
      </c>
      <c r="F1087" s="313">
        <v>10</v>
      </c>
      <c r="G1087" s="175" t="s">
        <v>415</v>
      </c>
      <c r="H1087" s="405"/>
      <c r="I1087" s="185"/>
      <c r="J1087" s="71"/>
      <c r="K1087" s="194"/>
      <c r="L1087" s="180"/>
      <c r="M1087" s="180"/>
      <c r="N1087" s="180"/>
      <c r="O1087" s="181"/>
      <c r="P1087" s="237"/>
      <c r="Q1087" s="255"/>
      <c r="R1087" s="175" t="s">
        <v>2</v>
      </c>
      <c r="S1087" s="411"/>
      <c r="T1087" s="190"/>
      <c r="U1087" s="22"/>
      <c r="V1087" s="233"/>
      <c r="W1087" s="239"/>
      <c r="X1087" s="403"/>
      <c r="Y1087" s="321"/>
      <c r="Z1087" s="261"/>
    </row>
    <row r="1088" spans="1:26" ht="19.5" hidden="1" thickBot="1" x14ac:dyDescent="0.35">
      <c r="A1088" s="47">
        <f>IF(B1088="","",SUBTOTAL(3,$B$3:B1088)-1)</f>
        <v>8</v>
      </c>
      <c r="B1088" s="270" t="s">
        <v>567</v>
      </c>
      <c r="C1088" s="270" t="s">
        <v>101</v>
      </c>
      <c r="D1088" s="270"/>
      <c r="E1088" s="46">
        <f>($AA$2-O1088)*$AB$2+Q1088</f>
        <v>0</v>
      </c>
      <c r="F1088" s="313">
        <v>11</v>
      </c>
      <c r="G1088" s="175" t="s">
        <v>660</v>
      </c>
      <c r="H1088" s="405" t="s">
        <v>635</v>
      </c>
      <c r="I1088" s="185"/>
      <c r="J1088" s="67"/>
      <c r="K1088" s="194"/>
      <c r="L1088" s="180"/>
      <c r="M1088" s="180"/>
      <c r="N1088" s="180"/>
      <c r="O1088" s="181"/>
      <c r="P1088" s="237"/>
      <c r="Q1088" s="255"/>
      <c r="R1088" s="175" t="s">
        <v>1</v>
      </c>
      <c r="S1088" s="411" t="s">
        <v>1</v>
      </c>
      <c r="T1088" s="190"/>
      <c r="U1088" s="22"/>
      <c r="V1088" s="233"/>
      <c r="W1088" s="239"/>
      <c r="X1088" s="403"/>
      <c r="Y1088" s="324"/>
      <c r="Z1088" s="262"/>
    </row>
    <row r="1089" spans="1:26" ht="19.5" hidden="1" thickBot="1" x14ac:dyDescent="0.35">
      <c r="A1089" s="47">
        <f>IF(B1089="","",SUBTOTAL(3,$B$3:B1089)-1)</f>
        <v>8</v>
      </c>
      <c r="B1089" s="266" t="s">
        <v>422</v>
      </c>
      <c r="C1089" s="266" t="s">
        <v>101</v>
      </c>
      <c r="D1089" s="266"/>
      <c r="E1089" s="46">
        <f>($AA$2-O1089)*$AB$2+Q1089</f>
        <v>0</v>
      </c>
      <c r="F1089" s="313">
        <v>8</v>
      </c>
      <c r="G1089" s="175" t="s">
        <v>415</v>
      </c>
      <c r="H1089" s="405" t="s">
        <v>635</v>
      </c>
      <c r="I1089" s="185"/>
      <c r="J1089" s="67"/>
      <c r="K1089" s="194"/>
      <c r="L1089" s="180"/>
      <c r="M1089" s="180"/>
      <c r="N1089" s="180"/>
      <c r="O1089" s="181"/>
      <c r="P1089" s="237"/>
      <c r="Q1089" s="255"/>
      <c r="R1089" s="175" t="s">
        <v>1</v>
      </c>
      <c r="S1089" s="411" t="s">
        <v>2</v>
      </c>
      <c r="T1089" s="190"/>
      <c r="U1089" s="22"/>
      <c r="V1089" s="233"/>
      <c r="W1089" s="239"/>
      <c r="X1089" s="403"/>
      <c r="Y1089" s="321"/>
      <c r="Z1089" s="261"/>
    </row>
    <row r="1090" spans="1:26" ht="19.5" hidden="1" thickBot="1" x14ac:dyDescent="0.35">
      <c r="A1090" s="47">
        <f>IF(B1090="","",SUBTOTAL(3,$B$3:B1090)-1)</f>
        <v>8</v>
      </c>
      <c r="B1090" s="337" t="s">
        <v>1392</v>
      </c>
      <c r="C1090" s="270" t="s">
        <v>96</v>
      </c>
      <c r="D1090" s="296"/>
      <c r="E1090" s="46"/>
      <c r="F1090" s="291">
        <v>7</v>
      </c>
      <c r="G1090" s="176" t="s">
        <v>415</v>
      </c>
      <c r="H1090" s="406"/>
      <c r="I1090" s="185"/>
      <c r="J1090" s="67"/>
      <c r="K1090" s="194"/>
      <c r="L1090" s="180"/>
      <c r="M1090" s="180"/>
      <c r="N1090" s="180"/>
      <c r="O1090" s="181"/>
      <c r="P1090" s="237"/>
      <c r="Q1090" s="255"/>
      <c r="R1090" s="175" t="s">
        <v>2</v>
      </c>
      <c r="S1090" s="411"/>
      <c r="T1090" s="190"/>
      <c r="U1090" s="22"/>
      <c r="V1090" s="233"/>
      <c r="W1090" s="239"/>
      <c r="X1090" s="403"/>
      <c r="Y1090" s="324"/>
      <c r="Z1090" s="262"/>
    </row>
    <row r="1091" spans="1:26" ht="19.5" hidden="1" thickBot="1" x14ac:dyDescent="0.35">
      <c r="A1091" s="47">
        <f>IF(B1091="","",SUBTOTAL(3,$B$3:B1091)-1)</f>
        <v>8</v>
      </c>
      <c r="B1091" s="286" t="s">
        <v>190</v>
      </c>
      <c r="C1091" s="286" t="s">
        <v>96</v>
      </c>
      <c r="D1091" s="286"/>
      <c r="E1091" s="46"/>
      <c r="F1091" s="291">
        <v>7</v>
      </c>
      <c r="G1091" s="175"/>
      <c r="H1091" s="405" t="s">
        <v>635</v>
      </c>
      <c r="I1091" s="189"/>
      <c r="J1091" s="142"/>
      <c r="K1091" s="196"/>
      <c r="L1091" s="67"/>
      <c r="M1091" s="67"/>
      <c r="N1091" s="67"/>
      <c r="O1091" s="73"/>
      <c r="P1091" s="237"/>
      <c r="Q1091" s="255"/>
      <c r="R1091" s="175"/>
      <c r="S1091" s="411" t="s">
        <v>2</v>
      </c>
      <c r="T1091" s="190"/>
      <c r="U1091" s="22"/>
      <c r="V1091" s="233"/>
      <c r="W1091" s="239"/>
      <c r="X1091" s="403"/>
      <c r="Y1091" s="321"/>
      <c r="Z1091" s="261"/>
    </row>
    <row r="1092" spans="1:26" ht="19.5" hidden="1" thickBot="1" x14ac:dyDescent="0.35">
      <c r="A1092" s="47">
        <f>IF(B1092="","",SUBTOTAL(3,$B$3:B1092)-1)</f>
        <v>8</v>
      </c>
      <c r="B1092" s="281" t="s">
        <v>236</v>
      </c>
      <c r="C1092" s="281" t="s">
        <v>96</v>
      </c>
      <c r="D1092" s="296"/>
      <c r="E1092" s="46">
        <f>($AA$2-O1092)*$AB$2+Q1092</f>
        <v>0</v>
      </c>
      <c r="F1092" s="313">
        <v>10</v>
      </c>
      <c r="G1092" s="175" t="s">
        <v>415</v>
      </c>
      <c r="H1092" s="405" t="s">
        <v>635</v>
      </c>
      <c r="I1092" s="185" t="s">
        <v>661</v>
      </c>
      <c r="J1092" s="71"/>
      <c r="K1092" s="194"/>
      <c r="L1092" s="180"/>
      <c r="M1092" s="180"/>
      <c r="N1092" s="180"/>
      <c r="O1092" s="181"/>
      <c r="P1092" s="237"/>
      <c r="Q1092" s="255"/>
      <c r="R1092" s="175" t="s">
        <v>1</v>
      </c>
      <c r="S1092" s="411" t="s">
        <v>848</v>
      </c>
      <c r="T1092" s="190" t="s">
        <v>0</v>
      </c>
      <c r="U1092" s="22"/>
      <c r="V1092" s="233"/>
      <c r="W1092" s="239"/>
      <c r="X1092" s="403"/>
      <c r="Y1092" s="324"/>
      <c r="Z1092" s="262"/>
    </row>
    <row r="1093" spans="1:26" ht="19.5" hidden="1" thickBot="1" x14ac:dyDescent="0.35">
      <c r="A1093" s="47">
        <f>IF(B1093="","",SUBTOTAL(3,$B$3:B1093)-1)</f>
        <v>8</v>
      </c>
      <c r="B1093" s="267" t="s">
        <v>741</v>
      </c>
      <c r="C1093" s="267" t="s">
        <v>96</v>
      </c>
      <c r="D1093" s="267"/>
      <c r="E1093" s="46">
        <f>($AA$2-O1093)*$AB$2+Q1093</f>
        <v>0</v>
      </c>
      <c r="F1093" s="313">
        <v>11</v>
      </c>
      <c r="G1093" s="175"/>
      <c r="H1093" s="405"/>
      <c r="I1093" s="185" t="s">
        <v>634</v>
      </c>
      <c r="J1093" s="71"/>
      <c r="K1093" s="194"/>
      <c r="L1093" s="67"/>
      <c r="M1093" s="67"/>
      <c r="N1093" s="67"/>
      <c r="O1093" s="73"/>
      <c r="P1093" s="237"/>
      <c r="Q1093" s="255"/>
      <c r="R1093" s="175"/>
      <c r="S1093" s="411"/>
      <c r="T1093" s="190" t="s">
        <v>661</v>
      </c>
      <c r="U1093" s="22"/>
      <c r="V1093" s="233"/>
      <c r="W1093" s="239"/>
      <c r="X1093" s="403"/>
      <c r="Y1093" s="321"/>
      <c r="Z1093" s="261"/>
    </row>
    <row r="1094" spans="1:26" ht="19.5" hidden="1" thickBot="1" x14ac:dyDescent="0.35">
      <c r="A1094" s="47">
        <f>IF(B1094="","",SUBTOTAL(3,$B$3:B1094)-1)</f>
        <v>8</v>
      </c>
      <c r="B1094" s="344" t="s">
        <v>1131</v>
      </c>
      <c r="C1094" s="281" t="s">
        <v>57</v>
      </c>
      <c r="D1094" s="270"/>
      <c r="E1094" s="46"/>
      <c r="F1094" s="313">
        <v>10</v>
      </c>
      <c r="G1094" s="175" t="s">
        <v>415</v>
      </c>
      <c r="H1094" s="405"/>
      <c r="I1094" s="185"/>
      <c r="J1094" s="71"/>
      <c r="K1094" s="194"/>
      <c r="L1094" s="180"/>
      <c r="M1094" s="180"/>
      <c r="N1094" s="180"/>
      <c r="O1094" s="181"/>
      <c r="P1094" s="237"/>
      <c r="Q1094" s="255"/>
      <c r="R1094" s="175" t="s">
        <v>1</v>
      </c>
      <c r="S1094" s="414"/>
      <c r="T1094" s="190"/>
      <c r="U1094" s="22"/>
      <c r="V1094" s="233"/>
      <c r="W1094" s="239"/>
      <c r="X1094" s="403"/>
      <c r="Y1094" s="324"/>
      <c r="Z1094" s="262"/>
    </row>
    <row r="1095" spans="1:26" ht="19.5" hidden="1" thickBot="1" x14ac:dyDescent="0.35">
      <c r="A1095" s="47">
        <f>IF(B1095="","",SUBTOTAL(3,$B$3:B1095)-1)</f>
        <v>8</v>
      </c>
      <c r="B1095" s="286" t="s">
        <v>1125</v>
      </c>
      <c r="C1095" s="286" t="s">
        <v>57</v>
      </c>
      <c r="D1095" s="286"/>
      <c r="E1095" s="46"/>
      <c r="F1095" s="313">
        <v>10</v>
      </c>
      <c r="G1095" s="176" t="s">
        <v>415</v>
      </c>
      <c r="H1095" s="406"/>
      <c r="I1095" s="188"/>
      <c r="J1095" s="142"/>
      <c r="K1095" s="196"/>
      <c r="L1095" s="67"/>
      <c r="M1095" s="67"/>
      <c r="N1095" s="67"/>
      <c r="O1095" s="73"/>
      <c r="P1095" s="237"/>
      <c r="Q1095" s="255"/>
      <c r="R1095" s="175" t="s">
        <v>0</v>
      </c>
      <c r="S1095" s="411"/>
      <c r="T1095" s="190"/>
      <c r="U1095" s="22"/>
      <c r="V1095" s="233"/>
      <c r="W1095" s="239"/>
      <c r="X1095" s="403"/>
      <c r="Y1095" s="321"/>
      <c r="Z1095" s="261"/>
    </row>
    <row r="1096" spans="1:26" ht="19.5" hidden="1" thickBot="1" x14ac:dyDescent="0.35">
      <c r="A1096" s="47">
        <f>IF(B1096="","",SUBTOTAL(3,$B$3:B1096)-1)</f>
        <v>8</v>
      </c>
      <c r="B1096" s="281" t="s">
        <v>211</v>
      </c>
      <c r="C1096" s="281" t="s">
        <v>57</v>
      </c>
      <c r="D1096" s="281">
        <v>765916590</v>
      </c>
      <c r="E1096" s="46">
        <f>($AA$2-O1096)*$AB$2+Q1096</f>
        <v>0</v>
      </c>
      <c r="F1096" s="313">
        <v>10</v>
      </c>
      <c r="G1096" s="175" t="s">
        <v>415</v>
      </c>
      <c r="H1096" s="405" t="s">
        <v>696</v>
      </c>
      <c r="I1096" s="185" t="s">
        <v>661</v>
      </c>
      <c r="J1096" s="71" t="s">
        <v>661</v>
      </c>
      <c r="K1096" s="194"/>
      <c r="L1096" s="180"/>
      <c r="M1096" s="180"/>
      <c r="N1096" s="180"/>
      <c r="O1096" s="181"/>
      <c r="P1096" s="237"/>
      <c r="Q1096" s="255"/>
      <c r="R1096" s="175" t="s">
        <v>848</v>
      </c>
      <c r="S1096" s="411" t="s">
        <v>661</v>
      </c>
      <c r="T1096" s="190" t="s">
        <v>0</v>
      </c>
      <c r="U1096" s="22" t="s">
        <v>0</v>
      </c>
      <c r="V1096" s="233"/>
      <c r="W1096" s="239"/>
      <c r="X1096" s="403"/>
      <c r="Y1096" s="324"/>
      <c r="Z1096" s="262"/>
    </row>
    <row r="1097" spans="1:26" ht="19.5" hidden="1" thickBot="1" x14ac:dyDescent="0.35">
      <c r="A1097" s="47">
        <f>IF(B1097="","",SUBTOTAL(3,$B$3:B1097)-1)</f>
        <v>8</v>
      </c>
      <c r="B1097" s="285" t="s">
        <v>332</v>
      </c>
      <c r="C1097" s="285" t="s">
        <v>57</v>
      </c>
      <c r="D1097" s="293"/>
      <c r="E1097" s="46">
        <f>($AA$2-O1097)*$AB$2+Q1097</f>
        <v>0</v>
      </c>
      <c r="F1097" s="313">
        <v>12</v>
      </c>
      <c r="G1097" s="175" t="s">
        <v>660</v>
      </c>
      <c r="H1097" s="405"/>
      <c r="I1097" s="185"/>
      <c r="J1097" s="67"/>
      <c r="K1097" s="194"/>
      <c r="L1097" s="67"/>
      <c r="M1097" s="67"/>
      <c r="N1097" s="67"/>
      <c r="O1097" s="73"/>
      <c r="P1097" s="237"/>
      <c r="Q1097" s="255"/>
      <c r="R1097" s="175" t="s">
        <v>0</v>
      </c>
      <c r="S1097" s="411"/>
      <c r="T1097" s="190"/>
      <c r="U1097" s="22"/>
      <c r="V1097" s="233"/>
      <c r="W1097" s="239"/>
      <c r="X1097" s="403"/>
      <c r="Y1097" s="321"/>
      <c r="Z1097" s="261"/>
    </row>
    <row r="1098" spans="1:26" ht="19.5" hidden="1" thickBot="1" x14ac:dyDescent="0.35">
      <c r="A1098" s="47">
        <f>IF(B1098="","",SUBTOTAL(3,$B$3:B1098)-1)</f>
        <v>8</v>
      </c>
      <c r="B1098" s="270" t="s">
        <v>336</v>
      </c>
      <c r="C1098" s="270" t="s">
        <v>57</v>
      </c>
      <c r="D1098" s="296"/>
      <c r="E1098" s="46">
        <f>($AA$2-O1098)*$AB$2+Q1098</f>
        <v>0</v>
      </c>
      <c r="F1098" s="313">
        <v>12</v>
      </c>
      <c r="G1098" s="175"/>
      <c r="H1098" s="405"/>
      <c r="I1098" s="185"/>
      <c r="J1098" s="67"/>
      <c r="K1098" s="194"/>
      <c r="L1098" s="67"/>
      <c r="M1098" s="67"/>
      <c r="N1098" s="67"/>
      <c r="O1098" s="73"/>
      <c r="P1098" s="237"/>
      <c r="Q1098" s="255"/>
      <c r="R1098" s="175" t="s">
        <v>415</v>
      </c>
      <c r="S1098" s="411"/>
      <c r="T1098" s="190"/>
      <c r="U1098" s="22"/>
      <c r="V1098" s="233"/>
      <c r="W1098" s="239"/>
      <c r="X1098" s="403"/>
      <c r="Y1098" s="324"/>
      <c r="Z1098" s="262"/>
    </row>
    <row r="1099" spans="1:26" ht="19.5" hidden="1" thickBot="1" x14ac:dyDescent="0.35">
      <c r="A1099" s="47">
        <f>IF(B1099="","",SUBTOTAL(3,$B$3:B1099)-1)</f>
        <v>8</v>
      </c>
      <c r="B1099" s="285" t="s">
        <v>362</v>
      </c>
      <c r="C1099" s="285" t="s">
        <v>57</v>
      </c>
      <c r="D1099" s="267"/>
      <c r="E1099" s="46">
        <f>($AA$2-O1099)*$AB$2+Q1099</f>
        <v>0</v>
      </c>
      <c r="F1099" s="313">
        <v>12</v>
      </c>
      <c r="G1099" s="175"/>
      <c r="H1099" s="405"/>
      <c r="I1099" s="185"/>
      <c r="J1099" s="67"/>
      <c r="K1099" s="194"/>
      <c r="L1099" s="67"/>
      <c r="M1099" s="67"/>
      <c r="N1099" s="67"/>
      <c r="O1099" s="73"/>
      <c r="P1099" s="237"/>
      <c r="Q1099" s="255"/>
      <c r="R1099" s="175" t="s">
        <v>415</v>
      </c>
      <c r="S1099" s="411"/>
      <c r="T1099" s="190"/>
      <c r="U1099" s="22"/>
      <c r="V1099" s="233"/>
      <c r="W1099" s="239"/>
      <c r="X1099" s="403"/>
      <c r="Y1099" s="321"/>
      <c r="Z1099" s="261"/>
    </row>
    <row r="1100" spans="1:26" ht="19.5" hidden="1" thickBot="1" x14ac:dyDescent="0.35">
      <c r="A1100" s="47">
        <f>IF(B1100="","",SUBTOTAL(3,$B$3:B1100)-1)</f>
        <v>8</v>
      </c>
      <c r="B1100" s="281" t="s">
        <v>202</v>
      </c>
      <c r="C1100" s="281" t="s">
        <v>57</v>
      </c>
      <c r="D1100" s="296"/>
      <c r="E1100" s="46">
        <f>($AA$2-O1100)*$AB$2+Q1100</f>
        <v>0</v>
      </c>
      <c r="F1100" s="313">
        <v>9</v>
      </c>
      <c r="G1100" s="175" t="s">
        <v>415</v>
      </c>
      <c r="H1100" s="409" t="s">
        <v>696</v>
      </c>
      <c r="I1100" s="187"/>
      <c r="J1100" s="67"/>
      <c r="K1100" s="194"/>
      <c r="L1100" s="180"/>
      <c r="M1100" s="180"/>
      <c r="N1100" s="180"/>
      <c r="O1100" s="181"/>
      <c r="P1100" s="237"/>
      <c r="Q1100" s="255"/>
      <c r="R1100" s="175" t="s">
        <v>0</v>
      </c>
      <c r="S1100" s="411" t="s">
        <v>661</v>
      </c>
      <c r="T1100" s="190"/>
      <c r="U1100" s="22"/>
      <c r="V1100" s="233"/>
      <c r="W1100" s="239"/>
      <c r="X1100" s="403"/>
      <c r="Y1100" s="324"/>
      <c r="Z1100" s="262"/>
    </row>
    <row r="1101" spans="1:26" ht="19.5" hidden="1" thickBot="1" x14ac:dyDescent="0.35">
      <c r="A1101" s="47">
        <f>IF(B1101="","",SUBTOTAL(3,$B$3:B1101)-1)</f>
        <v>8</v>
      </c>
      <c r="B1101" s="267" t="s">
        <v>613</v>
      </c>
      <c r="C1101" s="267" t="s">
        <v>60</v>
      </c>
      <c r="D1101" s="267"/>
      <c r="E1101" s="46"/>
      <c r="F1101" s="313">
        <v>10</v>
      </c>
      <c r="G1101" s="175"/>
      <c r="H1101" s="405" t="s">
        <v>635</v>
      </c>
      <c r="I1101" s="185" t="s">
        <v>661</v>
      </c>
      <c r="J1101" s="67"/>
      <c r="K1101" s="194"/>
      <c r="L1101" s="180"/>
      <c r="M1101" s="180"/>
      <c r="N1101" s="180"/>
      <c r="O1101" s="181"/>
      <c r="P1101" s="237"/>
      <c r="Q1101" s="255"/>
      <c r="R1101" s="175"/>
      <c r="S1101" s="411" t="s">
        <v>1</v>
      </c>
      <c r="T1101" s="190" t="s">
        <v>1</v>
      </c>
      <c r="U1101" s="22"/>
      <c r="V1101" s="233"/>
      <c r="W1101" s="239"/>
      <c r="X1101" s="403"/>
      <c r="Y1101" s="321"/>
      <c r="Z1101" s="261"/>
    </row>
    <row r="1102" spans="1:26" ht="19.5" hidden="1" thickBot="1" x14ac:dyDescent="0.35">
      <c r="A1102" s="47">
        <f>IF(B1102="","",SUBTOTAL(3,$B$3:B1102)-1)</f>
        <v>8</v>
      </c>
      <c r="B1102" s="270" t="s">
        <v>206</v>
      </c>
      <c r="C1102" s="270" t="s">
        <v>60</v>
      </c>
      <c r="D1102" s="296"/>
      <c r="E1102" s="46">
        <f>($AA$2-O1102)*$AB$2+Q1102</f>
        <v>0</v>
      </c>
      <c r="F1102" s="313">
        <v>9</v>
      </c>
      <c r="G1102" s="175" t="s">
        <v>415</v>
      </c>
      <c r="H1102" s="409"/>
      <c r="I1102" s="187"/>
      <c r="J1102" s="67"/>
      <c r="K1102" s="194"/>
      <c r="L1102" s="180"/>
      <c r="M1102" s="180"/>
      <c r="N1102" s="180"/>
      <c r="O1102" s="181"/>
      <c r="P1102" s="237"/>
      <c r="Q1102" s="255"/>
      <c r="R1102" s="175" t="s">
        <v>0</v>
      </c>
      <c r="S1102" s="411"/>
      <c r="T1102" s="190"/>
      <c r="U1102" s="22"/>
      <c r="V1102" s="233"/>
      <c r="W1102" s="239"/>
      <c r="X1102" s="403"/>
      <c r="Y1102" s="324"/>
      <c r="Z1102" s="262"/>
    </row>
    <row r="1103" spans="1:26" ht="19.5" hidden="1" thickBot="1" x14ac:dyDescent="0.35">
      <c r="A1103" s="47">
        <f>IF(B1103="","",SUBTOTAL(3,$B$3:B1103)-1)</f>
        <v>8</v>
      </c>
      <c r="B1103" s="285" t="s">
        <v>341</v>
      </c>
      <c r="C1103" s="285" t="s">
        <v>120</v>
      </c>
      <c r="D1103" s="267"/>
      <c r="E1103" s="46">
        <f>($AA$2-O1103)*$AB$2+Q1103</f>
        <v>0</v>
      </c>
      <c r="F1103" s="313">
        <v>12</v>
      </c>
      <c r="G1103" s="175" t="s">
        <v>660</v>
      </c>
      <c r="H1103" s="405"/>
      <c r="I1103" s="185"/>
      <c r="J1103" s="67"/>
      <c r="K1103" s="194"/>
      <c r="L1103" s="67"/>
      <c r="M1103" s="67"/>
      <c r="N1103" s="67"/>
      <c r="O1103" s="73"/>
      <c r="P1103" s="237"/>
      <c r="Q1103" s="255"/>
      <c r="R1103" s="175" t="s">
        <v>0</v>
      </c>
      <c r="S1103" s="411"/>
      <c r="T1103" s="190"/>
      <c r="U1103" s="22"/>
      <c r="V1103" s="233"/>
      <c r="W1103" s="239"/>
      <c r="X1103" s="403"/>
      <c r="Y1103" s="321"/>
      <c r="Z1103" s="261"/>
    </row>
    <row r="1104" spans="1:26" ht="19.5" hidden="1" thickBot="1" x14ac:dyDescent="0.35">
      <c r="A1104" s="47">
        <f>IF(B1104="","",SUBTOTAL(3,$B$3:B1104)-1)</f>
        <v>8</v>
      </c>
      <c r="B1104" s="344" t="s">
        <v>200</v>
      </c>
      <c r="C1104" s="281" t="s">
        <v>54</v>
      </c>
      <c r="D1104" s="270"/>
      <c r="E1104" s="46"/>
      <c r="F1104" s="313">
        <v>10</v>
      </c>
      <c r="G1104" s="175" t="s">
        <v>415</v>
      </c>
      <c r="H1104" s="405" t="s">
        <v>660</v>
      </c>
      <c r="I1104" s="185"/>
      <c r="J1104" s="71"/>
      <c r="K1104" s="194"/>
      <c r="L1104" s="180"/>
      <c r="M1104" s="180"/>
      <c r="N1104" s="180"/>
      <c r="O1104" s="181"/>
      <c r="P1104" s="237"/>
      <c r="Q1104" s="255"/>
      <c r="R1104" s="175" t="s">
        <v>2</v>
      </c>
      <c r="S1104" s="414" t="s">
        <v>2</v>
      </c>
      <c r="T1104" s="190"/>
      <c r="U1104" s="22"/>
      <c r="V1104" s="233"/>
      <c r="W1104" s="239"/>
      <c r="X1104" s="403"/>
      <c r="Y1104" s="324"/>
      <c r="Z1104" s="262"/>
    </row>
    <row r="1105" spans="1:26" ht="19.5" hidden="1" thickBot="1" x14ac:dyDescent="0.35">
      <c r="A1105" s="47">
        <f>IF(B1105="","",SUBTOTAL(3,$B$3:B1105)-1)</f>
        <v>8</v>
      </c>
      <c r="B1105" s="342" t="s">
        <v>1134</v>
      </c>
      <c r="C1105" s="285" t="s">
        <v>54</v>
      </c>
      <c r="D1105" s="267"/>
      <c r="E1105" s="46"/>
      <c r="F1105" s="313">
        <v>10</v>
      </c>
      <c r="G1105" s="175" t="s">
        <v>415</v>
      </c>
      <c r="H1105" s="405" t="s">
        <v>660</v>
      </c>
      <c r="I1105" s="185"/>
      <c r="J1105" s="71"/>
      <c r="K1105" s="194"/>
      <c r="L1105" s="180"/>
      <c r="M1105" s="180"/>
      <c r="N1105" s="180"/>
      <c r="O1105" s="181"/>
      <c r="P1105" s="237"/>
      <c r="Q1105" s="255"/>
      <c r="R1105" s="175" t="s">
        <v>2</v>
      </c>
      <c r="S1105" s="414" t="s">
        <v>2</v>
      </c>
      <c r="T1105" s="190"/>
      <c r="U1105" s="22"/>
      <c r="V1105" s="233"/>
      <c r="W1105" s="239"/>
      <c r="X1105" s="403"/>
      <c r="Y1105" s="321"/>
      <c r="Z1105" s="261"/>
    </row>
    <row r="1106" spans="1:26" ht="19.5" hidden="1" thickBot="1" x14ac:dyDescent="0.35">
      <c r="A1106" s="47">
        <f>IF(B1106="","",SUBTOTAL(3,$B$3:B1106)-1)</f>
        <v>8</v>
      </c>
      <c r="B1106" s="270" t="s">
        <v>603</v>
      </c>
      <c r="C1106" s="270" t="s">
        <v>54</v>
      </c>
      <c r="D1106" s="270"/>
      <c r="E1106" s="46">
        <f>($AA$2-O1106)*$AB$2+Q1106</f>
        <v>0</v>
      </c>
      <c r="F1106" s="313">
        <v>11</v>
      </c>
      <c r="G1106" s="175" t="s">
        <v>415</v>
      </c>
      <c r="H1106" s="405"/>
      <c r="I1106" s="185"/>
      <c r="J1106" s="67"/>
      <c r="K1106" s="194"/>
      <c r="L1106" s="180"/>
      <c r="M1106" s="180"/>
      <c r="N1106" s="180"/>
      <c r="O1106" s="181"/>
      <c r="P1106" s="237"/>
      <c r="Q1106" s="255"/>
      <c r="R1106" s="175" t="s">
        <v>574</v>
      </c>
      <c r="S1106" s="411"/>
      <c r="T1106" s="190"/>
      <c r="U1106" s="22"/>
      <c r="V1106" s="233"/>
      <c r="W1106" s="239"/>
      <c r="X1106" s="403"/>
      <c r="Y1106" s="324"/>
      <c r="Z1106" s="262"/>
    </row>
    <row r="1107" spans="1:26" ht="19.5" hidden="1" thickBot="1" x14ac:dyDescent="0.35">
      <c r="A1107" s="47">
        <f>IF(B1107="","",SUBTOTAL(3,$B$3:B1107)-1)</f>
        <v>8</v>
      </c>
      <c r="B1107" s="267" t="s">
        <v>259</v>
      </c>
      <c r="C1107" s="267" t="s">
        <v>54</v>
      </c>
      <c r="D1107" s="293"/>
      <c r="E1107" s="46">
        <f>($AA$2-O1107)*$AB$2+Q1107</f>
        <v>0</v>
      </c>
      <c r="F1107" s="313" t="s">
        <v>1213</v>
      </c>
      <c r="G1107" s="175"/>
      <c r="H1107" s="405"/>
      <c r="I1107" s="185"/>
      <c r="J1107" s="67"/>
      <c r="K1107" s="194"/>
      <c r="L1107" s="67"/>
      <c r="M1107" s="67"/>
      <c r="N1107" s="67"/>
      <c r="O1107" s="73"/>
      <c r="P1107" s="237"/>
      <c r="Q1107" s="255"/>
      <c r="R1107" s="175"/>
      <c r="S1107" s="411"/>
      <c r="T1107" s="190"/>
      <c r="U1107" s="22"/>
      <c r="V1107" s="233"/>
      <c r="W1107" s="239"/>
      <c r="X1107" s="403"/>
      <c r="Y1107" s="321"/>
      <c r="Z1107" s="261"/>
    </row>
    <row r="1108" spans="1:26" ht="19.5" hidden="1" thickBot="1" x14ac:dyDescent="0.35">
      <c r="A1108" s="47">
        <f>IF(B1108="","",SUBTOTAL(3,$B$3:B1108)-1)</f>
        <v>8</v>
      </c>
      <c r="B1108" s="281" t="s">
        <v>1197</v>
      </c>
      <c r="C1108" s="281" t="s">
        <v>54</v>
      </c>
      <c r="D1108" s="296"/>
      <c r="E1108" s="46"/>
      <c r="F1108" s="313">
        <v>9</v>
      </c>
      <c r="G1108" s="175"/>
      <c r="H1108" s="409" t="s">
        <v>660</v>
      </c>
      <c r="I1108" s="187"/>
      <c r="J1108" s="67"/>
      <c r="K1108" s="194"/>
      <c r="L1108" s="180"/>
      <c r="M1108" s="180"/>
      <c r="N1108" s="180"/>
      <c r="O1108" s="181"/>
      <c r="P1108" s="237"/>
      <c r="Q1108" s="255"/>
      <c r="R1108" s="175"/>
      <c r="S1108" s="411" t="s">
        <v>1</v>
      </c>
      <c r="T1108" s="190"/>
      <c r="U1108" s="22"/>
      <c r="V1108" s="233"/>
      <c r="W1108" s="239"/>
      <c r="X1108" s="403"/>
      <c r="Y1108" s="324"/>
      <c r="Z1108" s="262"/>
    </row>
    <row r="1109" spans="1:26" ht="19.5" hidden="1" thickBot="1" x14ac:dyDescent="0.35">
      <c r="A1109" s="47">
        <f>IF(B1109="","",SUBTOTAL(3,$B$3:B1109)-1)</f>
        <v>8</v>
      </c>
      <c r="B1109" s="267" t="s">
        <v>362</v>
      </c>
      <c r="C1109" s="267" t="s">
        <v>54</v>
      </c>
      <c r="D1109" s="293"/>
      <c r="E1109" s="46">
        <f>($AA$2-O1109)*$AB$2+Q1109</f>
        <v>0</v>
      </c>
      <c r="F1109" s="313">
        <v>9</v>
      </c>
      <c r="G1109" s="175" t="s">
        <v>415</v>
      </c>
      <c r="H1109" s="409" t="s">
        <v>635</v>
      </c>
      <c r="I1109" s="187" t="s">
        <v>634</v>
      </c>
      <c r="J1109" s="67" t="s">
        <v>661</v>
      </c>
      <c r="K1109" s="194"/>
      <c r="L1109" s="180"/>
      <c r="M1109" s="180"/>
      <c r="N1109" s="180"/>
      <c r="O1109" s="181"/>
      <c r="P1109" s="237"/>
      <c r="Q1109" s="255"/>
      <c r="R1109" s="175" t="s">
        <v>0</v>
      </c>
      <c r="S1109" s="411" t="s">
        <v>2</v>
      </c>
      <c r="T1109" s="190" t="s">
        <v>0</v>
      </c>
      <c r="U1109" s="22" t="s">
        <v>1</v>
      </c>
      <c r="V1109" s="233"/>
      <c r="W1109" s="239"/>
      <c r="X1109" s="403"/>
      <c r="Y1109" s="321"/>
      <c r="Z1109" s="261"/>
    </row>
    <row r="1110" spans="1:26" ht="19.5" hidden="1" thickBot="1" x14ac:dyDescent="0.35">
      <c r="A1110" s="47">
        <f>IF(B1110="","",SUBTOTAL(3,$B$3:B1110)-1)</f>
        <v>8</v>
      </c>
      <c r="B1110" s="284" t="s">
        <v>1062</v>
      </c>
      <c r="C1110" s="284" t="s">
        <v>1061</v>
      </c>
      <c r="D1110" s="284"/>
      <c r="E1110" s="46"/>
      <c r="F1110" s="313">
        <v>10</v>
      </c>
      <c r="G1110" s="175"/>
      <c r="H1110" s="405" t="s">
        <v>635</v>
      </c>
      <c r="I1110" s="185"/>
      <c r="J1110" s="67"/>
      <c r="K1110" s="194"/>
      <c r="L1110" s="67"/>
      <c r="M1110" s="67"/>
      <c r="N1110" s="67"/>
      <c r="O1110" s="73"/>
      <c r="P1110" s="237"/>
      <c r="Q1110" s="255"/>
      <c r="R1110" s="175"/>
      <c r="S1110" s="411" t="s">
        <v>1</v>
      </c>
      <c r="T1110" s="190"/>
      <c r="U1110" s="22"/>
      <c r="V1110" s="233"/>
      <c r="W1110" s="239"/>
      <c r="X1110" s="403"/>
      <c r="Y1110" s="324"/>
      <c r="Z1110" s="262"/>
    </row>
    <row r="1111" spans="1:26" ht="19.5" hidden="1" thickBot="1" x14ac:dyDescent="0.35">
      <c r="A1111" s="47">
        <f>IF(B1111="","",SUBTOTAL(3,$B$3:B1111)-1)</f>
        <v>8</v>
      </c>
      <c r="B1111" s="387" t="s">
        <v>772</v>
      </c>
      <c r="C1111" s="387" t="s">
        <v>773</v>
      </c>
      <c r="D1111" s="400">
        <v>398001415</v>
      </c>
      <c r="E1111" s="46" t="s">
        <v>1214</v>
      </c>
      <c r="F1111" s="313">
        <v>6</v>
      </c>
      <c r="G1111" s="175" t="s">
        <v>1332</v>
      </c>
      <c r="H1111" s="405"/>
      <c r="I1111" s="185"/>
      <c r="J1111" s="71"/>
      <c r="K1111" s="194"/>
      <c r="L1111" s="67"/>
      <c r="M1111" s="67"/>
      <c r="N1111" s="67"/>
      <c r="O1111" s="73"/>
      <c r="P1111" s="237"/>
      <c r="Q1111" s="255"/>
      <c r="R1111" s="318" t="s">
        <v>1</v>
      </c>
      <c r="S1111" s="408" t="s">
        <v>1</v>
      </c>
      <c r="T1111" s="190"/>
      <c r="U1111" s="22"/>
      <c r="V1111" s="233"/>
      <c r="W1111" s="239"/>
      <c r="X1111" s="403"/>
      <c r="Y1111" s="326"/>
      <c r="Z1111" s="387"/>
    </row>
    <row r="1112" spans="1:26" hidden="1" x14ac:dyDescent="0.3">
      <c r="A1112" s="47">
        <f>IF(B1112="","",SUBTOTAL(3,$B$3:B1112)-1)</f>
        <v>8</v>
      </c>
      <c r="B1112" s="276" t="s">
        <v>211</v>
      </c>
      <c r="C1112" s="276" t="s">
        <v>131</v>
      </c>
      <c r="D1112" s="298"/>
      <c r="E1112" s="46">
        <f>($AA$2-O1112)*$AB$2+Q1112</f>
        <v>0</v>
      </c>
      <c r="F1112" s="22" t="s">
        <v>1213</v>
      </c>
      <c r="G1112" s="175"/>
      <c r="H1112" s="405"/>
      <c r="I1112" s="185"/>
      <c r="J1112" s="67"/>
      <c r="K1112" s="194"/>
      <c r="L1112" s="67"/>
      <c r="M1112" s="67"/>
      <c r="N1112" s="67"/>
      <c r="O1112" s="73"/>
      <c r="P1112" s="237"/>
      <c r="Q1112" s="255"/>
      <c r="R1112" s="260"/>
      <c r="S1112" s="415"/>
      <c r="T1112" s="190"/>
      <c r="U1112" s="22"/>
      <c r="V1112" s="233"/>
      <c r="W1112" s="239"/>
      <c r="X1112" s="403"/>
      <c r="Y1112" s="258"/>
    </row>
    <row r="1113" spans="1:26" hidden="1" x14ac:dyDescent="0.3">
      <c r="A1113" s="47">
        <f>IF(B1113="","",SUBTOTAL(3,$B$3:B1113)-1)</f>
        <v>8</v>
      </c>
      <c r="B1113" s="280" t="s">
        <v>238</v>
      </c>
      <c r="C1113" s="280" t="s">
        <v>131</v>
      </c>
      <c r="D1113" s="280">
        <v>373314577</v>
      </c>
      <c r="E1113" s="46"/>
      <c r="F1113" s="22">
        <v>9</v>
      </c>
      <c r="G1113" s="176" t="s">
        <v>415</v>
      </c>
      <c r="H1113" s="406"/>
      <c r="I1113" s="188"/>
      <c r="J1113" s="142"/>
      <c r="K1113" s="196" t="s">
        <v>721</v>
      </c>
      <c r="L1113" s="67"/>
      <c r="M1113" s="67"/>
      <c r="N1113" s="67"/>
      <c r="O1113" s="73"/>
      <c r="P1113" s="237"/>
      <c r="Q1113" s="255"/>
      <c r="R1113" s="260" t="s">
        <v>2</v>
      </c>
      <c r="S1113" s="415"/>
      <c r="T1113" s="190"/>
      <c r="U1113" s="22"/>
      <c r="V1113" s="233"/>
      <c r="W1113" s="239"/>
      <c r="X1113" s="403"/>
      <c r="Y1113" s="258"/>
    </row>
    <row r="1114" spans="1:26" x14ac:dyDescent="0.3">
      <c r="A1114" s="47">
        <f>IF(B1114="","",SUBTOTAL(3,$B$3:B1114)-1)</f>
        <v>9</v>
      </c>
      <c r="B1114" s="276" t="s">
        <v>1177</v>
      </c>
      <c r="C1114" s="276" t="s">
        <v>16</v>
      </c>
      <c r="D1114" s="276"/>
      <c r="E1114" s="46"/>
      <c r="F1114" s="142">
        <v>6</v>
      </c>
      <c r="G1114" s="175"/>
      <c r="H1114" s="405"/>
      <c r="I1114" s="185" t="s">
        <v>634</v>
      </c>
      <c r="J1114" s="67"/>
      <c r="K1114" s="194"/>
      <c r="L1114" s="67"/>
      <c r="M1114" s="67"/>
      <c r="N1114" s="67"/>
      <c r="O1114" s="73"/>
      <c r="P1114" s="237"/>
      <c r="Q1114" s="255"/>
      <c r="R1114" s="260"/>
      <c r="S1114" s="415"/>
      <c r="T1114" s="190" t="s">
        <v>0</v>
      </c>
      <c r="U1114" s="22"/>
      <c r="V1114" s="233"/>
      <c r="W1114" s="239"/>
      <c r="X1114" s="403"/>
      <c r="Y1114" s="258"/>
    </row>
    <row r="1115" spans="1:26" hidden="1" x14ac:dyDescent="0.3">
      <c r="A1115" s="47">
        <f>IF(B1115="","",SUBTOTAL(3,$B$3:B1115)-1)</f>
        <v>9</v>
      </c>
      <c r="B1115" s="274" t="s">
        <v>146</v>
      </c>
      <c r="C1115" s="274" t="s">
        <v>16</v>
      </c>
      <c r="D1115" s="298"/>
      <c r="E1115" s="46">
        <f>($AA$2-O1115)*$AB$2+Q1115</f>
        <v>0</v>
      </c>
      <c r="F1115" s="142">
        <v>6</v>
      </c>
      <c r="G1115" s="175" t="s">
        <v>660</v>
      </c>
      <c r="H1115" s="405"/>
      <c r="I1115" s="185"/>
      <c r="J1115" s="67"/>
      <c r="K1115" s="194"/>
      <c r="L1115" s="67"/>
      <c r="M1115" s="67"/>
      <c r="N1115" s="67"/>
      <c r="O1115" s="73"/>
      <c r="P1115" s="237"/>
      <c r="Q1115" s="255"/>
      <c r="R1115" s="260" t="s">
        <v>0</v>
      </c>
      <c r="S1115" s="415"/>
      <c r="T1115" s="190"/>
      <c r="U1115" s="22"/>
      <c r="V1115" s="233"/>
      <c r="W1115" s="239"/>
      <c r="X1115" s="403"/>
      <c r="Y1115" s="258"/>
    </row>
    <row r="1116" spans="1:26" hidden="1" x14ac:dyDescent="0.3">
      <c r="A1116" s="47">
        <f>IF(B1116="","",SUBTOTAL(3,$B$3:B1116)-1)</f>
        <v>9</v>
      </c>
      <c r="B1116" s="341" t="s">
        <v>154</v>
      </c>
      <c r="C1116" s="341" t="s">
        <v>16</v>
      </c>
      <c r="D1116" s="298"/>
      <c r="E1116" s="46">
        <f>($AA$2-O1116)*$AB$2+Q1116</f>
        <v>0</v>
      </c>
      <c r="F1116" s="142">
        <v>6</v>
      </c>
      <c r="G1116" s="175"/>
      <c r="H1116" s="405"/>
      <c r="I1116" s="185"/>
      <c r="J1116" s="67"/>
      <c r="K1116" s="194"/>
      <c r="L1116" s="67"/>
      <c r="M1116" s="67"/>
      <c r="N1116" s="67"/>
      <c r="O1116" s="73"/>
      <c r="P1116" s="237"/>
      <c r="Q1116" s="255"/>
      <c r="R1116" s="260"/>
      <c r="S1116" s="415"/>
      <c r="T1116" s="190"/>
      <c r="U1116" s="22"/>
      <c r="V1116" s="233"/>
      <c r="W1116" s="239"/>
      <c r="X1116" s="403"/>
      <c r="Y1116" s="258"/>
    </row>
    <row r="1117" spans="1:26" hidden="1" x14ac:dyDescent="0.3">
      <c r="A1117" s="47">
        <f>IF(B1117="","",SUBTOTAL(3,$B$3:B1117)-1)</f>
        <v>9</v>
      </c>
      <c r="B1117" s="202" t="s">
        <v>465</v>
      </c>
      <c r="C1117" s="276" t="s">
        <v>16</v>
      </c>
      <c r="D1117" s="298"/>
      <c r="E1117" s="46"/>
      <c r="F1117" s="142">
        <v>7</v>
      </c>
      <c r="G1117" s="176" t="s">
        <v>415</v>
      </c>
      <c r="H1117" s="406" t="s">
        <v>635</v>
      </c>
      <c r="I1117" s="185"/>
      <c r="J1117" s="67"/>
      <c r="K1117" s="194"/>
      <c r="L1117" s="180"/>
      <c r="M1117" s="180"/>
      <c r="N1117" s="180"/>
      <c r="O1117" s="181"/>
      <c r="P1117" s="237"/>
      <c r="Q1117" s="255"/>
      <c r="R1117" s="260" t="s">
        <v>2</v>
      </c>
      <c r="S1117" s="415" t="s">
        <v>2</v>
      </c>
      <c r="T1117" s="190"/>
      <c r="U1117" s="22"/>
      <c r="V1117" s="233"/>
      <c r="W1117" s="239"/>
      <c r="X1117" s="403"/>
      <c r="Y1117" s="258"/>
    </row>
    <row r="1118" spans="1:26" hidden="1" x14ac:dyDescent="0.3">
      <c r="A1118" s="47">
        <f>IF(B1118="","",SUBTOTAL(3,$B$3:B1118)-1)</f>
        <v>9</v>
      </c>
      <c r="B1118" s="276" t="s">
        <v>319</v>
      </c>
      <c r="C1118" s="276" t="s">
        <v>16</v>
      </c>
      <c r="D1118" s="298">
        <v>354308177</v>
      </c>
      <c r="E1118" s="46">
        <f>($AA$2-O1118)*$AB$2+Q1118</f>
        <v>0</v>
      </c>
      <c r="F1118" s="22">
        <v>11</v>
      </c>
      <c r="G1118" s="175" t="s">
        <v>660</v>
      </c>
      <c r="H1118" s="405" t="s">
        <v>1</v>
      </c>
      <c r="I1118" s="185"/>
      <c r="J1118" s="67"/>
      <c r="K1118" s="194"/>
      <c r="L1118" s="180"/>
      <c r="M1118" s="180"/>
      <c r="N1118" s="180"/>
      <c r="O1118" s="181"/>
      <c r="P1118" s="237"/>
      <c r="Q1118" s="255"/>
      <c r="R1118" s="260" t="s">
        <v>0</v>
      </c>
      <c r="S1118" s="415" t="s">
        <v>1</v>
      </c>
      <c r="T1118" s="190"/>
      <c r="U1118" s="22"/>
      <c r="V1118" s="233"/>
      <c r="W1118" s="239"/>
      <c r="X1118" s="403"/>
      <c r="Y1118" s="258"/>
    </row>
    <row r="1119" spans="1:26" hidden="1" x14ac:dyDescent="0.3">
      <c r="A1119" s="47">
        <f>IF(B1119="","",SUBTOTAL(3,$B$3:B1119)-1)</f>
        <v>9</v>
      </c>
      <c r="B1119" s="280" t="s">
        <v>789</v>
      </c>
      <c r="C1119" s="280" t="s">
        <v>16</v>
      </c>
      <c r="D1119" s="280"/>
      <c r="E1119" s="46"/>
      <c r="F1119" s="22">
        <v>8</v>
      </c>
      <c r="G1119" s="176" t="s">
        <v>415</v>
      </c>
      <c r="H1119" s="406" t="s">
        <v>660</v>
      </c>
      <c r="I1119" s="188"/>
      <c r="J1119" s="142"/>
      <c r="K1119" s="196" t="s">
        <v>721</v>
      </c>
      <c r="L1119" s="67"/>
      <c r="M1119" s="67"/>
      <c r="N1119" s="67"/>
      <c r="O1119" s="73"/>
      <c r="P1119" s="237"/>
      <c r="Q1119" s="255"/>
      <c r="R1119" s="260" t="s">
        <v>1</v>
      </c>
      <c r="S1119" s="415" t="s">
        <v>0</v>
      </c>
      <c r="T1119" s="190"/>
      <c r="U1119" s="22"/>
      <c r="V1119" s="233"/>
      <c r="W1119" s="239"/>
      <c r="X1119" s="403"/>
      <c r="Y1119" s="258"/>
    </row>
    <row r="1120" spans="1:26" hidden="1" x14ac:dyDescent="0.3">
      <c r="A1120" s="47">
        <f>IF(B1120="","",SUBTOTAL(3,$B$3:B1120)-1)</f>
        <v>9</v>
      </c>
      <c r="B1120" s="276" t="s">
        <v>658</v>
      </c>
      <c r="C1120" s="276" t="s">
        <v>16</v>
      </c>
      <c r="D1120" s="298"/>
      <c r="E1120" s="46">
        <f>($AA$2-O1120)*$AB$2+Q1120</f>
        <v>0</v>
      </c>
      <c r="F1120" s="22">
        <v>8</v>
      </c>
      <c r="G1120" s="175"/>
      <c r="H1120" s="405"/>
      <c r="I1120" s="185" t="s">
        <v>634</v>
      </c>
      <c r="J1120" s="67"/>
      <c r="K1120" s="194"/>
      <c r="L1120" s="67"/>
      <c r="M1120" s="67"/>
      <c r="N1120" s="67"/>
      <c r="O1120" s="73"/>
      <c r="P1120" s="237"/>
      <c r="Q1120" s="255"/>
      <c r="R1120" s="260"/>
      <c r="S1120" s="415"/>
      <c r="T1120" s="190" t="s">
        <v>0</v>
      </c>
      <c r="U1120" s="22"/>
      <c r="V1120" s="233"/>
      <c r="W1120" s="239"/>
      <c r="X1120" s="403"/>
      <c r="Y1120" s="258"/>
    </row>
    <row r="1121" spans="1:25" hidden="1" x14ac:dyDescent="0.3">
      <c r="A1121" s="47">
        <f>IF(B1121="","",SUBTOTAL(3,$B$3:B1121)-1)</f>
        <v>9</v>
      </c>
      <c r="B1121" s="280" t="s">
        <v>252</v>
      </c>
      <c r="C1121" s="280" t="s">
        <v>16</v>
      </c>
      <c r="D1121" s="280"/>
      <c r="E1121" s="46"/>
      <c r="F1121" s="22">
        <v>8</v>
      </c>
      <c r="G1121" s="176"/>
      <c r="H1121" s="406" t="s">
        <v>756</v>
      </c>
      <c r="I1121" s="188"/>
      <c r="J1121" s="142"/>
      <c r="K1121" s="196" t="s">
        <v>721</v>
      </c>
      <c r="L1121" s="67"/>
      <c r="M1121" s="67"/>
      <c r="N1121" s="67"/>
      <c r="O1121" s="73"/>
      <c r="P1121" s="237"/>
      <c r="Q1121" s="255"/>
      <c r="R1121" s="260"/>
      <c r="S1121" s="415"/>
      <c r="T1121" s="190"/>
      <c r="U1121" s="22"/>
      <c r="V1121" s="233"/>
      <c r="W1121" s="239"/>
      <c r="X1121" s="403"/>
      <c r="Y1121" s="258"/>
    </row>
    <row r="1122" spans="1:25" hidden="1" x14ac:dyDescent="0.3">
      <c r="A1122" s="47">
        <f>IF(B1122="","",SUBTOTAL(3,$B$3:B1122)-1)</f>
        <v>9</v>
      </c>
      <c r="B1122" s="274" t="s">
        <v>427</v>
      </c>
      <c r="C1122" s="274" t="s">
        <v>16</v>
      </c>
      <c r="D1122" s="274">
        <v>772178773</v>
      </c>
      <c r="E1122" s="46">
        <f>($AA$2-O1122)*$AB$2+Q1122</f>
        <v>0</v>
      </c>
      <c r="F1122" s="22">
        <v>8</v>
      </c>
      <c r="G1122" s="175"/>
      <c r="H1122" s="405"/>
      <c r="I1122" s="185"/>
      <c r="J1122" s="67"/>
      <c r="K1122" s="194"/>
      <c r="L1122" s="180"/>
      <c r="M1122" s="180"/>
      <c r="N1122" s="180"/>
      <c r="O1122" s="181"/>
      <c r="P1122" s="237"/>
      <c r="Q1122" s="255"/>
      <c r="R1122" s="260"/>
      <c r="S1122" s="415"/>
      <c r="T1122" s="190"/>
      <c r="U1122" s="22"/>
      <c r="V1122" s="233"/>
      <c r="W1122" s="239"/>
      <c r="X1122" s="403"/>
      <c r="Y1122" s="258"/>
    </row>
    <row r="1123" spans="1:25" hidden="1" x14ac:dyDescent="0.3">
      <c r="A1123" s="47">
        <f>IF(B1123="","",SUBTOTAL(3,$B$3:B1123)-1)</f>
        <v>9</v>
      </c>
      <c r="B1123" s="276" t="s">
        <v>573</v>
      </c>
      <c r="C1123" s="276" t="s">
        <v>565</v>
      </c>
      <c r="D1123" s="276"/>
      <c r="E1123" s="46">
        <f>($AA$2-O1123)*$AB$2+Q1123</f>
        <v>0</v>
      </c>
      <c r="F1123" s="22">
        <v>11</v>
      </c>
      <c r="G1123" s="175"/>
      <c r="H1123" s="405"/>
      <c r="I1123" s="185"/>
      <c r="J1123" s="67"/>
      <c r="K1123" s="194"/>
      <c r="L1123" s="67"/>
      <c r="M1123" s="67"/>
      <c r="N1123" s="67"/>
      <c r="O1123" s="73"/>
      <c r="P1123" s="237"/>
      <c r="Q1123" s="255"/>
      <c r="R1123" s="260"/>
      <c r="S1123" s="415"/>
      <c r="T1123" s="190"/>
      <c r="U1123" s="22"/>
      <c r="V1123" s="233"/>
      <c r="W1123" s="239"/>
      <c r="X1123" s="403"/>
      <c r="Y1123" s="258"/>
    </row>
    <row r="1124" spans="1:25" hidden="1" x14ac:dyDescent="0.3">
      <c r="A1124" s="47">
        <f>IF(B1124="","",SUBTOTAL(3,$B$3:B1124)-1)</f>
        <v>9</v>
      </c>
      <c r="B1124" s="272" t="s">
        <v>246</v>
      </c>
      <c r="C1124" s="272" t="s">
        <v>50</v>
      </c>
      <c r="D1124" s="276"/>
      <c r="E1124" s="46"/>
      <c r="F1124" s="142">
        <v>3</v>
      </c>
      <c r="G1124" s="176"/>
      <c r="H1124" s="405"/>
      <c r="I1124" s="185"/>
      <c r="J1124" s="67"/>
      <c r="K1124" s="194"/>
      <c r="L1124" s="180"/>
      <c r="M1124" s="180"/>
      <c r="N1124" s="180"/>
      <c r="O1124" s="181"/>
      <c r="P1124" s="237"/>
      <c r="Q1124" s="255"/>
      <c r="R1124" s="260"/>
      <c r="S1124" s="415"/>
      <c r="T1124" s="190"/>
      <c r="U1124" s="22"/>
      <c r="V1124" s="233"/>
      <c r="W1124" s="239"/>
      <c r="X1124" s="403"/>
      <c r="Y1124" s="258"/>
    </row>
    <row r="1125" spans="1:25" hidden="1" x14ac:dyDescent="0.3">
      <c r="A1125" s="47">
        <f>IF(B1125="","",SUBTOTAL(3,$B$3:B1125)-1)</f>
        <v>9</v>
      </c>
      <c r="B1125" s="274" t="s">
        <v>246</v>
      </c>
      <c r="C1125" s="274" t="s">
        <v>50</v>
      </c>
      <c r="D1125" s="272"/>
      <c r="E1125" s="46"/>
      <c r="F1125" s="142">
        <v>3</v>
      </c>
      <c r="G1125" s="175"/>
      <c r="H1125" s="407" t="s">
        <v>634</v>
      </c>
      <c r="I1125" s="189"/>
      <c r="J1125" s="67"/>
      <c r="K1125" s="194"/>
      <c r="L1125" s="67"/>
      <c r="M1125" s="67"/>
      <c r="N1125" s="67"/>
      <c r="O1125" s="73"/>
      <c r="P1125" s="237"/>
      <c r="Q1125" s="255"/>
      <c r="R1125" s="260"/>
      <c r="S1125" s="415"/>
      <c r="T1125" s="190"/>
      <c r="U1125" s="22"/>
      <c r="V1125" s="233"/>
      <c r="W1125" s="239"/>
      <c r="X1125" s="403"/>
      <c r="Y1125" s="258"/>
    </row>
    <row r="1126" spans="1:25" hidden="1" x14ac:dyDescent="0.3">
      <c r="A1126" s="47">
        <f>IF(B1126="","",SUBTOTAL(3,$B$3:B1126)-1)</f>
        <v>9</v>
      </c>
      <c r="B1126" s="327" t="s">
        <v>1287</v>
      </c>
      <c r="C1126" s="327" t="s">
        <v>50</v>
      </c>
      <c r="D1126" s="327">
        <v>911826537</v>
      </c>
      <c r="E1126" s="46" t="s">
        <v>1214</v>
      </c>
      <c r="F1126" s="300">
        <v>5</v>
      </c>
      <c r="G1126" s="175" t="s">
        <v>826</v>
      </c>
      <c r="H1126" s="405"/>
      <c r="I1126" s="185"/>
      <c r="J1126" s="71"/>
      <c r="K1126" s="194"/>
      <c r="L1126" s="67"/>
      <c r="M1126" s="67"/>
      <c r="N1126" s="67"/>
      <c r="O1126" s="73"/>
      <c r="P1126" s="237"/>
      <c r="Q1126" s="255"/>
      <c r="R1126" s="260" t="s">
        <v>2</v>
      </c>
      <c r="S1126" s="415"/>
      <c r="T1126" s="190"/>
      <c r="U1126" s="22"/>
      <c r="V1126" s="233"/>
      <c r="W1126" s="239"/>
      <c r="X1126" s="403"/>
      <c r="Y1126" s="323" t="s">
        <v>1319</v>
      </c>
    </row>
    <row r="1127" spans="1:25" hidden="1" x14ac:dyDescent="0.3">
      <c r="A1127" s="47">
        <f>IF(B1127="","",SUBTOTAL(3,$B$3:B1127)-1)</f>
        <v>9</v>
      </c>
      <c r="B1127" s="274" t="s">
        <v>458</v>
      </c>
      <c r="C1127" s="274" t="s">
        <v>50</v>
      </c>
      <c r="D1127" s="274">
        <v>363230876</v>
      </c>
      <c r="E1127" s="46">
        <f t="shared" ref="E1127:E1133" si="8">($AA$2-O1127)*$AB$2+Q1127</f>
        <v>0</v>
      </c>
      <c r="F1127" s="142">
        <v>6</v>
      </c>
      <c r="G1127" s="176" t="s">
        <v>660</v>
      </c>
      <c r="H1127" s="405"/>
      <c r="I1127" s="185"/>
      <c r="J1127" s="67"/>
      <c r="K1127" s="194"/>
      <c r="L1127" s="67"/>
      <c r="M1127" s="67"/>
      <c r="N1127" s="67"/>
      <c r="O1127" s="73"/>
      <c r="P1127" s="237" t="s">
        <v>1</v>
      </c>
      <c r="Q1127" s="255"/>
      <c r="R1127" s="260" t="s">
        <v>0</v>
      </c>
      <c r="S1127" s="415"/>
      <c r="T1127" s="190"/>
      <c r="U1127" s="22"/>
      <c r="V1127" s="233"/>
      <c r="W1127" s="239" t="s">
        <v>848</v>
      </c>
      <c r="X1127" s="403"/>
      <c r="Y1127" s="258"/>
    </row>
    <row r="1128" spans="1:25" hidden="1" x14ac:dyDescent="0.3">
      <c r="A1128" s="47">
        <f>IF(B1128="","",SUBTOTAL(3,$B$3:B1128)-1)</f>
        <v>9</v>
      </c>
      <c r="B1128" s="272" t="s">
        <v>192</v>
      </c>
      <c r="C1128" s="272" t="s">
        <v>50</v>
      </c>
      <c r="D1128" s="298"/>
      <c r="E1128" s="46">
        <f t="shared" si="8"/>
        <v>0</v>
      </c>
      <c r="F1128" s="22">
        <v>11</v>
      </c>
      <c r="G1128" s="175" t="s">
        <v>415</v>
      </c>
      <c r="H1128" s="405" t="s">
        <v>696</v>
      </c>
      <c r="I1128" s="185"/>
      <c r="J1128" s="67"/>
      <c r="K1128" s="194"/>
      <c r="L1128" s="180"/>
      <c r="M1128" s="180"/>
      <c r="N1128" s="180"/>
      <c r="O1128" s="181"/>
      <c r="P1128" s="237"/>
      <c r="Q1128" s="255"/>
      <c r="R1128" s="260" t="s">
        <v>661</v>
      </c>
      <c r="S1128" s="415" t="s">
        <v>661</v>
      </c>
      <c r="T1128" s="190"/>
      <c r="U1128" s="22"/>
      <c r="V1128" s="233"/>
      <c r="W1128" s="239"/>
      <c r="X1128" s="403"/>
      <c r="Y1128" s="258"/>
    </row>
    <row r="1129" spans="1:25" hidden="1" x14ac:dyDescent="0.3">
      <c r="A1129" s="47">
        <f>IF(B1129="","",SUBTOTAL(3,$B$3:B1129)-1)</f>
        <v>9</v>
      </c>
      <c r="B1129" s="276" t="s">
        <v>561</v>
      </c>
      <c r="C1129" s="276" t="s">
        <v>50</v>
      </c>
      <c r="D1129" s="298"/>
      <c r="E1129" s="46">
        <f t="shared" si="8"/>
        <v>0</v>
      </c>
      <c r="F1129" s="22">
        <v>12</v>
      </c>
      <c r="G1129" s="175" t="s">
        <v>660</v>
      </c>
      <c r="H1129" s="405"/>
      <c r="I1129" s="185"/>
      <c r="J1129" s="67"/>
      <c r="K1129" s="194"/>
      <c r="L1129" s="67"/>
      <c r="M1129" s="67"/>
      <c r="N1129" s="67"/>
      <c r="O1129" s="73"/>
      <c r="P1129" s="237"/>
      <c r="Q1129" s="255"/>
      <c r="R1129" s="260" t="s">
        <v>1</v>
      </c>
      <c r="S1129" s="415"/>
      <c r="T1129" s="190"/>
      <c r="U1129" s="22"/>
      <c r="V1129" s="233"/>
      <c r="W1129" s="239"/>
      <c r="X1129" s="403"/>
      <c r="Y1129" s="258"/>
    </row>
    <row r="1130" spans="1:25" hidden="1" x14ac:dyDescent="0.3">
      <c r="A1130" s="47">
        <f>IF(B1130="","",SUBTOTAL(3,$B$3:B1130)-1)</f>
        <v>9</v>
      </c>
      <c r="B1130" s="276" t="s">
        <v>277</v>
      </c>
      <c r="C1130" s="351" t="s">
        <v>50</v>
      </c>
      <c r="D1130" s="274"/>
      <c r="E1130" s="46">
        <f t="shared" si="8"/>
        <v>0</v>
      </c>
      <c r="F1130" s="22" t="s">
        <v>1213</v>
      </c>
      <c r="G1130" s="175" t="s">
        <v>660</v>
      </c>
      <c r="H1130" s="405"/>
      <c r="I1130" s="185"/>
      <c r="J1130" s="67"/>
      <c r="K1130" s="194"/>
      <c r="L1130" s="67"/>
      <c r="M1130" s="67"/>
      <c r="N1130" s="67"/>
      <c r="O1130" s="73"/>
      <c r="P1130" s="237"/>
      <c r="Q1130" s="255"/>
      <c r="R1130" s="260" t="s">
        <v>0</v>
      </c>
      <c r="S1130" s="415"/>
      <c r="T1130" s="190"/>
      <c r="U1130" s="22"/>
      <c r="V1130" s="233"/>
      <c r="W1130" s="239"/>
      <c r="X1130" s="403"/>
      <c r="Y1130" s="258"/>
    </row>
    <row r="1131" spans="1:25" hidden="1" x14ac:dyDescent="0.3">
      <c r="A1131" s="47">
        <f>IF(B1131="","",SUBTOTAL(3,$B$3:B1131)-1)</f>
        <v>9</v>
      </c>
      <c r="B1131" s="276" t="s">
        <v>276</v>
      </c>
      <c r="C1131" s="351" t="s">
        <v>50</v>
      </c>
      <c r="D1131" s="341"/>
      <c r="E1131" s="46">
        <f t="shared" si="8"/>
        <v>0</v>
      </c>
      <c r="F1131" s="22" t="s">
        <v>1213</v>
      </c>
      <c r="G1131" s="175" t="s">
        <v>660</v>
      </c>
      <c r="H1131" s="405"/>
      <c r="I1131" s="185"/>
      <c r="J1131" s="67"/>
      <c r="K1131" s="194"/>
      <c r="L1131" s="67"/>
      <c r="M1131" s="67"/>
      <c r="N1131" s="67"/>
      <c r="O1131" s="73"/>
      <c r="P1131" s="237"/>
      <c r="Q1131" s="255"/>
      <c r="R1131" s="260" t="s">
        <v>0</v>
      </c>
      <c r="S1131" s="415"/>
      <c r="T1131" s="190"/>
      <c r="U1131" s="22"/>
      <c r="V1131" s="233"/>
      <c r="W1131" s="239"/>
      <c r="X1131" s="403"/>
      <c r="Y1131" s="258"/>
    </row>
    <row r="1132" spans="1:25" hidden="1" x14ac:dyDescent="0.3">
      <c r="A1132" s="47">
        <f>IF(B1132="","",SUBTOTAL(3,$B$3:B1132)-1)</f>
        <v>9</v>
      </c>
      <c r="B1132" s="276" t="s">
        <v>264</v>
      </c>
      <c r="C1132" s="351" t="s">
        <v>50</v>
      </c>
      <c r="D1132" s="298"/>
      <c r="E1132" s="46">
        <f t="shared" si="8"/>
        <v>0</v>
      </c>
      <c r="F1132" s="22" t="s">
        <v>1213</v>
      </c>
      <c r="G1132" s="175"/>
      <c r="H1132" s="405"/>
      <c r="I1132" s="185"/>
      <c r="J1132" s="67"/>
      <c r="K1132" s="194"/>
      <c r="L1132" s="67"/>
      <c r="M1132" s="67"/>
      <c r="N1132" s="67"/>
      <c r="O1132" s="73"/>
      <c r="P1132" s="237"/>
      <c r="Q1132" s="255"/>
      <c r="R1132" s="260"/>
      <c r="S1132" s="415"/>
      <c r="T1132" s="190"/>
      <c r="U1132" s="22"/>
      <c r="V1132" s="233"/>
      <c r="W1132" s="239"/>
      <c r="X1132" s="403"/>
      <c r="Y1132" s="258"/>
    </row>
    <row r="1133" spans="1:25" hidden="1" x14ac:dyDescent="0.3">
      <c r="A1133" s="47">
        <f>IF(B1133="","",SUBTOTAL(3,$B$3:B1133)-1)</f>
        <v>9</v>
      </c>
      <c r="B1133" s="276" t="s">
        <v>192</v>
      </c>
      <c r="C1133" s="276" t="s">
        <v>50</v>
      </c>
      <c r="D1133" s="298"/>
      <c r="E1133" s="46">
        <f t="shared" si="8"/>
        <v>0</v>
      </c>
      <c r="F1133" s="22">
        <v>9</v>
      </c>
      <c r="G1133" s="175" t="s">
        <v>415</v>
      </c>
      <c r="H1133" s="409" t="s">
        <v>2</v>
      </c>
      <c r="I1133" s="187"/>
      <c r="J1133" s="67" t="s">
        <v>661</v>
      </c>
      <c r="K1133" s="194"/>
      <c r="L1133" s="180"/>
      <c r="M1133" s="180"/>
      <c r="N1133" s="180"/>
      <c r="O1133" s="181"/>
      <c r="P1133" s="237"/>
      <c r="Q1133" s="255"/>
      <c r="R1133" s="260" t="s">
        <v>848</v>
      </c>
      <c r="S1133" s="415" t="s">
        <v>848</v>
      </c>
      <c r="T1133" s="190"/>
      <c r="U1133" s="22" t="s">
        <v>0</v>
      </c>
      <c r="V1133" s="233"/>
      <c r="W1133" s="239"/>
      <c r="X1133" s="403"/>
      <c r="Y1133" s="258"/>
    </row>
    <row r="1134" spans="1:25" hidden="1" x14ac:dyDescent="0.3">
      <c r="A1134" s="47">
        <f>IF(B1134="","",SUBTOTAL(3,$B$3:B1134)-1)</f>
        <v>9</v>
      </c>
      <c r="B1134" s="280" t="s">
        <v>960</v>
      </c>
      <c r="C1134" s="280" t="s">
        <v>659</v>
      </c>
      <c r="D1134" s="280"/>
      <c r="E1134" s="46"/>
      <c r="F1134" s="22">
        <v>11</v>
      </c>
      <c r="G1134" s="176"/>
      <c r="H1134" s="406"/>
      <c r="I1134" s="188"/>
      <c r="J1134" s="142"/>
      <c r="K1134" s="196"/>
      <c r="L1134" s="67"/>
      <c r="M1134" s="67"/>
      <c r="N1134" s="67"/>
      <c r="O1134" s="73"/>
      <c r="P1134" s="237"/>
      <c r="Q1134" s="255"/>
      <c r="R1134" s="260"/>
      <c r="S1134" s="415"/>
      <c r="T1134" s="190"/>
      <c r="U1134" s="22"/>
      <c r="V1134" s="233" t="s">
        <v>848</v>
      </c>
      <c r="W1134" s="239"/>
      <c r="X1134" s="403"/>
      <c r="Y1134" s="258"/>
    </row>
    <row r="1135" spans="1:25" hidden="1" x14ac:dyDescent="0.3">
      <c r="A1135" s="47">
        <f>IF(B1135="","",SUBTOTAL(3,$B$3:B1135)-1)</f>
        <v>9</v>
      </c>
      <c r="B1135" s="272" t="s">
        <v>1120</v>
      </c>
      <c r="C1135" s="272" t="s">
        <v>659</v>
      </c>
      <c r="D1135" s="298"/>
      <c r="E1135" s="46">
        <f>($AA$2-O1135)*$AB$2+Q1135</f>
        <v>0</v>
      </c>
      <c r="F1135" s="22">
        <v>9</v>
      </c>
      <c r="G1135" s="175" t="s">
        <v>415</v>
      </c>
      <c r="H1135" s="409" t="s">
        <v>2</v>
      </c>
      <c r="I1135" s="187" t="s">
        <v>634</v>
      </c>
      <c r="J1135" s="67" t="s">
        <v>661</v>
      </c>
      <c r="K1135" s="194"/>
      <c r="L1135" s="180"/>
      <c r="M1135" s="180"/>
      <c r="N1135" s="180"/>
      <c r="O1135" s="181"/>
      <c r="P1135" s="237"/>
      <c r="Q1135" s="255"/>
      <c r="R1135" s="260" t="s">
        <v>848</v>
      </c>
      <c r="S1135" s="415" t="s">
        <v>848</v>
      </c>
      <c r="T1135" s="190" t="s">
        <v>0</v>
      </c>
      <c r="U1135" s="22" t="s">
        <v>0</v>
      </c>
      <c r="V1135" s="233"/>
      <c r="W1135" s="239"/>
      <c r="X1135" s="403"/>
      <c r="Y1135" s="258"/>
    </row>
    <row r="1136" spans="1:25" hidden="1" x14ac:dyDescent="0.3">
      <c r="A1136" s="47">
        <f>IF(B1136="","",SUBTOTAL(3,$B$3:B1136)-1)</f>
        <v>9</v>
      </c>
      <c r="B1136" s="202" t="s">
        <v>1291</v>
      </c>
      <c r="C1136" s="276" t="s">
        <v>1395</v>
      </c>
      <c r="D1136" s="298"/>
      <c r="E1136" s="46"/>
      <c r="F1136" s="142">
        <v>7</v>
      </c>
      <c r="G1136" s="176"/>
      <c r="H1136" s="406"/>
      <c r="I1136" s="185"/>
      <c r="J1136" s="67"/>
      <c r="K1136" s="194"/>
      <c r="L1136" s="180"/>
      <c r="M1136" s="180"/>
      <c r="N1136" s="180"/>
      <c r="O1136" s="181"/>
      <c r="P1136" s="237"/>
      <c r="Q1136" s="255"/>
      <c r="R1136" s="260" t="s">
        <v>661</v>
      </c>
      <c r="S1136" s="415"/>
      <c r="T1136" s="190"/>
      <c r="U1136" s="22"/>
      <c r="V1136" s="233"/>
      <c r="W1136" s="239"/>
      <c r="X1136" s="403"/>
      <c r="Y1136" s="258"/>
    </row>
    <row r="1137" spans="1:25" hidden="1" x14ac:dyDescent="0.3">
      <c r="A1137" s="47">
        <f>IF(B1137="","",SUBTOTAL(3,$B$3:B1137)-1)</f>
        <v>9</v>
      </c>
      <c r="B1137" s="274" t="s">
        <v>851</v>
      </c>
      <c r="C1137" s="274" t="s">
        <v>1118</v>
      </c>
      <c r="D1137" s="365"/>
      <c r="E1137" s="46"/>
      <c r="F1137" s="22">
        <v>8</v>
      </c>
      <c r="G1137" s="175" t="s">
        <v>415</v>
      </c>
      <c r="H1137" s="405"/>
      <c r="I1137" s="185"/>
      <c r="J1137" s="67"/>
      <c r="K1137" s="194"/>
      <c r="L1137" s="67"/>
      <c r="M1137" s="67"/>
      <c r="N1137" s="67"/>
      <c r="O1137" s="73"/>
      <c r="P1137" s="237"/>
      <c r="Q1137" s="255"/>
      <c r="R1137" s="260" t="s">
        <v>1</v>
      </c>
      <c r="S1137" s="415"/>
      <c r="T1137" s="190"/>
      <c r="U1137" s="22"/>
      <c r="V1137" s="233"/>
      <c r="W1137" s="239"/>
      <c r="X1137" s="403"/>
      <c r="Y1137" s="258"/>
    </row>
    <row r="1138" spans="1:25" hidden="1" x14ac:dyDescent="0.3">
      <c r="A1138" s="47">
        <f>IF(B1138="","",SUBTOTAL(3,$B$3:B1138)-1)</f>
        <v>9</v>
      </c>
      <c r="B1138" s="280" t="s">
        <v>804</v>
      </c>
      <c r="C1138" s="280" t="s">
        <v>69</v>
      </c>
      <c r="D1138" s="280">
        <v>333978559</v>
      </c>
      <c r="E1138" s="46"/>
      <c r="F1138" s="142">
        <v>7</v>
      </c>
      <c r="G1138" s="175" t="s">
        <v>415</v>
      </c>
      <c r="H1138" s="406" t="s">
        <v>696</v>
      </c>
      <c r="I1138" s="188"/>
      <c r="J1138" s="142"/>
      <c r="K1138" s="196" t="s">
        <v>721</v>
      </c>
      <c r="L1138" s="67"/>
      <c r="M1138" s="67"/>
      <c r="N1138" s="67"/>
      <c r="O1138" s="73"/>
      <c r="P1138" s="237" t="s">
        <v>1</v>
      </c>
      <c r="Q1138" s="255"/>
      <c r="R1138" s="260" t="s">
        <v>0</v>
      </c>
      <c r="S1138" s="415" t="s">
        <v>848</v>
      </c>
      <c r="T1138" s="190"/>
      <c r="U1138" s="22"/>
      <c r="V1138" s="233"/>
      <c r="W1138" s="239"/>
      <c r="X1138" s="403"/>
      <c r="Y1138" s="258"/>
    </row>
    <row r="1139" spans="1:25" hidden="1" x14ac:dyDescent="0.3">
      <c r="A1139" s="47">
        <f>IF(B1139="","",SUBTOTAL(3,$B$3:B1139)-1)</f>
        <v>9</v>
      </c>
      <c r="B1139" s="276" t="s">
        <v>221</v>
      </c>
      <c r="C1139" s="276" t="s">
        <v>69</v>
      </c>
      <c r="D1139" s="298"/>
      <c r="E1139" s="46">
        <f>($AA$2-O1139)*$AB$2+Q1139</f>
        <v>0</v>
      </c>
      <c r="F1139" s="22">
        <v>9</v>
      </c>
      <c r="G1139" s="175" t="s">
        <v>415</v>
      </c>
      <c r="H1139" s="409" t="s">
        <v>660</v>
      </c>
      <c r="I1139" s="190" t="s">
        <v>634</v>
      </c>
      <c r="J1139" s="68"/>
      <c r="K1139" s="195"/>
      <c r="L1139" s="182"/>
      <c r="M1139" s="182"/>
      <c r="N1139" s="182"/>
      <c r="O1139" s="181"/>
      <c r="P1139" s="237"/>
      <c r="Q1139" s="255"/>
      <c r="R1139" s="260" t="s">
        <v>1</v>
      </c>
      <c r="S1139" s="415" t="s">
        <v>1</v>
      </c>
      <c r="T1139" s="190" t="s">
        <v>0</v>
      </c>
      <c r="U1139" s="22"/>
      <c r="V1139" s="233"/>
      <c r="W1139" s="239"/>
      <c r="X1139" s="403"/>
      <c r="Y1139" s="258"/>
    </row>
    <row r="1140" spans="1:25" hidden="1" x14ac:dyDescent="0.3">
      <c r="A1140" s="47">
        <f>IF(B1140="","",SUBTOTAL(3,$B$3:B1140)-1)</f>
        <v>9</v>
      </c>
      <c r="B1140" s="274" t="s">
        <v>627</v>
      </c>
      <c r="C1140" s="274" t="s">
        <v>78</v>
      </c>
      <c r="D1140" s="274" t="s">
        <v>866</v>
      </c>
      <c r="E1140" s="46"/>
      <c r="F1140" s="22">
        <v>2</v>
      </c>
      <c r="G1140" s="175"/>
      <c r="H1140" s="405" t="s">
        <v>860</v>
      </c>
      <c r="I1140" s="185" t="s">
        <v>860</v>
      </c>
      <c r="J1140" s="67"/>
      <c r="K1140" s="194" t="s">
        <v>721</v>
      </c>
      <c r="L1140" s="180"/>
      <c r="M1140" s="180"/>
      <c r="N1140" s="180"/>
      <c r="O1140" s="181"/>
      <c r="P1140" s="237"/>
      <c r="Q1140" s="255"/>
      <c r="R1140" s="260"/>
      <c r="S1140" s="415"/>
      <c r="T1140" s="190" t="s">
        <v>1</v>
      </c>
      <c r="U1140" s="22"/>
      <c r="V1140" s="233"/>
      <c r="W1140" s="239"/>
      <c r="X1140" s="403"/>
      <c r="Y1140" s="258"/>
    </row>
    <row r="1141" spans="1:25" hidden="1" x14ac:dyDescent="0.3">
      <c r="A1141" s="47">
        <f>IF(B1141="","",SUBTOTAL(3,$B$3:B1141)-1)</f>
        <v>9</v>
      </c>
      <c r="B1141" s="276" t="s">
        <v>234</v>
      </c>
      <c r="C1141" s="276" t="s">
        <v>78</v>
      </c>
      <c r="D1141" s="298"/>
      <c r="E1141" s="46">
        <f>($AA$2-O1141)*$AB$2+Q1141</f>
        <v>0</v>
      </c>
      <c r="F1141" s="22">
        <v>10</v>
      </c>
      <c r="G1141" s="175" t="s">
        <v>415</v>
      </c>
      <c r="H1141" s="405" t="s">
        <v>696</v>
      </c>
      <c r="I1141" s="185" t="s">
        <v>634</v>
      </c>
      <c r="J1141" s="71" t="s">
        <v>661</v>
      </c>
      <c r="K1141" s="194"/>
      <c r="L1141" s="180"/>
      <c r="M1141" s="180"/>
      <c r="N1141" s="180"/>
      <c r="O1141" s="181"/>
      <c r="P1141" s="237"/>
      <c r="Q1141" s="255"/>
      <c r="R1141" s="260" t="s">
        <v>848</v>
      </c>
      <c r="S1141" s="415" t="s">
        <v>661</v>
      </c>
      <c r="T1141" s="190" t="s">
        <v>0</v>
      </c>
      <c r="U1141" s="22" t="s">
        <v>0</v>
      </c>
      <c r="V1141" s="233"/>
      <c r="W1141" s="239"/>
      <c r="X1141" s="403"/>
      <c r="Y1141" s="258"/>
    </row>
    <row r="1142" spans="1:25" hidden="1" x14ac:dyDescent="0.3">
      <c r="A1142" s="47">
        <f>IF(B1142="","",SUBTOTAL(3,$B$3:B1142)-1)</f>
        <v>9</v>
      </c>
      <c r="B1142" s="276" t="s">
        <v>552</v>
      </c>
      <c r="C1142" s="276" t="s">
        <v>78</v>
      </c>
      <c r="D1142" s="276">
        <v>334468974</v>
      </c>
      <c r="E1142" s="46">
        <f>($AA$2-O1142)*$AB$2+Q1142</f>
        <v>0</v>
      </c>
      <c r="F1142" s="22">
        <v>11</v>
      </c>
      <c r="G1142" s="175"/>
      <c r="H1142" s="405"/>
      <c r="I1142" s="185"/>
      <c r="J1142" s="67"/>
      <c r="K1142" s="194"/>
      <c r="L1142" s="67"/>
      <c r="M1142" s="67"/>
      <c r="N1142" s="67"/>
      <c r="O1142" s="73"/>
      <c r="P1142" s="237"/>
      <c r="Q1142" s="255"/>
      <c r="R1142" s="260"/>
      <c r="S1142" s="415"/>
      <c r="T1142" s="190"/>
      <c r="U1142" s="22"/>
      <c r="V1142" s="233"/>
      <c r="W1142" s="239"/>
      <c r="X1142" s="403"/>
      <c r="Y1142" s="258"/>
    </row>
    <row r="1143" spans="1:25" hidden="1" x14ac:dyDescent="0.3">
      <c r="A1143" s="47">
        <f>IF(B1143="","",SUBTOTAL(3,$B$3:B1143)-1)</f>
        <v>9</v>
      </c>
      <c r="B1143" s="327" t="s">
        <v>1304</v>
      </c>
      <c r="C1143" s="327" t="s">
        <v>1305</v>
      </c>
      <c r="D1143" s="366"/>
      <c r="E1143" s="46" t="s">
        <v>1214</v>
      </c>
      <c r="F1143" s="301">
        <v>9</v>
      </c>
      <c r="G1143" s="175" t="s">
        <v>415</v>
      </c>
      <c r="H1143" s="405"/>
      <c r="I1143" s="185"/>
      <c r="J1143" s="71"/>
      <c r="K1143" s="194"/>
      <c r="L1143" s="67"/>
      <c r="M1143" s="67"/>
      <c r="N1143" s="67"/>
      <c r="O1143" s="73"/>
      <c r="P1143" s="237"/>
      <c r="Q1143" s="255"/>
      <c r="R1143" s="260" t="s">
        <v>661</v>
      </c>
      <c r="S1143" s="415"/>
      <c r="T1143" s="190"/>
      <c r="U1143" s="22"/>
      <c r="V1143" s="233"/>
      <c r="W1143" s="239"/>
      <c r="X1143" s="403"/>
      <c r="Y1143" s="323" t="s">
        <v>1046</v>
      </c>
    </row>
    <row r="1144" spans="1:25" hidden="1" x14ac:dyDescent="0.3">
      <c r="A1144" s="47">
        <f>IF(B1144="","",SUBTOTAL(3,$B$3:B1144)-1)</f>
        <v>9</v>
      </c>
      <c r="B1144" s="272" t="s">
        <v>157</v>
      </c>
      <c r="C1144" s="272" t="s">
        <v>65</v>
      </c>
      <c r="D1144" s="276"/>
      <c r="E1144" s="46"/>
      <c r="F1144" s="142">
        <v>3</v>
      </c>
      <c r="G1144" s="176"/>
      <c r="H1144" s="405"/>
      <c r="I1144" s="185"/>
      <c r="J1144" s="67"/>
      <c r="K1144" s="194"/>
      <c r="L1144" s="180"/>
      <c r="M1144" s="180"/>
      <c r="N1144" s="180"/>
      <c r="O1144" s="181"/>
      <c r="P1144" s="237"/>
      <c r="Q1144" s="255"/>
      <c r="R1144" s="260"/>
      <c r="S1144" s="415"/>
      <c r="T1144" s="190"/>
      <c r="U1144" s="22"/>
      <c r="V1144" s="233"/>
      <c r="W1144" s="239"/>
      <c r="X1144" s="403"/>
      <c r="Y1144" s="258"/>
    </row>
    <row r="1145" spans="1:25" hidden="1" x14ac:dyDescent="0.3">
      <c r="A1145" s="47">
        <f>IF(B1145="","",SUBTOTAL(3,$B$3:B1145)-1)</f>
        <v>9</v>
      </c>
      <c r="B1145" s="280" t="s">
        <v>157</v>
      </c>
      <c r="C1145" s="346" t="s">
        <v>65</v>
      </c>
      <c r="D1145" s="280"/>
      <c r="E1145" s="46"/>
      <c r="F1145" s="142">
        <v>3</v>
      </c>
      <c r="G1145" s="176"/>
      <c r="H1145" s="407" t="s">
        <v>634</v>
      </c>
      <c r="I1145" s="189" t="s">
        <v>634</v>
      </c>
      <c r="J1145" s="67"/>
      <c r="K1145" s="194"/>
      <c r="L1145" s="180"/>
      <c r="M1145" s="180"/>
      <c r="N1145" s="180"/>
      <c r="O1145" s="181"/>
      <c r="P1145" s="237"/>
      <c r="Q1145" s="255"/>
      <c r="R1145" s="260"/>
      <c r="S1145" s="415"/>
      <c r="T1145" s="190" t="s">
        <v>0</v>
      </c>
      <c r="U1145" s="22"/>
      <c r="V1145" s="233"/>
      <c r="W1145" s="239"/>
      <c r="X1145" s="403"/>
      <c r="Y1145" s="258"/>
    </row>
    <row r="1146" spans="1:25" hidden="1" x14ac:dyDescent="0.3">
      <c r="A1146" s="47">
        <f>IF(B1146="","",SUBTOTAL(3,$B$3:B1146)-1)</f>
        <v>9</v>
      </c>
      <c r="B1146" s="272" t="s">
        <v>701</v>
      </c>
      <c r="C1146" s="272" t="s">
        <v>65</v>
      </c>
      <c r="D1146" s="298"/>
      <c r="E1146" s="46">
        <f>($AA$2-O1146)*$AB$2+Q1146</f>
        <v>0</v>
      </c>
      <c r="F1146" s="22">
        <v>11</v>
      </c>
      <c r="G1146" s="175" t="s">
        <v>415</v>
      </c>
      <c r="H1146" s="405" t="s">
        <v>696</v>
      </c>
      <c r="I1146" s="185"/>
      <c r="J1146" s="67"/>
      <c r="K1146" s="194"/>
      <c r="L1146" s="180"/>
      <c r="M1146" s="180"/>
      <c r="N1146" s="180"/>
      <c r="O1146" s="181"/>
      <c r="P1146" s="237"/>
      <c r="Q1146" s="255"/>
      <c r="R1146" s="260" t="s">
        <v>661</v>
      </c>
      <c r="S1146" s="415" t="s">
        <v>661</v>
      </c>
      <c r="T1146" s="190"/>
      <c r="U1146" s="22"/>
      <c r="V1146" s="233" t="s">
        <v>848</v>
      </c>
      <c r="W1146" s="239"/>
      <c r="X1146" s="403"/>
      <c r="Y1146" s="258"/>
    </row>
    <row r="1147" spans="1:25" hidden="1" x14ac:dyDescent="0.3">
      <c r="A1147" s="47">
        <f>IF(B1147="","",SUBTOTAL(3,$B$3:B1147)-1)</f>
        <v>9</v>
      </c>
      <c r="B1147" s="276" t="s">
        <v>213</v>
      </c>
      <c r="C1147" s="276" t="s">
        <v>65</v>
      </c>
      <c r="D1147" s="298"/>
      <c r="E1147" s="46">
        <f>($AA$2-O1147)*$AB$2+Q1147</f>
        <v>0</v>
      </c>
      <c r="F1147" s="22">
        <v>9</v>
      </c>
      <c r="G1147" s="175" t="s">
        <v>415</v>
      </c>
      <c r="H1147" s="409" t="s">
        <v>696</v>
      </c>
      <c r="I1147" s="187" t="s">
        <v>661</v>
      </c>
      <c r="J1147" s="67" t="s">
        <v>661</v>
      </c>
      <c r="K1147" s="194"/>
      <c r="L1147" s="180"/>
      <c r="M1147" s="180"/>
      <c r="N1147" s="180"/>
      <c r="O1147" s="181"/>
      <c r="P1147" s="237"/>
      <c r="Q1147" s="255"/>
      <c r="R1147" s="260" t="s">
        <v>0</v>
      </c>
      <c r="S1147" s="415" t="s">
        <v>661</v>
      </c>
      <c r="T1147" s="190" t="s">
        <v>1</v>
      </c>
      <c r="U1147" s="22" t="s">
        <v>1</v>
      </c>
      <c r="V1147" s="233"/>
      <c r="W1147" s="239"/>
      <c r="X1147" s="403"/>
      <c r="Y1147" s="258"/>
    </row>
    <row r="1148" spans="1:25" hidden="1" x14ac:dyDescent="0.3">
      <c r="A1148" s="47">
        <f>IF(B1148="","",SUBTOTAL(3,$B$3:B1148)-1)</f>
        <v>9</v>
      </c>
      <c r="B1148" s="331" t="s">
        <v>1266</v>
      </c>
      <c r="C1148" s="331" t="s">
        <v>864</v>
      </c>
      <c r="D1148" s="358">
        <v>387752352</v>
      </c>
      <c r="E1148" s="46" t="s">
        <v>1214</v>
      </c>
      <c r="F1148" s="22">
        <v>6</v>
      </c>
      <c r="G1148" s="175" t="s">
        <v>415</v>
      </c>
      <c r="H1148" s="405"/>
      <c r="I1148" s="185"/>
      <c r="J1148" s="71"/>
      <c r="K1148" s="194"/>
      <c r="L1148" s="67"/>
      <c r="M1148" s="67"/>
      <c r="N1148" s="67"/>
      <c r="O1148" s="73"/>
      <c r="P1148" s="237"/>
      <c r="Q1148" s="255"/>
      <c r="R1148" s="375" t="s">
        <v>0</v>
      </c>
      <c r="S1148" s="416">
        <v>6</v>
      </c>
      <c r="T1148" s="190"/>
      <c r="U1148" s="22"/>
      <c r="V1148" s="233"/>
      <c r="W1148" s="239"/>
      <c r="X1148" s="403"/>
      <c r="Y1148" s="258"/>
    </row>
    <row r="1149" spans="1:25" hidden="1" x14ac:dyDescent="0.3">
      <c r="A1149" s="47">
        <f>IF(B1149="","",SUBTOTAL(3,$B$3:B1149)-1)</f>
        <v>9</v>
      </c>
      <c r="B1149" s="202" t="s">
        <v>545</v>
      </c>
      <c r="C1149" s="276" t="s">
        <v>1099</v>
      </c>
      <c r="D1149" s="298"/>
      <c r="E1149" s="46"/>
      <c r="F1149" s="142">
        <v>7</v>
      </c>
      <c r="G1149" s="176" t="s">
        <v>415</v>
      </c>
      <c r="H1149" s="406"/>
      <c r="I1149" s="185"/>
      <c r="J1149" s="67"/>
      <c r="K1149" s="194"/>
      <c r="L1149" s="180"/>
      <c r="M1149" s="180"/>
      <c r="N1149" s="180"/>
      <c r="O1149" s="181"/>
      <c r="P1149" s="237"/>
      <c r="Q1149" s="255"/>
      <c r="R1149" s="260" t="s">
        <v>2</v>
      </c>
      <c r="S1149" s="415"/>
      <c r="T1149" s="190"/>
      <c r="U1149" s="22"/>
      <c r="V1149" s="233"/>
      <c r="W1149" s="239"/>
      <c r="X1149" s="403"/>
      <c r="Y1149" s="258"/>
    </row>
    <row r="1150" spans="1:25" hidden="1" x14ac:dyDescent="0.3">
      <c r="A1150" s="47">
        <f>IF(B1150="","",SUBTOTAL(3,$B$3:B1150)-1)</f>
        <v>9</v>
      </c>
      <c r="B1150" s="274" t="s">
        <v>959</v>
      </c>
      <c r="C1150" s="274" t="s">
        <v>957</v>
      </c>
      <c r="D1150" s="274"/>
      <c r="E1150" s="46"/>
      <c r="F1150" s="22">
        <v>10</v>
      </c>
      <c r="G1150" s="175" t="s">
        <v>415</v>
      </c>
      <c r="H1150" s="406"/>
      <c r="I1150" s="185"/>
      <c r="J1150" s="67"/>
      <c r="K1150" s="194"/>
      <c r="L1150" s="67"/>
      <c r="M1150" s="67"/>
      <c r="N1150" s="67"/>
      <c r="O1150" s="73"/>
      <c r="P1150" s="237"/>
      <c r="Q1150" s="255"/>
      <c r="R1150" s="260"/>
      <c r="S1150" s="415"/>
      <c r="T1150" s="190"/>
      <c r="U1150" s="22"/>
      <c r="V1150" s="233"/>
      <c r="W1150" s="239"/>
      <c r="X1150" s="403"/>
      <c r="Y1150" s="258"/>
    </row>
    <row r="1151" spans="1:25" hidden="1" x14ac:dyDescent="0.3">
      <c r="A1151" s="47">
        <f>IF(B1151="","",SUBTOTAL(3,$B$3:B1151)-1)</f>
        <v>9</v>
      </c>
      <c r="B1151" s="202" t="s">
        <v>713</v>
      </c>
      <c r="C1151" s="276" t="s">
        <v>676</v>
      </c>
      <c r="D1151" s="298">
        <v>392704496</v>
      </c>
      <c r="E1151" s="46">
        <f>($AA$2-O1151)*$AB$2+Q1151</f>
        <v>0</v>
      </c>
      <c r="F1151" s="22">
        <v>11</v>
      </c>
      <c r="G1151" s="175" t="s">
        <v>660</v>
      </c>
      <c r="H1151" s="405" t="s">
        <v>1</v>
      </c>
      <c r="I1151" s="185"/>
      <c r="J1151" s="67"/>
      <c r="K1151" s="194" t="s">
        <v>660</v>
      </c>
      <c r="L1151" s="180"/>
      <c r="M1151" s="180"/>
      <c r="N1151" s="180"/>
      <c r="O1151" s="181"/>
      <c r="P1151" s="237"/>
      <c r="Q1151" s="255"/>
      <c r="R1151" s="260" t="s">
        <v>1</v>
      </c>
      <c r="S1151" s="415" t="s">
        <v>1</v>
      </c>
      <c r="T1151" s="190"/>
      <c r="U1151" s="22"/>
      <c r="V1151" s="233" t="s">
        <v>848</v>
      </c>
      <c r="W1151" s="239"/>
      <c r="X1151" s="403"/>
      <c r="Y1151" s="258"/>
    </row>
    <row r="1152" spans="1:25" hidden="1" x14ac:dyDescent="0.3">
      <c r="A1152" s="47">
        <f>IF(B1152="","",SUBTOTAL(3,$B$3:B1152)-1)</f>
        <v>9</v>
      </c>
      <c r="B1152" s="280" t="s">
        <v>800</v>
      </c>
      <c r="C1152" s="280" t="s">
        <v>499</v>
      </c>
      <c r="D1152" s="280">
        <v>338072410</v>
      </c>
      <c r="E1152" s="46"/>
      <c r="F1152" s="142">
        <v>3</v>
      </c>
      <c r="G1152" s="176" t="s">
        <v>660</v>
      </c>
      <c r="H1152" s="406" t="s">
        <v>634</v>
      </c>
      <c r="I1152" s="188" t="s">
        <v>634</v>
      </c>
      <c r="J1152" s="142"/>
      <c r="K1152" s="196" t="s">
        <v>721</v>
      </c>
      <c r="L1152" s="67"/>
      <c r="M1152" s="67"/>
      <c r="N1152" s="67"/>
      <c r="O1152" s="73"/>
      <c r="P1152" s="237" t="s">
        <v>1</v>
      </c>
      <c r="Q1152" s="255"/>
      <c r="R1152" s="260" t="s">
        <v>0</v>
      </c>
      <c r="S1152" s="415"/>
      <c r="T1152" s="190" t="s">
        <v>0</v>
      </c>
      <c r="U1152" s="22"/>
      <c r="V1152" s="233"/>
      <c r="W1152" s="239" t="s">
        <v>848</v>
      </c>
      <c r="X1152" s="403"/>
      <c r="Y1152" s="258"/>
    </row>
    <row r="1153" spans="1:25" hidden="1" x14ac:dyDescent="0.3">
      <c r="A1153" s="47">
        <f>IF(B1153="","",SUBTOTAL(3,$B$3:B1153)-1)</f>
        <v>9</v>
      </c>
      <c r="B1153" s="276" t="s">
        <v>911</v>
      </c>
      <c r="C1153" s="276" t="s">
        <v>499</v>
      </c>
      <c r="D1153" s="298">
        <v>372069532</v>
      </c>
      <c r="E1153" s="46"/>
      <c r="F1153" s="142">
        <v>4</v>
      </c>
      <c r="G1153" s="175"/>
      <c r="H1153" s="406"/>
      <c r="I1153" s="188"/>
      <c r="J1153" s="142"/>
      <c r="K1153" s="196"/>
      <c r="L1153" s="67"/>
      <c r="M1153" s="67"/>
      <c r="N1153" s="67"/>
      <c r="O1153" s="73"/>
      <c r="P1153" s="237"/>
      <c r="Q1153" s="255"/>
      <c r="R1153" s="260"/>
      <c r="S1153" s="415"/>
      <c r="T1153" s="190"/>
      <c r="U1153" s="22"/>
      <c r="V1153" s="233"/>
      <c r="W1153" s="239"/>
      <c r="X1153" s="403"/>
      <c r="Y1153" s="258"/>
    </row>
    <row r="1154" spans="1:25" hidden="1" x14ac:dyDescent="0.3">
      <c r="A1154" s="47">
        <f>IF(B1154="","",SUBTOTAL(3,$B$3:B1154)-1)</f>
        <v>9</v>
      </c>
      <c r="B1154" s="276" t="s">
        <v>911</v>
      </c>
      <c r="C1154" s="276" t="s">
        <v>499</v>
      </c>
      <c r="D1154" s="276"/>
      <c r="E1154" s="46"/>
      <c r="F1154" s="142">
        <v>4</v>
      </c>
      <c r="G1154" s="175"/>
      <c r="H1154" s="408" t="s">
        <v>634</v>
      </c>
      <c r="I1154" s="186"/>
      <c r="J1154" s="67"/>
      <c r="K1154" s="194"/>
      <c r="L1154" s="67"/>
      <c r="M1154" s="67"/>
      <c r="N1154" s="67"/>
      <c r="O1154" s="73"/>
      <c r="P1154" s="237"/>
      <c r="Q1154" s="255"/>
      <c r="R1154" s="260"/>
      <c r="S1154" s="415"/>
      <c r="T1154" s="190"/>
      <c r="U1154" s="22"/>
      <c r="V1154" s="233"/>
      <c r="W1154" s="239"/>
      <c r="X1154" s="403"/>
      <c r="Y1154" s="258"/>
    </row>
    <row r="1155" spans="1:25" hidden="1" x14ac:dyDescent="0.3">
      <c r="A1155" s="47">
        <f>IF(B1155="","",SUBTOTAL(3,$B$3:B1155)-1)</f>
        <v>9</v>
      </c>
      <c r="B1155" s="272" t="s">
        <v>190</v>
      </c>
      <c r="C1155" s="272" t="s">
        <v>499</v>
      </c>
      <c r="D1155" s="298">
        <v>387652974</v>
      </c>
      <c r="E1155" s="46"/>
      <c r="F1155" s="22">
        <v>9</v>
      </c>
      <c r="G1155" s="175" t="s">
        <v>415</v>
      </c>
      <c r="H1155" s="409" t="s">
        <v>696</v>
      </c>
      <c r="I1155" s="187"/>
      <c r="J1155" s="67"/>
      <c r="K1155" s="194"/>
      <c r="L1155" s="180"/>
      <c r="M1155" s="180"/>
      <c r="N1155" s="180"/>
      <c r="O1155" s="181"/>
      <c r="P1155" s="237"/>
      <c r="Q1155" s="255"/>
      <c r="R1155" s="260" t="s">
        <v>2</v>
      </c>
      <c r="S1155" s="415" t="s">
        <v>661</v>
      </c>
      <c r="T1155" s="190"/>
      <c r="U1155" s="22"/>
      <c r="V1155" s="233"/>
      <c r="W1155" s="239"/>
      <c r="X1155" s="403"/>
      <c r="Y1155" s="258"/>
    </row>
    <row r="1156" spans="1:25" hidden="1" x14ac:dyDescent="0.3">
      <c r="A1156" s="47">
        <f>IF(B1156="","",SUBTOTAL(3,$B$3:B1156)-1)</f>
        <v>9</v>
      </c>
      <c r="B1156" s="276" t="s">
        <v>543</v>
      </c>
      <c r="C1156" s="276" t="s">
        <v>499</v>
      </c>
      <c r="D1156" s="298">
        <v>867237220</v>
      </c>
      <c r="E1156" s="46">
        <f>($AA$2-O1156)*$AB$2+Q1156</f>
        <v>0</v>
      </c>
      <c r="F1156" s="22">
        <v>9</v>
      </c>
      <c r="G1156" s="175"/>
      <c r="H1156" s="411"/>
      <c r="I1156" s="190"/>
      <c r="J1156" s="68"/>
      <c r="K1156" s="195"/>
      <c r="L1156" s="68"/>
      <c r="M1156" s="68"/>
      <c r="N1156" s="68"/>
      <c r="O1156" s="73"/>
      <c r="P1156" s="237"/>
      <c r="Q1156" s="255"/>
      <c r="R1156" s="260"/>
      <c r="S1156" s="415"/>
      <c r="T1156" s="190"/>
      <c r="U1156" s="22"/>
      <c r="V1156" s="233"/>
      <c r="W1156" s="239"/>
      <c r="X1156" s="403"/>
      <c r="Y1156" s="258"/>
    </row>
    <row r="1157" spans="1:25" hidden="1" x14ac:dyDescent="0.3">
      <c r="A1157" s="47">
        <f>IF(B1157="","",SUBTOTAL(3,$B$3:B1157)-1)</f>
        <v>9</v>
      </c>
      <c r="B1157" s="327" t="s">
        <v>1349</v>
      </c>
      <c r="C1157" s="327" t="s">
        <v>1240</v>
      </c>
      <c r="D1157" s="327">
        <v>358340103</v>
      </c>
      <c r="E1157" s="46" t="s">
        <v>1214</v>
      </c>
      <c r="F1157" s="301">
        <v>5</v>
      </c>
      <c r="G1157" s="175"/>
      <c r="H1157" s="405" t="s">
        <v>634</v>
      </c>
      <c r="I1157" s="185"/>
      <c r="J1157" s="71"/>
      <c r="K1157" s="194"/>
      <c r="L1157" s="67"/>
      <c r="M1157" s="67"/>
      <c r="N1157" s="67"/>
      <c r="O1157" s="73"/>
      <c r="P1157" s="237"/>
      <c r="Q1157" s="255"/>
      <c r="R1157" s="260"/>
      <c r="S1157" s="415"/>
      <c r="T1157" s="190"/>
      <c r="U1157" s="22"/>
      <c r="V1157" s="233"/>
      <c r="W1157" s="239"/>
      <c r="X1157" s="403"/>
      <c r="Y1157" s="323">
        <v>5</v>
      </c>
    </row>
    <row r="1158" spans="1:25" hidden="1" x14ac:dyDescent="0.3">
      <c r="A1158" s="47">
        <f>IF(B1158="","",SUBTOTAL(3,$B$3:B1158)-1)</f>
        <v>9</v>
      </c>
      <c r="B1158" s="276" t="s">
        <v>484</v>
      </c>
      <c r="C1158" s="276" t="s">
        <v>485</v>
      </c>
      <c r="D1158" s="298">
        <v>866851108</v>
      </c>
      <c r="E1158" s="46">
        <f>($AA$2-O1158)*$AB$2+Q1158</f>
        <v>0</v>
      </c>
      <c r="F1158" s="22">
        <v>9</v>
      </c>
      <c r="G1158" s="175" t="s">
        <v>415</v>
      </c>
      <c r="H1158" s="409"/>
      <c r="I1158" s="187"/>
      <c r="J1158" s="67"/>
      <c r="K1158" s="194"/>
      <c r="L1158" s="180"/>
      <c r="M1158" s="180"/>
      <c r="N1158" s="180"/>
      <c r="O1158" s="181"/>
      <c r="P1158" s="237"/>
      <c r="Q1158" s="255"/>
      <c r="R1158" s="260" t="s">
        <v>2</v>
      </c>
      <c r="S1158" s="415"/>
      <c r="T1158" s="190"/>
      <c r="U1158" s="22"/>
      <c r="V1158" s="233"/>
      <c r="W1158" s="239"/>
      <c r="X1158" s="403"/>
      <c r="Y1158" s="258"/>
    </row>
    <row r="1159" spans="1:25" hidden="1" x14ac:dyDescent="0.3">
      <c r="A1159" s="47">
        <f>IF(B1159="","",SUBTOTAL(3,$B$3:B1159)-1)</f>
        <v>9</v>
      </c>
      <c r="B1159" s="274" t="s">
        <v>871</v>
      </c>
      <c r="C1159" s="274" t="s">
        <v>32</v>
      </c>
      <c r="D1159" s="298"/>
      <c r="E1159" s="46"/>
      <c r="F1159" s="22">
        <v>5</v>
      </c>
      <c r="G1159" s="176" t="s">
        <v>660</v>
      </c>
      <c r="H1159" s="408"/>
      <c r="I1159" s="186"/>
      <c r="J1159" s="68"/>
      <c r="K1159" s="195"/>
      <c r="L1159" s="68"/>
      <c r="M1159" s="68"/>
      <c r="N1159" s="68"/>
      <c r="O1159" s="73"/>
      <c r="P1159" s="237" t="s">
        <v>1</v>
      </c>
      <c r="Q1159" s="255"/>
      <c r="R1159" s="260" t="s">
        <v>1</v>
      </c>
      <c r="S1159" s="415"/>
      <c r="T1159" s="190"/>
      <c r="U1159" s="22"/>
      <c r="V1159" s="233"/>
      <c r="W1159" s="239" t="s">
        <v>0</v>
      </c>
      <c r="X1159" s="403"/>
      <c r="Y1159" s="258"/>
    </row>
    <row r="1160" spans="1:25" hidden="1" x14ac:dyDescent="0.3">
      <c r="A1160" s="47">
        <f>IF(B1160="","",SUBTOTAL(3,$B$3:B1160)-1)</f>
        <v>9</v>
      </c>
      <c r="B1160" s="341" t="s">
        <v>163</v>
      </c>
      <c r="C1160" s="341" t="s">
        <v>32</v>
      </c>
      <c r="D1160" s="298"/>
      <c r="E1160" s="46">
        <f>($AA$2-O1160)*$AB$2+Q1160</f>
        <v>0</v>
      </c>
      <c r="F1160" s="142">
        <v>7</v>
      </c>
      <c r="G1160" s="175"/>
      <c r="H1160" s="405"/>
      <c r="I1160" s="185"/>
      <c r="J1160" s="67"/>
      <c r="K1160" s="194"/>
      <c r="L1160" s="180"/>
      <c r="M1160" s="180"/>
      <c r="N1160" s="180"/>
      <c r="O1160" s="181"/>
      <c r="P1160" s="237"/>
      <c r="Q1160" s="255"/>
      <c r="R1160" s="260"/>
      <c r="S1160" s="415"/>
      <c r="T1160" s="190"/>
      <c r="U1160" s="22"/>
      <c r="V1160" s="233"/>
      <c r="W1160" s="239"/>
      <c r="X1160" s="403"/>
      <c r="Y1160" s="258"/>
    </row>
    <row r="1161" spans="1:25" hidden="1" x14ac:dyDescent="0.3">
      <c r="A1161" s="47">
        <f>IF(B1161="","",SUBTOTAL(3,$B$3:B1161)-1)</f>
        <v>9</v>
      </c>
      <c r="B1161" s="290" t="s">
        <v>545</v>
      </c>
      <c r="C1161" s="346" t="s">
        <v>32</v>
      </c>
      <c r="D1161" s="280"/>
      <c r="E1161" s="46"/>
      <c r="F1161" s="22">
        <v>12</v>
      </c>
      <c r="G1161" s="175" t="s">
        <v>660</v>
      </c>
      <c r="H1161" s="406"/>
      <c r="I1161" s="188"/>
      <c r="J1161" s="142"/>
      <c r="K1161" s="196"/>
      <c r="L1161" s="67"/>
      <c r="M1161" s="67"/>
      <c r="N1161" s="67"/>
      <c r="O1161" s="73"/>
      <c r="P1161" s="237"/>
      <c r="Q1161" s="255"/>
      <c r="R1161" s="260" t="s">
        <v>1</v>
      </c>
      <c r="S1161" s="415"/>
      <c r="T1161" s="190"/>
      <c r="U1161" s="22"/>
      <c r="V1161" s="233"/>
      <c r="W1161" s="239"/>
      <c r="X1161" s="403"/>
      <c r="Y1161" s="258"/>
    </row>
    <row r="1162" spans="1:25" hidden="1" x14ac:dyDescent="0.3">
      <c r="A1162" s="47">
        <f>IF(B1162="","",SUBTOTAL(3,$B$3:B1162)-1)</f>
        <v>9</v>
      </c>
      <c r="B1162" s="276" t="s">
        <v>351</v>
      </c>
      <c r="C1162" s="354" t="s">
        <v>32</v>
      </c>
      <c r="D1162" s="274">
        <v>388107183</v>
      </c>
      <c r="E1162" s="46">
        <f>($AA$2-O1162)*$AB$2+Q1162</f>
        <v>0</v>
      </c>
      <c r="F1162" s="22">
        <v>12</v>
      </c>
      <c r="G1162" s="175"/>
      <c r="H1162" s="405"/>
      <c r="I1162" s="185"/>
      <c r="J1162" s="67"/>
      <c r="K1162" s="194"/>
      <c r="L1162" s="67"/>
      <c r="M1162" s="67"/>
      <c r="N1162" s="67"/>
      <c r="O1162" s="73"/>
      <c r="P1162" s="237"/>
      <c r="Q1162" s="255"/>
      <c r="R1162" s="260"/>
      <c r="S1162" s="415"/>
      <c r="T1162" s="190"/>
      <c r="U1162" s="22"/>
      <c r="V1162" s="233"/>
      <c r="W1162" s="239"/>
      <c r="X1162" s="403"/>
      <c r="Y1162" s="258"/>
    </row>
    <row r="1163" spans="1:25" hidden="1" x14ac:dyDescent="0.3">
      <c r="A1163" s="47">
        <f>IF(B1163="","",SUBTOTAL(3,$B$3:B1163)-1)</f>
        <v>9</v>
      </c>
      <c r="B1163" s="272" t="s">
        <v>283</v>
      </c>
      <c r="C1163" s="352" t="s">
        <v>32</v>
      </c>
      <c r="D1163" s="298"/>
      <c r="E1163" s="46">
        <f>($AA$2-O1163)*$AB$2+Q1163</f>
        <v>0</v>
      </c>
      <c r="F1163" s="22" t="s">
        <v>1213</v>
      </c>
      <c r="G1163" s="175"/>
      <c r="H1163" s="405"/>
      <c r="I1163" s="185"/>
      <c r="J1163" s="67"/>
      <c r="K1163" s="194"/>
      <c r="L1163" s="67"/>
      <c r="M1163" s="67"/>
      <c r="N1163" s="67"/>
      <c r="O1163" s="73"/>
      <c r="P1163" s="237"/>
      <c r="Q1163" s="255"/>
      <c r="R1163" s="260"/>
      <c r="S1163" s="415"/>
      <c r="T1163" s="190"/>
      <c r="U1163" s="22"/>
      <c r="V1163" s="233"/>
      <c r="W1163" s="239"/>
      <c r="X1163" s="403"/>
      <c r="Y1163" s="258"/>
    </row>
    <row r="1164" spans="1:25" hidden="1" x14ac:dyDescent="0.3">
      <c r="A1164" s="47">
        <f>IF(B1164="","",SUBTOTAL(3,$B$3:B1164)-1)</f>
        <v>9</v>
      </c>
      <c r="B1164" s="276" t="s">
        <v>795</v>
      </c>
      <c r="C1164" s="276" t="s">
        <v>32</v>
      </c>
      <c r="D1164" s="298"/>
      <c r="E1164" s="46"/>
      <c r="F1164" s="22">
        <v>9</v>
      </c>
      <c r="G1164" s="175" t="s">
        <v>415</v>
      </c>
      <c r="H1164" s="409"/>
      <c r="I1164" s="187"/>
      <c r="J1164" s="67" t="s">
        <v>661</v>
      </c>
      <c r="K1164" s="194"/>
      <c r="L1164" s="180"/>
      <c r="M1164" s="180"/>
      <c r="N1164" s="180"/>
      <c r="O1164" s="181"/>
      <c r="P1164" s="237"/>
      <c r="Q1164" s="255"/>
      <c r="R1164" s="260"/>
      <c r="S1164" s="415"/>
      <c r="T1164" s="190"/>
      <c r="U1164" s="22" t="s">
        <v>1</v>
      </c>
      <c r="V1164" s="233"/>
      <c r="W1164" s="239"/>
      <c r="X1164" s="403"/>
      <c r="Y1164" s="258"/>
    </row>
    <row r="1165" spans="1:25" hidden="1" x14ac:dyDescent="0.3">
      <c r="A1165" s="47">
        <f>IF(B1165="","",SUBTOTAL(3,$B$3:B1165)-1)</f>
        <v>9</v>
      </c>
      <c r="B1165" s="272" t="s">
        <v>516</v>
      </c>
      <c r="C1165" s="272" t="s">
        <v>32</v>
      </c>
      <c r="D1165" s="298">
        <v>348296003</v>
      </c>
      <c r="E1165" s="46">
        <f>($AA$2-O1165)*$AB$2+Q1165</f>
        <v>0</v>
      </c>
      <c r="F1165" s="22">
        <v>9</v>
      </c>
      <c r="G1165" s="175" t="s">
        <v>415</v>
      </c>
      <c r="H1165" s="409"/>
      <c r="I1165" s="187"/>
      <c r="J1165" s="67" t="s">
        <v>661</v>
      </c>
      <c r="K1165" s="194"/>
      <c r="L1165" s="180"/>
      <c r="M1165" s="180"/>
      <c r="N1165" s="180"/>
      <c r="O1165" s="181"/>
      <c r="P1165" s="237"/>
      <c r="Q1165" s="255"/>
      <c r="R1165" s="260" t="s">
        <v>1</v>
      </c>
      <c r="S1165" s="415"/>
      <c r="T1165" s="190"/>
      <c r="U1165" s="22" t="s">
        <v>0</v>
      </c>
      <c r="V1165" s="233"/>
      <c r="W1165" s="239"/>
      <c r="X1165" s="403"/>
      <c r="Y1165" s="258"/>
    </row>
    <row r="1166" spans="1:25" hidden="1" x14ac:dyDescent="0.3">
      <c r="A1166" s="47">
        <f>IF(B1166="","",SUBTOTAL(3,$B$3:B1166)-1)</f>
        <v>9</v>
      </c>
      <c r="B1166" s="276" t="s">
        <v>205</v>
      </c>
      <c r="C1166" s="276" t="s">
        <v>32</v>
      </c>
      <c r="D1166" s="274"/>
      <c r="E1166" s="46">
        <f>($AA$2-O1166)*$AB$2+Q1166</f>
        <v>0</v>
      </c>
      <c r="F1166" s="22">
        <v>9</v>
      </c>
      <c r="G1166" s="175" t="s">
        <v>415</v>
      </c>
      <c r="H1166" s="409" t="s">
        <v>660</v>
      </c>
      <c r="I1166" s="187"/>
      <c r="J1166" s="67" t="s">
        <v>661</v>
      </c>
      <c r="K1166" s="194"/>
      <c r="L1166" s="180"/>
      <c r="M1166" s="180"/>
      <c r="N1166" s="180"/>
      <c r="O1166" s="181"/>
      <c r="P1166" s="237"/>
      <c r="Q1166" s="255"/>
      <c r="R1166" s="260" t="s">
        <v>0</v>
      </c>
      <c r="S1166" s="415" t="s">
        <v>0</v>
      </c>
      <c r="T1166" s="190"/>
      <c r="U1166" s="22" t="s">
        <v>1</v>
      </c>
      <c r="V1166" s="233"/>
      <c r="W1166" s="239"/>
      <c r="X1166" s="403"/>
      <c r="Y1166" s="258"/>
    </row>
    <row r="1167" spans="1:25" hidden="1" x14ac:dyDescent="0.3">
      <c r="A1167" s="47">
        <f>IF(B1167="","",SUBTOTAL(3,$B$3:B1167)-1)</f>
        <v>9</v>
      </c>
      <c r="B1167" s="280" t="s">
        <v>786</v>
      </c>
      <c r="C1167" s="280" t="s">
        <v>677</v>
      </c>
      <c r="D1167" s="280">
        <v>967873720</v>
      </c>
      <c r="E1167" s="46"/>
      <c r="F1167" s="22">
        <v>10</v>
      </c>
      <c r="G1167" s="176"/>
      <c r="H1167" s="405"/>
      <c r="I1167" s="188"/>
      <c r="J1167" s="142"/>
      <c r="K1167" s="196" t="s">
        <v>721</v>
      </c>
      <c r="L1167" s="67"/>
      <c r="M1167" s="67"/>
      <c r="N1167" s="67"/>
      <c r="O1167" s="73"/>
      <c r="P1167" s="237"/>
      <c r="Q1167" s="255"/>
      <c r="R1167" s="260"/>
      <c r="S1167" s="417"/>
      <c r="T1167" s="190"/>
      <c r="U1167" s="22"/>
      <c r="V1167" s="233"/>
      <c r="W1167" s="239"/>
      <c r="X1167" s="403"/>
      <c r="Y1167" s="258"/>
    </row>
    <row r="1168" spans="1:25" hidden="1" x14ac:dyDescent="0.3">
      <c r="A1168" s="47">
        <f>IF(B1168="","",SUBTOTAL(3,$B$3:B1168)-1)</f>
        <v>9</v>
      </c>
      <c r="B1168" s="202" t="s">
        <v>712</v>
      </c>
      <c r="C1168" s="276" t="s">
        <v>677</v>
      </c>
      <c r="D1168" s="298">
        <v>397795240</v>
      </c>
      <c r="E1168" s="46">
        <f>($AA$2-O1168)*$AB$2+Q1168</f>
        <v>0</v>
      </c>
      <c r="F1168" s="22">
        <v>11</v>
      </c>
      <c r="G1168" s="175" t="s">
        <v>660</v>
      </c>
      <c r="H1168" s="405" t="s">
        <v>1</v>
      </c>
      <c r="I1168" s="185" t="s">
        <v>634</v>
      </c>
      <c r="J1168" s="67"/>
      <c r="K1168" s="194"/>
      <c r="L1168" s="180"/>
      <c r="M1168" s="180"/>
      <c r="N1168" s="180"/>
      <c r="O1168" s="181"/>
      <c r="P1168" s="237"/>
      <c r="Q1168" s="255"/>
      <c r="R1168" s="260" t="s">
        <v>1</v>
      </c>
      <c r="S1168" s="415" t="s">
        <v>1</v>
      </c>
      <c r="T1168" s="190" t="s">
        <v>661</v>
      </c>
      <c r="U1168" s="22"/>
      <c r="V1168" s="233"/>
      <c r="W1168" s="239"/>
      <c r="X1168" s="403"/>
      <c r="Y1168" s="258"/>
    </row>
    <row r="1169" spans="1:25" hidden="1" x14ac:dyDescent="0.3">
      <c r="A1169" s="47">
        <f>IF(B1169="","",SUBTOTAL(3,$B$3:B1169)-1)</f>
        <v>9</v>
      </c>
      <c r="B1169" s="327" t="s">
        <v>1351</v>
      </c>
      <c r="C1169" s="327" t="s">
        <v>20</v>
      </c>
      <c r="D1169" s="327">
        <v>926958087</v>
      </c>
      <c r="E1169" s="46" t="s">
        <v>1214</v>
      </c>
      <c r="F1169" s="300">
        <v>4</v>
      </c>
      <c r="G1169" s="175" t="s">
        <v>660</v>
      </c>
      <c r="H1169" s="405"/>
      <c r="I1169" s="185"/>
      <c r="J1169" s="71"/>
      <c r="K1169" s="194"/>
      <c r="L1169" s="67"/>
      <c r="M1169" s="67"/>
      <c r="N1169" s="67"/>
      <c r="O1169" s="73"/>
      <c r="P1169" s="237"/>
      <c r="Q1169" s="255"/>
      <c r="R1169" s="260" t="s">
        <v>0</v>
      </c>
      <c r="S1169" s="415"/>
      <c r="T1169" s="190"/>
      <c r="U1169" s="22"/>
      <c r="V1169" s="233"/>
      <c r="W1169" s="239"/>
      <c r="X1169" s="403"/>
      <c r="Y1169" s="323" t="s">
        <v>1025</v>
      </c>
    </row>
    <row r="1170" spans="1:25" hidden="1" x14ac:dyDescent="0.3">
      <c r="A1170" s="47">
        <f>IF(B1170="","",SUBTOTAL(3,$B$3:B1170)-1)</f>
        <v>9</v>
      </c>
      <c r="B1170" s="331" t="s">
        <v>1250</v>
      </c>
      <c r="C1170" s="331" t="s">
        <v>20</v>
      </c>
      <c r="D1170" s="331">
        <v>389863991</v>
      </c>
      <c r="E1170" s="46" t="s">
        <v>1214</v>
      </c>
      <c r="F1170" s="300">
        <v>4</v>
      </c>
      <c r="G1170" s="175" t="s">
        <v>826</v>
      </c>
      <c r="H1170" s="405"/>
      <c r="I1170" s="185"/>
      <c r="J1170" s="71"/>
      <c r="K1170" s="194"/>
      <c r="L1170" s="67"/>
      <c r="M1170" s="67"/>
      <c r="N1170" s="67"/>
      <c r="O1170" s="73"/>
      <c r="P1170" s="237"/>
      <c r="Q1170" s="255"/>
      <c r="R1170" s="260" t="s">
        <v>1</v>
      </c>
      <c r="S1170" s="415"/>
      <c r="T1170" s="190"/>
      <c r="U1170" s="22"/>
      <c r="V1170" s="233"/>
      <c r="W1170" s="239"/>
      <c r="X1170" s="403"/>
      <c r="Y1170" s="320" t="s">
        <v>1026</v>
      </c>
    </row>
    <row r="1171" spans="1:25" hidden="1" x14ac:dyDescent="0.3">
      <c r="A1171" s="47">
        <f>IF(B1171="","",SUBTOTAL(3,$B$3:B1171)-1)</f>
        <v>9</v>
      </c>
      <c r="B1171" s="280" t="s">
        <v>770</v>
      </c>
      <c r="C1171" s="346" t="s">
        <v>20</v>
      </c>
      <c r="D1171" s="280">
        <v>944502030</v>
      </c>
      <c r="E1171" s="46"/>
      <c r="F1171" s="22">
        <v>5</v>
      </c>
      <c r="G1171" s="176" t="s">
        <v>660</v>
      </c>
      <c r="H1171" s="407" t="s">
        <v>634</v>
      </c>
      <c r="I1171" s="189"/>
      <c r="J1171" s="142"/>
      <c r="K1171" s="196" t="s">
        <v>721</v>
      </c>
      <c r="L1171" s="67"/>
      <c r="M1171" s="67"/>
      <c r="N1171" s="67"/>
      <c r="O1171" s="73"/>
      <c r="P1171" s="237" t="s">
        <v>1</v>
      </c>
      <c r="Q1171" s="255"/>
      <c r="R1171" s="260" t="s">
        <v>1</v>
      </c>
      <c r="S1171" s="415"/>
      <c r="T1171" s="190"/>
      <c r="U1171" s="22"/>
      <c r="V1171" s="233"/>
      <c r="W1171" s="239" t="s">
        <v>0</v>
      </c>
      <c r="X1171" s="403"/>
      <c r="Y1171" s="258"/>
    </row>
    <row r="1172" spans="1:25" hidden="1" x14ac:dyDescent="0.3">
      <c r="A1172" s="47">
        <f>IF(B1172="","",SUBTOTAL(3,$B$3:B1172)-1)</f>
        <v>9</v>
      </c>
      <c r="B1172" s="274" t="s">
        <v>470</v>
      </c>
      <c r="C1172" s="274" t="s">
        <v>20</v>
      </c>
      <c r="D1172" s="298">
        <v>328777803</v>
      </c>
      <c r="E1172" s="46">
        <f>($AA$2-O1172)*$AB$2+Q1172</f>
        <v>0</v>
      </c>
      <c r="F1172" s="22">
        <v>5</v>
      </c>
      <c r="G1172" s="175"/>
      <c r="H1172" s="408"/>
      <c r="I1172" s="186"/>
      <c r="J1172" s="68"/>
      <c r="K1172" s="195"/>
      <c r="L1172" s="68"/>
      <c r="M1172" s="68"/>
      <c r="N1172" s="68"/>
      <c r="O1172" s="73"/>
      <c r="P1172" s="237"/>
      <c r="Q1172" s="255"/>
      <c r="R1172" s="260"/>
      <c r="S1172" s="415"/>
      <c r="T1172" s="190"/>
      <c r="U1172" s="22"/>
      <c r="V1172" s="233"/>
      <c r="W1172" s="239"/>
      <c r="X1172" s="403"/>
      <c r="Y1172" s="258"/>
    </row>
    <row r="1173" spans="1:25" hidden="1" x14ac:dyDescent="0.3">
      <c r="A1173" s="47">
        <f>IF(B1173="","",SUBTOTAL(3,$B$3:B1173)-1)</f>
        <v>9</v>
      </c>
      <c r="B1173" s="393" t="s">
        <v>576</v>
      </c>
      <c r="C1173" s="393" t="s">
        <v>20</v>
      </c>
      <c r="D1173" s="309"/>
      <c r="E1173" s="46"/>
      <c r="F1173" s="22">
        <v>5</v>
      </c>
      <c r="G1173" s="176" t="s">
        <v>660</v>
      </c>
      <c r="H1173" s="408"/>
      <c r="I1173" s="186"/>
      <c r="J1173" s="68"/>
      <c r="K1173" s="195"/>
      <c r="L1173" s="68"/>
      <c r="M1173" s="68"/>
      <c r="N1173" s="68"/>
      <c r="O1173" s="73"/>
      <c r="P1173" s="237" t="s">
        <v>1</v>
      </c>
      <c r="Q1173" s="255"/>
      <c r="R1173" s="319" t="s">
        <v>1</v>
      </c>
      <c r="S1173" s="418"/>
      <c r="T1173" s="190"/>
      <c r="U1173" s="22"/>
      <c r="V1173" s="233"/>
      <c r="W1173" s="239" t="s">
        <v>0</v>
      </c>
      <c r="X1173" s="403"/>
      <c r="Y1173" s="258"/>
    </row>
    <row r="1174" spans="1:25" hidden="1" x14ac:dyDescent="0.3">
      <c r="A1174" s="47">
        <f>IF(B1174="","",SUBTOTAL(3,$B$3:B1174)-1)</f>
        <v>9</v>
      </c>
      <c r="B1174" s="276" t="s">
        <v>1153</v>
      </c>
      <c r="C1174" s="276" t="s">
        <v>20</v>
      </c>
      <c r="D1174" s="276"/>
      <c r="E1174" s="46"/>
      <c r="F1174" s="142">
        <v>6</v>
      </c>
      <c r="G1174" s="175" t="s">
        <v>660</v>
      </c>
      <c r="H1174" s="405"/>
      <c r="I1174" s="185"/>
      <c r="J1174" s="67"/>
      <c r="K1174" s="194"/>
      <c r="L1174" s="67"/>
      <c r="M1174" s="67"/>
      <c r="N1174" s="67"/>
      <c r="O1174" s="73"/>
      <c r="P1174" s="237"/>
      <c r="Q1174" s="255"/>
      <c r="R1174" s="260" t="s">
        <v>1</v>
      </c>
      <c r="S1174" s="415"/>
      <c r="T1174" s="190"/>
      <c r="U1174" s="22"/>
      <c r="V1174" s="233"/>
      <c r="W1174" s="239"/>
      <c r="X1174" s="403"/>
      <c r="Y1174" s="258"/>
    </row>
    <row r="1175" spans="1:25" x14ac:dyDescent="0.3">
      <c r="A1175" s="47">
        <f>IF(B1175="","",SUBTOTAL(3,$B$3:B1175)-1)</f>
        <v>10</v>
      </c>
      <c r="B1175" s="280" t="s">
        <v>1067</v>
      </c>
      <c r="C1175" s="280" t="s">
        <v>20</v>
      </c>
      <c r="D1175" s="280"/>
      <c r="E1175" s="46"/>
      <c r="F1175" s="142">
        <v>6</v>
      </c>
      <c r="G1175" s="176"/>
      <c r="H1175" s="406"/>
      <c r="I1175" s="188" t="s">
        <v>634</v>
      </c>
      <c r="J1175" s="142"/>
      <c r="K1175" s="196"/>
      <c r="L1175" s="67"/>
      <c r="M1175" s="67"/>
      <c r="N1175" s="67"/>
      <c r="O1175" s="73"/>
      <c r="P1175" s="237"/>
      <c r="Q1175" s="255"/>
      <c r="R1175" s="260"/>
      <c r="S1175" s="415"/>
      <c r="T1175" s="190" t="s">
        <v>0</v>
      </c>
      <c r="U1175" s="22"/>
      <c r="V1175" s="233"/>
      <c r="W1175" s="239"/>
      <c r="X1175" s="403"/>
      <c r="Y1175" s="258"/>
    </row>
    <row r="1176" spans="1:25" hidden="1" x14ac:dyDescent="0.3">
      <c r="A1176" s="47">
        <f>IF(B1176="","",SUBTOTAL(3,$B$3:B1176)-1)</f>
        <v>10</v>
      </c>
      <c r="B1176" s="274" t="s">
        <v>464</v>
      </c>
      <c r="C1176" s="274" t="s">
        <v>20</v>
      </c>
      <c r="D1176" s="272">
        <v>973456757</v>
      </c>
      <c r="E1176" s="46">
        <f>($AA$2-O1176)*$AB$2+Q1176</f>
        <v>0</v>
      </c>
      <c r="F1176" s="142">
        <v>6</v>
      </c>
      <c r="G1176" s="175"/>
      <c r="H1176" s="405"/>
      <c r="I1176" s="185"/>
      <c r="J1176" s="67"/>
      <c r="K1176" s="194"/>
      <c r="L1176" s="67"/>
      <c r="M1176" s="67"/>
      <c r="N1176" s="67"/>
      <c r="O1176" s="73"/>
      <c r="P1176" s="237"/>
      <c r="Q1176" s="255"/>
      <c r="R1176" s="260"/>
      <c r="S1176" s="415"/>
      <c r="T1176" s="190"/>
      <c r="U1176" s="22"/>
      <c r="V1176" s="233"/>
      <c r="W1176" s="239"/>
      <c r="X1176" s="403"/>
      <c r="Y1176" s="258"/>
    </row>
    <row r="1177" spans="1:25" hidden="1" x14ac:dyDescent="0.3">
      <c r="A1177" s="47">
        <f>IF(B1177="","",SUBTOTAL(3,$B$3:B1177)-1)</f>
        <v>10</v>
      </c>
      <c r="B1177" s="274" t="s">
        <v>153</v>
      </c>
      <c r="C1177" s="274" t="s">
        <v>20</v>
      </c>
      <c r="D1177" s="276">
        <v>935424275</v>
      </c>
      <c r="E1177" s="46">
        <f>($AA$2-O1177)*$AB$2+Q1177</f>
        <v>0</v>
      </c>
      <c r="F1177" s="142">
        <v>6</v>
      </c>
      <c r="G1177" s="175"/>
      <c r="H1177" s="405"/>
      <c r="I1177" s="185"/>
      <c r="J1177" s="67"/>
      <c r="K1177" s="194"/>
      <c r="L1177" s="67"/>
      <c r="M1177" s="67"/>
      <c r="N1177" s="67"/>
      <c r="O1177" s="73"/>
      <c r="P1177" s="237"/>
      <c r="Q1177" s="255"/>
      <c r="R1177" s="260"/>
      <c r="S1177" s="415"/>
      <c r="T1177" s="190"/>
      <c r="U1177" s="22"/>
      <c r="V1177" s="233"/>
      <c r="W1177" s="239"/>
      <c r="X1177" s="403"/>
      <c r="Y1177" s="258"/>
    </row>
    <row r="1178" spans="1:25" ht="19.5" hidden="1" thickBot="1" x14ac:dyDescent="0.35">
      <c r="A1178" s="47">
        <f>IF(B1178="","",SUBTOTAL(3,$B$3:B1178)-1)</f>
        <v>10</v>
      </c>
      <c r="B1178" s="392" t="s">
        <v>1267</v>
      </c>
      <c r="C1178" s="396" t="s">
        <v>20</v>
      </c>
      <c r="D1178" s="399">
        <v>973456757</v>
      </c>
      <c r="E1178" s="46" t="s">
        <v>1214</v>
      </c>
      <c r="F1178" s="22">
        <v>6</v>
      </c>
      <c r="G1178" s="175" t="s">
        <v>415</v>
      </c>
      <c r="H1178" s="405"/>
      <c r="I1178" s="185"/>
      <c r="J1178" s="71"/>
      <c r="K1178" s="194"/>
      <c r="L1178" s="67"/>
      <c r="M1178" s="67"/>
      <c r="N1178" s="67"/>
      <c r="O1178" s="73"/>
      <c r="P1178" s="237"/>
      <c r="Q1178" s="255"/>
      <c r="R1178" s="378" t="s">
        <v>0</v>
      </c>
      <c r="S1178" s="419"/>
      <c r="T1178" s="190"/>
      <c r="U1178" s="22"/>
      <c r="V1178" s="233"/>
      <c r="W1178" s="239"/>
      <c r="X1178" s="403"/>
      <c r="Y1178" s="258"/>
    </row>
    <row r="1179" spans="1:25" ht="19.5" hidden="1" thickBot="1" x14ac:dyDescent="0.35">
      <c r="A1179" s="47">
        <f>IF(B1179="","",SUBTOTAL(3,$B$3:B1179)-1)</f>
        <v>10</v>
      </c>
      <c r="B1179" s="391" t="s">
        <v>915</v>
      </c>
      <c r="C1179" s="395" t="s">
        <v>20</v>
      </c>
      <c r="D1179" s="363">
        <v>939183040</v>
      </c>
      <c r="E1179" s="46" t="s">
        <v>1214</v>
      </c>
      <c r="F1179" s="22">
        <v>6</v>
      </c>
      <c r="G1179" s="175" t="s">
        <v>1332</v>
      </c>
      <c r="H1179" s="405"/>
      <c r="I1179" s="185"/>
      <c r="J1179" s="71"/>
      <c r="K1179" s="194"/>
      <c r="L1179" s="67"/>
      <c r="M1179" s="67"/>
      <c r="N1179" s="67"/>
      <c r="O1179" s="73"/>
      <c r="P1179" s="237"/>
      <c r="Q1179" s="255"/>
      <c r="R1179" s="377" t="s">
        <v>2</v>
      </c>
      <c r="S1179" s="419" t="s">
        <v>0</v>
      </c>
      <c r="T1179" s="190"/>
      <c r="U1179" s="22"/>
      <c r="V1179" s="233"/>
      <c r="W1179" s="239"/>
      <c r="X1179" s="403"/>
      <c r="Y1179" s="258"/>
    </row>
    <row r="1180" spans="1:25" ht="19.5" hidden="1" thickBot="1" x14ac:dyDescent="0.35">
      <c r="A1180" s="47">
        <f>IF(B1180="","",SUBTOTAL(3,$B$3:B1180)-1)</f>
        <v>10</v>
      </c>
      <c r="B1180" s="336" t="s">
        <v>1268</v>
      </c>
      <c r="C1180" s="347" t="s">
        <v>20</v>
      </c>
      <c r="D1180" s="359">
        <v>886729350</v>
      </c>
      <c r="E1180" s="46" t="s">
        <v>1214</v>
      </c>
      <c r="F1180" s="22">
        <v>6</v>
      </c>
      <c r="G1180" s="175" t="s">
        <v>415</v>
      </c>
      <c r="H1180" s="405"/>
      <c r="I1180" s="185"/>
      <c r="J1180" s="71"/>
      <c r="K1180" s="194"/>
      <c r="L1180" s="67"/>
      <c r="M1180" s="67"/>
      <c r="N1180" s="67"/>
      <c r="O1180" s="73"/>
      <c r="P1180" s="237"/>
      <c r="Q1180" s="255"/>
      <c r="R1180" s="377" t="s">
        <v>0</v>
      </c>
      <c r="S1180" s="419"/>
      <c r="T1180" s="190"/>
      <c r="U1180" s="22"/>
      <c r="V1180" s="233"/>
      <c r="W1180" s="239"/>
      <c r="X1180" s="403"/>
      <c r="Y1180" s="258"/>
    </row>
    <row r="1181" spans="1:25" hidden="1" x14ac:dyDescent="0.3">
      <c r="A1181" s="47">
        <f>IF(B1181="","",SUBTOTAL(3,$B$3:B1181)-1)</f>
        <v>10</v>
      </c>
      <c r="B1181" s="390" t="s">
        <v>1269</v>
      </c>
      <c r="C1181" s="390" t="s">
        <v>20</v>
      </c>
      <c r="D1181" s="359">
        <v>384708528</v>
      </c>
      <c r="E1181" s="46" t="s">
        <v>1214</v>
      </c>
      <c r="F1181" s="22">
        <v>6</v>
      </c>
      <c r="G1181" s="175" t="s">
        <v>415</v>
      </c>
      <c r="H1181" s="405"/>
      <c r="I1181" s="185"/>
      <c r="J1181" s="71"/>
      <c r="K1181" s="194"/>
      <c r="L1181" s="67"/>
      <c r="M1181" s="67"/>
      <c r="N1181" s="67"/>
      <c r="O1181" s="73"/>
      <c r="P1181" s="237"/>
      <c r="Q1181" s="255"/>
      <c r="R1181" s="377" t="s">
        <v>0</v>
      </c>
      <c r="S1181" s="419" t="s">
        <v>0</v>
      </c>
      <c r="T1181" s="190"/>
      <c r="U1181" s="22"/>
      <c r="V1181" s="233"/>
      <c r="W1181" s="239"/>
      <c r="X1181" s="403"/>
      <c r="Y1181" s="258"/>
    </row>
    <row r="1182" spans="1:25" hidden="1" x14ac:dyDescent="0.3">
      <c r="A1182" s="47">
        <f>IF(B1182="","",SUBTOTAL(3,$B$3:B1182)-1)</f>
        <v>10</v>
      </c>
      <c r="B1182" s="18" t="s">
        <v>159</v>
      </c>
      <c r="C1182" s="350" t="s">
        <v>20</v>
      </c>
      <c r="D1182" s="362"/>
      <c r="E1182" s="46"/>
      <c r="F1182" s="142">
        <v>7</v>
      </c>
      <c r="G1182" s="176" t="s">
        <v>415</v>
      </c>
      <c r="H1182" s="406" t="s">
        <v>635</v>
      </c>
      <c r="I1182" s="185"/>
      <c r="J1182" s="67"/>
      <c r="K1182" s="194"/>
      <c r="L1182" s="180"/>
      <c r="M1182" s="180"/>
      <c r="N1182" s="180"/>
      <c r="O1182" s="181"/>
      <c r="P1182" s="237"/>
      <c r="Q1182" s="255"/>
      <c r="R1182" s="376" t="s">
        <v>2</v>
      </c>
      <c r="S1182" s="420" t="s">
        <v>2</v>
      </c>
      <c r="T1182" s="190"/>
      <c r="U1182" s="22"/>
      <c r="V1182" s="233"/>
      <c r="W1182" s="239"/>
      <c r="X1182" s="403"/>
      <c r="Y1182" s="258"/>
    </row>
    <row r="1183" spans="1:25" hidden="1" x14ac:dyDescent="0.3">
      <c r="A1183" s="47">
        <f>IF(B1183="","",SUBTOTAL(3,$B$3:B1183)-1)</f>
        <v>10</v>
      </c>
      <c r="B1183" s="332" t="s">
        <v>928</v>
      </c>
      <c r="C1183" s="332" t="s">
        <v>20</v>
      </c>
      <c r="D1183" s="332"/>
      <c r="E1183" s="46"/>
      <c r="F1183" s="142">
        <v>7</v>
      </c>
      <c r="G1183" s="175"/>
      <c r="H1183" s="406"/>
      <c r="I1183" s="188" t="s">
        <v>661</v>
      </c>
      <c r="J1183" s="142"/>
      <c r="K1183" s="196"/>
      <c r="L1183" s="67"/>
      <c r="M1183" s="67"/>
      <c r="N1183" s="67"/>
      <c r="O1183" s="73"/>
      <c r="P1183" s="237"/>
      <c r="Q1183" s="255"/>
      <c r="R1183" s="376"/>
      <c r="S1183" s="420"/>
      <c r="T1183" s="190" t="s">
        <v>1</v>
      </c>
      <c r="U1183" s="22"/>
      <c r="V1183" s="233"/>
      <c r="W1183" s="239"/>
      <c r="X1183" s="403"/>
      <c r="Y1183" s="258"/>
    </row>
    <row r="1184" spans="1:25" hidden="1" x14ac:dyDescent="0.3">
      <c r="A1184" s="47">
        <f>IF(B1184="","",SUBTOTAL(3,$B$3:B1184)-1)</f>
        <v>10</v>
      </c>
      <c r="B1184" s="39" t="s">
        <v>543</v>
      </c>
      <c r="C1184" s="24" t="s">
        <v>20</v>
      </c>
      <c r="D1184" s="163">
        <v>937315103</v>
      </c>
      <c r="E1184" s="46"/>
      <c r="F1184" s="142">
        <v>7</v>
      </c>
      <c r="G1184" s="175" t="s">
        <v>415</v>
      </c>
      <c r="H1184" s="406"/>
      <c r="I1184" s="188"/>
      <c r="J1184" s="142"/>
      <c r="K1184" s="196" t="s">
        <v>721</v>
      </c>
      <c r="L1184" s="67"/>
      <c r="M1184" s="67"/>
      <c r="N1184" s="67"/>
      <c r="O1184" s="73"/>
      <c r="P1184" s="237"/>
      <c r="Q1184" s="255"/>
      <c r="R1184" s="175"/>
      <c r="S1184" s="411"/>
      <c r="T1184" s="190"/>
      <c r="U1184" s="22"/>
      <c r="V1184" s="233"/>
      <c r="W1184" s="239"/>
      <c r="X1184" s="403"/>
      <c r="Y1184" s="258"/>
    </row>
    <row r="1185" spans="1:25" ht="19.5" hidden="1" thickBot="1" x14ac:dyDescent="0.35">
      <c r="A1185" s="47">
        <f>IF(B1185="","",SUBTOTAL(3,$B$3:B1185)-1)</f>
        <v>10</v>
      </c>
      <c r="B1185" s="389" t="s">
        <v>705</v>
      </c>
      <c r="C1185" s="389" t="s">
        <v>20</v>
      </c>
      <c r="D1185" s="398"/>
      <c r="E1185" s="46"/>
      <c r="F1185" s="374">
        <v>7</v>
      </c>
      <c r="G1185" s="175" t="s">
        <v>415</v>
      </c>
      <c r="H1185" s="406" t="s">
        <v>696</v>
      </c>
      <c r="I1185" s="188"/>
      <c r="J1185" s="142"/>
      <c r="K1185" s="196" t="s">
        <v>721</v>
      </c>
      <c r="L1185" s="67"/>
      <c r="M1185" s="67"/>
      <c r="N1185" s="67"/>
      <c r="O1185" s="73"/>
      <c r="P1185" s="237"/>
      <c r="Q1185" s="255"/>
      <c r="R1185" s="175" t="s">
        <v>0</v>
      </c>
      <c r="S1185" s="411" t="s">
        <v>0</v>
      </c>
      <c r="T1185" s="190"/>
      <c r="U1185" s="22"/>
      <c r="V1185" s="233"/>
      <c r="W1185" s="239"/>
      <c r="X1185" s="403"/>
      <c r="Y1185" s="325"/>
    </row>
    <row r="1186" spans="1:25" ht="19.5" hidden="1" thickBot="1" x14ac:dyDescent="0.35">
      <c r="A1186" s="47">
        <f>IF(B1186="","",SUBTOTAL(3,$B$3:B1186)-1)</f>
        <v>10</v>
      </c>
      <c r="B1186" s="335" t="s">
        <v>890</v>
      </c>
      <c r="C1186" s="335" t="s">
        <v>20</v>
      </c>
      <c r="D1186" s="364"/>
      <c r="E1186" s="46">
        <f>($AA$2-O1186)*$AB$2+Q1186</f>
        <v>0</v>
      </c>
      <c r="F1186" s="402">
        <v>7</v>
      </c>
      <c r="G1186" s="175" t="s">
        <v>415</v>
      </c>
      <c r="H1186" s="405" t="s">
        <v>635</v>
      </c>
      <c r="I1186" s="185"/>
      <c r="J1186" s="67"/>
      <c r="K1186" s="194"/>
      <c r="L1186" s="180"/>
      <c r="M1186" s="180"/>
      <c r="N1186" s="180"/>
      <c r="O1186" s="181"/>
      <c r="P1186" s="237"/>
      <c r="Q1186" s="255"/>
      <c r="R1186" s="175" t="s">
        <v>0</v>
      </c>
      <c r="S1186" s="411" t="s">
        <v>1</v>
      </c>
      <c r="T1186" s="190"/>
      <c r="U1186" s="22"/>
      <c r="V1186" s="233"/>
      <c r="W1186" s="239"/>
      <c r="X1186" s="403"/>
      <c r="Y1186" s="322"/>
    </row>
    <row r="1187" spans="1:25" ht="19.5" hidden="1" thickBot="1" x14ac:dyDescent="0.35">
      <c r="A1187" s="47">
        <f>IF(B1187="","",SUBTOTAL(3,$B$3:B1187)-1)</f>
        <v>10</v>
      </c>
      <c r="B1187" s="292" t="s">
        <v>1128</v>
      </c>
      <c r="C1187" s="277" t="s">
        <v>20</v>
      </c>
      <c r="D1187" s="364"/>
      <c r="E1187" s="46"/>
      <c r="F1187" s="314">
        <v>10</v>
      </c>
      <c r="G1187" s="175" t="s">
        <v>415</v>
      </c>
      <c r="H1187" s="405"/>
      <c r="I1187" s="185"/>
      <c r="J1187" s="71"/>
      <c r="K1187" s="194"/>
      <c r="L1187" s="180"/>
      <c r="M1187" s="180"/>
      <c r="N1187" s="180"/>
      <c r="O1187" s="181"/>
      <c r="P1187" s="237"/>
      <c r="Q1187" s="255"/>
      <c r="R1187" s="175" t="s">
        <v>2</v>
      </c>
      <c r="S1187" s="414"/>
      <c r="T1187" s="190"/>
      <c r="U1187" s="22"/>
      <c r="V1187" s="233"/>
      <c r="W1187" s="239"/>
      <c r="X1187" s="403"/>
      <c r="Y1187" s="322"/>
    </row>
    <row r="1188" spans="1:25" ht="19.5" hidden="1" thickBot="1" x14ac:dyDescent="0.35">
      <c r="A1188" s="47">
        <f>IF(B1188="","",SUBTOTAL(3,$B$3:B1188)-1)</f>
        <v>10</v>
      </c>
      <c r="B1188" s="338" t="s">
        <v>1081</v>
      </c>
      <c r="C1188" s="349" t="s">
        <v>20</v>
      </c>
      <c r="D1188" s="294"/>
      <c r="E1188" s="46"/>
      <c r="F1188" s="314" t="s">
        <v>1213</v>
      </c>
      <c r="G1188" s="175" t="s">
        <v>660</v>
      </c>
      <c r="H1188" s="405"/>
      <c r="I1188" s="185"/>
      <c r="J1188" s="67"/>
      <c r="K1188" s="194"/>
      <c r="L1188" s="67"/>
      <c r="M1188" s="67"/>
      <c r="N1188" s="67"/>
      <c r="O1188" s="73"/>
      <c r="P1188" s="237"/>
      <c r="Q1188" s="255"/>
      <c r="R1188" s="175" t="s">
        <v>0</v>
      </c>
      <c r="S1188" s="411"/>
      <c r="T1188" s="190"/>
      <c r="U1188" s="22"/>
      <c r="V1188" s="233"/>
      <c r="W1188" s="239"/>
      <c r="X1188" s="403"/>
      <c r="Y1188" s="322"/>
    </row>
    <row r="1189" spans="1:25" ht="19.5" hidden="1" thickBot="1" x14ac:dyDescent="0.35">
      <c r="A1189" s="47">
        <f>IF(B1189="","",SUBTOTAL(3,$B$3:B1189)-1)</f>
        <v>10</v>
      </c>
      <c r="B1189" s="335" t="s">
        <v>543</v>
      </c>
      <c r="C1189" s="335" t="s">
        <v>20</v>
      </c>
      <c r="D1189" s="311"/>
      <c r="E1189" s="46"/>
      <c r="F1189" s="314">
        <v>10</v>
      </c>
      <c r="G1189" s="175"/>
      <c r="H1189" s="406" t="s">
        <v>635</v>
      </c>
      <c r="I1189" s="185"/>
      <c r="J1189" s="67"/>
      <c r="K1189" s="194"/>
      <c r="L1189" s="67"/>
      <c r="M1189" s="67"/>
      <c r="N1189" s="67"/>
      <c r="O1189" s="73"/>
      <c r="P1189" s="237"/>
      <c r="Q1189" s="255"/>
      <c r="R1189" s="175"/>
      <c r="S1189" s="411" t="s">
        <v>0</v>
      </c>
      <c r="T1189" s="190"/>
      <c r="U1189" s="22"/>
      <c r="V1189" s="233"/>
      <c r="W1189" s="239"/>
      <c r="X1189" s="403"/>
      <c r="Y1189" s="322"/>
    </row>
    <row r="1190" spans="1:25" ht="19.5" hidden="1" thickBot="1" x14ac:dyDescent="0.35">
      <c r="A1190" s="47">
        <f>IF(B1190="","",SUBTOTAL(3,$B$3:B1190)-1)</f>
        <v>10</v>
      </c>
      <c r="B1190" s="289" t="s">
        <v>895</v>
      </c>
      <c r="C1190" s="289" t="s">
        <v>20</v>
      </c>
      <c r="D1190" s="308">
        <v>333310636</v>
      </c>
      <c r="E1190" s="46"/>
      <c r="F1190" s="314">
        <v>10</v>
      </c>
      <c r="G1190" s="176" t="s">
        <v>415</v>
      </c>
      <c r="H1190" s="405" t="s">
        <v>635</v>
      </c>
      <c r="I1190" s="188"/>
      <c r="J1190" s="142"/>
      <c r="K1190" s="196" t="s">
        <v>721</v>
      </c>
      <c r="L1190" s="67"/>
      <c r="M1190" s="67"/>
      <c r="N1190" s="67"/>
      <c r="O1190" s="73"/>
      <c r="P1190" s="237"/>
      <c r="Q1190" s="255"/>
      <c r="R1190" s="175" t="s">
        <v>1</v>
      </c>
      <c r="S1190" s="411" t="s">
        <v>848</v>
      </c>
      <c r="T1190" s="190"/>
      <c r="U1190" s="22"/>
      <c r="V1190" s="233"/>
      <c r="W1190" s="239"/>
      <c r="X1190" s="403"/>
      <c r="Y1190" s="322"/>
    </row>
    <row r="1191" spans="1:25" ht="19.5" hidden="1" thickBot="1" x14ac:dyDescent="0.35">
      <c r="A1191" s="47">
        <f>IF(B1191="","",SUBTOTAL(3,$B$3:B1191)-1)</f>
        <v>10</v>
      </c>
      <c r="B1191" s="289" t="s">
        <v>791</v>
      </c>
      <c r="C1191" s="289" t="s">
        <v>20</v>
      </c>
      <c r="D1191" s="308">
        <v>866699720</v>
      </c>
      <c r="E1191" s="46"/>
      <c r="F1191" s="314">
        <v>10</v>
      </c>
      <c r="G1191" s="176" t="s">
        <v>415</v>
      </c>
      <c r="H1191" s="406" t="s">
        <v>635</v>
      </c>
      <c r="I1191" s="188"/>
      <c r="J1191" s="142"/>
      <c r="K1191" s="196" t="s">
        <v>721</v>
      </c>
      <c r="L1191" s="67"/>
      <c r="M1191" s="67"/>
      <c r="N1191" s="67"/>
      <c r="O1191" s="73"/>
      <c r="P1191" s="237"/>
      <c r="Q1191" s="255"/>
      <c r="R1191" s="175"/>
      <c r="S1191" s="411" t="s">
        <v>0</v>
      </c>
      <c r="T1191" s="190"/>
      <c r="U1191" s="22"/>
      <c r="V1191" s="233"/>
      <c r="W1191" s="239"/>
      <c r="X1191" s="403"/>
      <c r="Y1191" s="322"/>
    </row>
    <row r="1192" spans="1:25" ht="19.5" hidden="1" thickBot="1" x14ac:dyDescent="0.35">
      <c r="A1192" s="47">
        <f>IF(B1192="","",SUBTOTAL(3,$B$3:B1192)-1)</f>
        <v>10</v>
      </c>
      <c r="B1192" s="289" t="s">
        <v>966</v>
      </c>
      <c r="C1192" s="289" t="s">
        <v>20</v>
      </c>
      <c r="D1192" s="308">
        <v>358949462</v>
      </c>
      <c r="E1192" s="46"/>
      <c r="F1192" s="314">
        <v>10</v>
      </c>
      <c r="G1192" s="176" t="s">
        <v>415</v>
      </c>
      <c r="H1192" s="406"/>
      <c r="I1192" s="188"/>
      <c r="J1192" s="142"/>
      <c r="K1192" s="196" t="s">
        <v>721</v>
      </c>
      <c r="L1192" s="67"/>
      <c r="M1192" s="67"/>
      <c r="N1192" s="67"/>
      <c r="O1192" s="73"/>
      <c r="P1192" s="237"/>
      <c r="Q1192" s="255"/>
      <c r="R1192" s="175"/>
      <c r="S1192" s="411"/>
      <c r="T1192" s="190"/>
      <c r="U1192" s="22"/>
      <c r="V1192" s="233"/>
      <c r="W1192" s="239"/>
      <c r="X1192" s="403"/>
      <c r="Y1192" s="322"/>
    </row>
    <row r="1193" spans="1:25" ht="19.5" hidden="1" thickBot="1" x14ac:dyDescent="0.35">
      <c r="A1193" s="47">
        <f>IF(B1193="","",SUBTOTAL(3,$B$3:B1193)-1)</f>
        <v>10</v>
      </c>
      <c r="B1193" s="335" t="s">
        <v>646</v>
      </c>
      <c r="C1193" s="335" t="s">
        <v>20</v>
      </c>
      <c r="D1193" s="311"/>
      <c r="E1193" s="46">
        <f>($AA$2-O1193)*$AB$2+Q1193</f>
        <v>0</v>
      </c>
      <c r="F1193" s="314">
        <v>10</v>
      </c>
      <c r="G1193" s="175" t="s">
        <v>415</v>
      </c>
      <c r="H1193" s="405" t="s">
        <v>635</v>
      </c>
      <c r="I1193" s="185" t="s">
        <v>661</v>
      </c>
      <c r="J1193" s="67"/>
      <c r="K1193" s="194"/>
      <c r="L1193" s="67"/>
      <c r="M1193" s="67"/>
      <c r="N1193" s="67"/>
      <c r="O1193" s="73"/>
      <c r="P1193" s="237"/>
      <c r="Q1193" s="255"/>
      <c r="R1193" s="175" t="s">
        <v>0</v>
      </c>
      <c r="S1193" s="411" t="s">
        <v>848</v>
      </c>
      <c r="T1193" s="190" t="s">
        <v>0</v>
      </c>
      <c r="U1193" s="22"/>
      <c r="V1193" s="233"/>
      <c r="W1193" s="239"/>
      <c r="X1193" s="403"/>
      <c r="Y1193" s="322"/>
    </row>
    <row r="1194" spans="1:25" ht="19.5" hidden="1" thickBot="1" x14ac:dyDescent="0.35">
      <c r="A1194" s="47">
        <f>IF(B1194="","",SUBTOTAL(3,$B$3:B1194)-1)</f>
        <v>10</v>
      </c>
      <c r="B1194" s="335" t="s">
        <v>705</v>
      </c>
      <c r="C1194" s="335" t="s">
        <v>20</v>
      </c>
      <c r="D1194" s="311"/>
      <c r="E1194" s="46">
        <f>($AA$2-O1194)*$AB$2+Q1194</f>
        <v>0</v>
      </c>
      <c r="F1194" s="314">
        <v>10</v>
      </c>
      <c r="G1194" s="175"/>
      <c r="H1194" s="405"/>
      <c r="I1194" s="185"/>
      <c r="J1194" s="67"/>
      <c r="K1194" s="194"/>
      <c r="L1194" s="67"/>
      <c r="M1194" s="67"/>
      <c r="N1194" s="67"/>
      <c r="O1194" s="73"/>
      <c r="P1194" s="237"/>
      <c r="Q1194" s="255"/>
      <c r="R1194" s="175"/>
      <c r="S1194" s="411"/>
      <c r="T1194" s="190"/>
      <c r="U1194" s="22"/>
      <c r="V1194" s="233"/>
      <c r="W1194" s="239"/>
      <c r="X1194" s="403"/>
      <c r="Y1194" s="322"/>
    </row>
    <row r="1195" spans="1:25" ht="19.5" hidden="1" thickBot="1" x14ac:dyDescent="0.35">
      <c r="A1195" s="47">
        <f>IF(B1195="","",SUBTOTAL(3,$B$3:B1195)-1)</f>
        <v>10</v>
      </c>
      <c r="B1195" s="335" t="s">
        <v>707</v>
      </c>
      <c r="C1195" s="335" t="s">
        <v>20</v>
      </c>
      <c r="D1195" s="311"/>
      <c r="E1195" s="46">
        <f>($AA$2-O1195)*$AB$2+Q1195</f>
        <v>0</v>
      </c>
      <c r="F1195" s="314">
        <v>10</v>
      </c>
      <c r="G1195" s="175" t="s">
        <v>415</v>
      </c>
      <c r="H1195" s="405" t="s">
        <v>635</v>
      </c>
      <c r="I1195" s="185" t="s">
        <v>661</v>
      </c>
      <c r="J1195" s="67" t="s">
        <v>661</v>
      </c>
      <c r="K1195" s="194"/>
      <c r="L1195" s="67"/>
      <c r="M1195" s="67"/>
      <c r="N1195" s="67"/>
      <c r="O1195" s="73"/>
      <c r="P1195" s="237"/>
      <c r="Q1195" s="255"/>
      <c r="R1195" s="175" t="s">
        <v>848</v>
      </c>
      <c r="S1195" s="411" t="s">
        <v>848</v>
      </c>
      <c r="T1195" s="190" t="s">
        <v>0</v>
      </c>
      <c r="U1195" s="22" t="s">
        <v>0</v>
      </c>
      <c r="V1195" s="233"/>
      <c r="W1195" s="239"/>
      <c r="X1195" s="403"/>
      <c r="Y1195" s="322"/>
    </row>
    <row r="1196" spans="1:25" ht="19.5" hidden="1" thickBot="1" x14ac:dyDescent="0.35">
      <c r="A1196" s="47">
        <f>IF(B1196="","",SUBTOTAL(3,$B$3:B1196)-1)</f>
        <v>10</v>
      </c>
      <c r="B1196" s="277" t="s">
        <v>487</v>
      </c>
      <c r="C1196" s="277" t="s">
        <v>20</v>
      </c>
      <c r="D1196" s="294">
        <v>377442975</v>
      </c>
      <c r="E1196" s="46">
        <f>($AA$2-O1196)*$AB$2+Q1196</f>
        <v>0</v>
      </c>
      <c r="F1196" s="314">
        <v>10</v>
      </c>
      <c r="G1196" s="175" t="s">
        <v>415</v>
      </c>
      <c r="H1196" s="405" t="s">
        <v>660</v>
      </c>
      <c r="I1196" s="185"/>
      <c r="J1196" s="71"/>
      <c r="K1196" s="194"/>
      <c r="L1196" s="67"/>
      <c r="M1196" s="67"/>
      <c r="N1196" s="67"/>
      <c r="O1196" s="73"/>
      <c r="P1196" s="237"/>
      <c r="Q1196" s="255"/>
      <c r="R1196" s="175" t="s">
        <v>2</v>
      </c>
      <c r="S1196" s="411" t="s">
        <v>2</v>
      </c>
      <c r="T1196" s="190"/>
      <c r="U1196" s="22"/>
      <c r="V1196" s="233"/>
      <c r="W1196" s="239"/>
      <c r="X1196" s="403"/>
      <c r="Y1196" s="322"/>
    </row>
    <row r="1197" spans="1:25" ht="19.5" hidden="1" thickBot="1" x14ac:dyDescent="0.35">
      <c r="A1197" s="47">
        <f>IF(B1197="","",SUBTOTAL(3,$B$3:B1197)-1)</f>
        <v>10</v>
      </c>
      <c r="B1197" s="335" t="s">
        <v>1208</v>
      </c>
      <c r="C1197" s="335" t="s">
        <v>20</v>
      </c>
      <c r="D1197" s="361"/>
      <c r="E1197" s="46"/>
      <c r="F1197" s="314">
        <v>8</v>
      </c>
      <c r="G1197" s="176"/>
      <c r="H1197" s="405" t="s">
        <v>635</v>
      </c>
      <c r="I1197" s="185"/>
      <c r="J1197" s="67"/>
      <c r="K1197" s="194"/>
      <c r="L1197" s="67"/>
      <c r="M1197" s="67"/>
      <c r="N1197" s="67"/>
      <c r="O1197" s="73"/>
      <c r="P1197" s="237"/>
      <c r="Q1197" s="255"/>
      <c r="R1197" s="175"/>
      <c r="S1197" s="411" t="s">
        <v>2</v>
      </c>
      <c r="T1197" s="190"/>
      <c r="U1197" s="22"/>
      <c r="V1197" s="233"/>
      <c r="W1197" s="239"/>
      <c r="X1197" s="403"/>
      <c r="Y1197" s="322"/>
    </row>
    <row r="1198" spans="1:25" ht="18" hidden="1" customHeight="1" thickBot="1" x14ac:dyDescent="0.35">
      <c r="A1198" s="47">
        <f>IF(B1198="","",SUBTOTAL(3,$B$3:B1198)-1)</f>
        <v>10</v>
      </c>
      <c r="B1198" s="268" t="s">
        <v>640</v>
      </c>
      <c r="C1198" s="268" t="s">
        <v>20</v>
      </c>
      <c r="D1198" s="364"/>
      <c r="E1198" s="46">
        <f>($AA$2-O1198)*$AB$2+Q1198</f>
        <v>0</v>
      </c>
      <c r="F1198" s="314">
        <v>8</v>
      </c>
      <c r="G1198" s="175" t="s">
        <v>415</v>
      </c>
      <c r="H1198" s="405" t="s">
        <v>635</v>
      </c>
      <c r="I1198" s="185"/>
      <c r="J1198" s="67"/>
      <c r="K1198" s="194"/>
      <c r="L1198" s="67"/>
      <c r="M1198" s="67"/>
      <c r="N1198" s="67"/>
      <c r="O1198" s="73"/>
      <c r="P1198" s="237"/>
      <c r="Q1198" s="255"/>
      <c r="R1198" s="175" t="s">
        <v>0</v>
      </c>
      <c r="S1198" s="411" t="s">
        <v>1</v>
      </c>
      <c r="T1198" s="190"/>
      <c r="U1198" s="22"/>
      <c r="V1198" s="233"/>
      <c r="W1198" s="239"/>
      <c r="X1198" s="403"/>
      <c r="Y1198" s="322"/>
    </row>
    <row r="1199" spans="1:25" ht="19.5" hidden="1" thickBot="1" x14ac:dyDescent="0.35">
      <c r="A1199" s="47">
        <f>IF(B1199="","",SUBTOTAL(3,$B$3:B1199)-1)</f>
        <v>10</v>
      </c>
      <c r="B1199" s="335" t="s">
        <v>983</v>
      </c>
      <c r="C1199" s="335" t="s">
        <v>20</v>
      </c>
      <c r="D1199" s="311"/>
      <c r="E1199" s="46">
        <f>($AA$2-O1199)*$AB$2+Q1199</f>
        <v>0</v>
      </c>
      <c r="F1199" s="314">
        <v>8</v>
      </c>
      <c r="G1199" s="175"/>
      <c r="H1199" s="405"/>
      <c r="I1199" s="185"/>
      <c r="J1199" s="67"/>
      <c r="K1199" s="194"/>
      <c r="L1199" s="180"/>
      <c r="M1199" s="180"/>
      <c r="N1199" s="180"/>
      <c r="O1199" s="181"/>
      <c r="P1199" s="237"/>
      <c r="Q1199" s="255"/>
      <c r="R1199" s="175"/>
      <c r="S1199" s="411"/>
      <c r="T1199" s="190"/>
      <c r="U1199" s="22"/>
      <c r="V1199" s="233"/>
      <c r="W1199" s="239"/>
      <c r="X1199" s="403"/>
      <c r="Y1199" s="322"/>
    </row>
    <row r="1200" spans="1:25" ht="19.5" hidden="1" thickBot="1" x14ac:dyDescent="0.35">
      <c r="A1200" s="47">
        <f>IF(B1200="","",SUBTOTAL(3,$B$3:B1200)-1)</f>
        <v>10</v>
      </c>
      <c r="B1200" s="335" t="s">
        <v>428</v>
      </c>
      <c r="C1200" s="335" t="s">
        <v>20</v>
      </c>
      <c r="D1200" s="311">
        <v>825908809</v>
      </c>
      <c r="E1200" s="46">
        <f>($AA$2-O1200)*$AB$2+Q1200</f>
        <v>0</v>
      </c>
      <c r="F1200" s="314">
        <v>8</v>
      </c>
      <c r="G1200" s="175"/>
      <c r="H1200" s="405"/>
      <c r="I1200" s="185"/>
      <c r="J1200" s="67"/>
      <c r="K1200" s="194"/>
      <c r="L1200" s="67"/>
      <c r="M1200" s="67"/>
      <c r="N1200" s="67"/>
      <c r="O1200" s="73"/>
      <c r="P1200" s="237"/>
      <c r="Q1200" s="255"/>
      <c r="R1200" s="175"/>
      <c r="S1200" s="411"/>
      <c r="T1200" s="190"/>
      <c r="U1200" s="22"/>
      <c r="V1200" s="233"/>
      <c r="W1200" s="239"/>
      <c r="X1200" s="403"/>
      <c r="Y1200" s="322"/>
    </row>
    <row r="1201" spans="1:25" ht="19.5" hidden="1" thickBot="1" x14ac:dyDescent="0.35">
      <c r="A1201" s="47">
        <f>IF(B1201="","",SUBTOTAL(3,$B$3:B1201)-1)</f>
        <v>10</v>
      </c>
      <c r="B1201" s="335" t="s">
        <v>512</v>
      </c>
      <c r="C1201" s="335" t="s">
        <v>20</v>
      </c>
      <c r="D1201" s="311"/>
      <c r="E1201" s="46">
        <f>($AA$2-O1201)*$AB$2+Q1201</f>
        <v>0</v>
      </c>
      <c r="F1201" s="314">
        <v>8</v>
      </c>
      <c r="G1201" s="175"/>
      <c r="H1201" s="405"/>
      <c r="I1201" s="185"/>
      <c r="J1201" s="67"/>
      <c r="K1201" s="194"/>
      <c r="L1201" s="180"/>
      <c r="M1201" s="180"/>
      <c r="N1201" s="180"/>
      <c r="O1201" s="181"/>
      <c r="P1201" s="237"/>
      <c r="Q1201" s="255"/>
      <c r="R1201" s="175"/>
      <c r="S1201" s="411"/>
      <c r="T1201" s="190"/>
      <c r="U1201" s="22"/>
      <c r="V1201" s="233"/>
      <c r="W1201" s="239"/>
      <c r="X1201" s="403"/>
      <c r="Y1201" s="322"/>
    </row>
    <row r="1202" spans="1:25" ht="19.5" hidden="1" thickBot="1" x14ac:dyDescent="0.35">
      <c r="A1202" s="47">
        <f>IF(B1202="","",SUBTOTAL(3,$B$3:B1202)-1)</f>
        <v>10</v>
      </c>
      <c r="B1202" s="328" t="s">
        <v>759</v>
      </c>
      <c r="C1202" s="328" t="s">
        <v>20</v>
      </c>
      <c r="D1202" s="357">
        <v>933861448</v>
      </c>
      <c r="E1202" s="46" t="s">
        <v>1214</v>
      </c>
      <c r="F1202" s="317">
        <v>8</v>
      </c>
      <c r="G1202" s="175" t="s">
        <v>415</v>
      </c>
      <c r="H1202" s="405" t="s">
        <v>635</v>
      </c>
      <c r="I1202" s="185"/>
      <c r="J1202" s="71"/>
      <c r="K1202" s="194"/>
      <c r="L1202" s="67"/>
      <c r="M1202" s="67"/>
      <c r="N1202" s="67"/>
      <c r="O1202" s="73"/>
      <c r="P1202" s="237"/>
      <c r="Q1202" s="255"/>
      <c r="R1202" s="175" t="s">
        <v>2</v>
      </c>
      <c r="S1202" s="411" t="s">
        <v>2</v>
      </c>
      <c r="T1202" s="190"/>
      <c r="U1202" s="22"/>
      <c r="V1202" s="233"/>
      <c r="W1202" s="239"/>
      <c r="X1202" s="403"/>
      <c r="Y1202" s="328" t="s">
        <v>1324</v>
      </c>
    </row>
    <row r="1203" spans="1:25" ht="19.5" hidden="1" thickBot="1" x14ac:dyDescent="0.35">
      <c r="A1203" s="47">
        <f>IF(B1203="","",SUBTOTAL(3,$B$3:B1203)-1)</f>
        <v>10</v>
      </c>
      <c r="B1203" s="287" t="s">
        <v>1297</v>
      </c>
      <c r="C1203" s="287" t="s">
        <v>20</v>
      </c>
      <c r="D1203" s="306">
        <v>706937556</v>
      </c>
      <c r="E1203" s="46" t="s">
        <v>1214</v>
      </c>
      <c r="F1203" s="317">
        <v>8</v>
      </c>
      <c r="G1203" s="175" t="s">
        <v>415</v>
      </c>
      <c r="H1203" s="405" t="s">
        <v>635</v>
      </c>
      <c r="I1203" s="185"/>
      <c r="J1203" s="71"/>
      <c r="K1203" s="194"/>
      <c r="L1203" s="67"/>
      <c r="M1203" s="67"/>
      <c r="N1203" s="67"/>
      <c r="O1203" s="73"/>
      <c r="P1203" s="237"/>
      <c r="Q1203" s="255"/>
      <c r="R1203" s="175" t="s">
        <v>2</v>
      </c>
      <c r="S1203" s="411" t="s">
        <v>2</v>
      </c>
      <c r="T1203" s="190"/>
      <c r="U1203" s="22"/>
      <c r="V1203" s="233"/>
      <c r="W1203" s="239"/>
      <c r="X1203" s="403"/>
      <c r="Y1203" s="287" t="s">
        <v>1324</v>
      </c>
    </row>
    <row r="1204" spans="1:25" ht="19.5" hidden="1" thickBot="1" x14ac:dyDescent="0.35">
      <c r="A1204" s="47">
        <f>IF(B1204="","",SUBTOTAL(3,$B$3:B1204)-1)</f>
        <v>10</v>
      </c>
      <c r="B1204" s="268" t="s">
        <v>669</v>
      </c>
      <c r="C1204" s="268" t="s">
        <v>20</v>
      </c>
      <c r="D1204" s="294"/>
      <c r="E1204" s="46">
        <f t="shared" ref="E1204:E1214" si="9">($AA$2-O1204)*$AB$2+Q1204</f>
        <v>0</v>
      </c>
      <c r="F1204" s="314">
        <v>9</v>
      </c>
      <c r="G1204" s="175" t="s">
        <v>415</v>
      </c>
      <c r="H1204" s="409" t="s">
        <v>660</v>
      </c>
      <c r="I1204" s="185"/>
      <c r="J1204" s="67"/>
      <c r="K1204" s="194"/>
      <c r="L1204" s="67"/>
      <c r="M1204" s="67"/>
      <c r="N1204" s="67"/>
      <c r="O1204" s="73"/>
      <c r="P1204" s="237"/>
      <c r="Q1204" s="255"/>
      <c r="R1204" s="175" t="s">
        <v>0</v>
      </c>
      <c r="S1204" s="411" t="s">
        <v>0</v>
      </c>
      <c r="T1204" s="190"/>
      <c r="U1204" s="22"/>
      <c r="V1204" s="233"/>
      <c r="W1204" s="239"/>
      <c r="X1204" s="403"/>
      <c r="Y1204" s="322"/>
    </row>
    <row r="1205" spans="1:25" ht="19.5" hidden="1" thickBot="1" x14ac:dyDescent="0.35">
      <c r="A1205" s="47">
        <f>IF(B1205="","",SUBTOTAL(3,$B$3:B1205)-1)</f>
        <v>10</v>
      </c>
      <c r="B1205" s="268" t="s">
        <v>482</v>
      </c>
      <c r="C1205" s="268" t="s">
        <v>20</v>
      </c>
      <c r="D1205" s="294"/>
      <c r="E1205" s="46">
        <f t="shared" si="9"/>
        <v>0</v>
      </c>
      <c r="F1205" s="314">
        <v>9</v>
      </c>
      <c r="G1205" s="175"/>
      <c r="H1205" s="409"/>
      <c r="I1205" s="187"/>
      <c r="J1205" s="67"/>
      <c r="K1205" s="194"/>
      <c r="L1205" s="67"/>
      <c r="M1205" s="67"/>
      <c r="N1205" s="67"/>
      <c r="O1205" s="73"/>
      <c r="P1205" s="237"/>
      <c r="Q1205" s="255"/>
      <c r="R1205" s="175"/>
      <c r="S1205" s="411"/>
      <c r="T1205" s="190"/>
      <c r="U1205" s="22"/>
      <c r="V1205" s="233"/>
      <c r="W1205" s="239"/>
      <c r="X1205" s="403"/>
      <c r="Y1205" s="322"/>
    </row>
    <row r="1206" spans="1:25" ht="19.5" hidden="1" thickBot="1" x14ac:dyDescent="0.35">
      <c r="A1206" s="47">
        <f>IF(B1206="","",SUBTOTAL(3,$B$3:B1206)-1)</f>
        <v>10</v>
      </c>
      <c r="B1206" s="268" t="s">
        <v>409</v>
      </c>
      <c r="C1206" s="268" t="s">
        <v>20</v>
      </c>
      <c r="D1206" s="294"/>
      <c r="E1206" s="46">
        <f t="shared" si="9"/>
        <v>0</v>
      </c>
      <c r="F1206" s="314">
        <v>9</v>
      </c>
      <c r="G1206" s="175" t="s">
        <v>415</v>
      </c>
      <c r="H1206" s="409" t="s">
        <v>660</v>
      </c>
      <c r="I1206" s="187"/>
      <c r="J1206" s="67"/>
      <c r="K1206" s="194"/>
      <c r="L1206" s="180"/>
      <c r="M1206" s="180"/>
      <c r="N1206" s="180"/>
      <c r="O1206" s="181"/>
      <c r="P1206" s="237"/>
      <c r="Q1206" s="255"/>
      <c r="R1206" s="175" t="s">
        <v>0</v>
      </c>
      <c r="S1206" s="411" t="s">
        <v>0</v>
      </c>
      <c r="T1206" s="190"/>
      <c r="U1206" s="22"/>
      <c r="V1206" s="233"/>
      <c r="W1206" s="239"/>
      <c r="X1206" s="403"/>
      <c r="Y1206" s="322"/>
    </row>
    <row r="1207" spans="1:25" ht="19.5" hidden="1" thickBot="1" x14ac:dyDescent="0.35">
      <c r="A1207" s="47">
        <f>IF(B1207="","",SUBTOTAL(3,$B$3:B1207)-1)</f>
        <v>10</v>
      </c>
      <c r="B1207" s="268" t="s">
        <v>223</v>
      </c>
      <c r="C1207" s="268" t="s">
        <v>20</v>
      </c>
      <c r="D1207" s="294"/>
      <c r="E1207" s="46">
        <f t="shared" si="9"/>
        <v>0</v>
      </c>
      <c r="F1207" s="314">
        <v>9</v>
      </c>
      <c r="G1207" s="175" t="s">
        <v>415</v>
      </c>
      <c r="H1207" s="409"/>
      <c r="I1207" s="187"/>
      <c r="J1207" s="67"/>
      <c r="K1207" s="194"/>
      <c r="L1207" s="180"/>
      <c r="M1207" s="180"/>
      <c r="N1207" s="180"/>
      <c r="O1207" s="181"/>
      <c r="P1207" s="237"/>
      <c r="Q1207" s="255"/>
      <c r="R1207" s="175" t="s">
        <v>1</v>
      </c>
      <c r="S1207" s="411"/>
      <c r="T1207" s="190"/>
      <c r="U1207" s="22"/>
      <c r="V1207" s="233"/>
      <c r="W1207" s="239"/>
      <c r="X1207" s="403"/>
      <c r="Y1207" s="322"/>
    </row>
    <row r="1208" spans="1:25" ht="19.5" hidden="1" thickBot="1" x14ac:dyDescent="0.35">
      <c r="A1208" s="47">
        <f>IF(B1208="","",SUBTOTAL(3,$B$3:B1208)-1)</f>
        <v>10</v>
      </c>
      <c r="B1208" s="268" t="s">
        <v>224</v>
      </c>
      <c r="C1208" s="268" t="s">
        <v>20</v>
      </c>
      <c r="D1208" s="294"/>
      <c r="E1208" s="46">
        <f t="shared" si="9"/>
        <v>0</v>
      </c>
      <c r="F1208" s="314">
        <v>9</v>
      </c>
      <c r="G1208" s="175"/>
      <c r="H1208" s="409" t="s">
        <v>696</v>
      </c>
      <c r="I1208" s="187"/>
      <c r="J1208" s="67" t="s">
        <v>661</v>
      </c>
      <c r="K1208" s="194"/>
      <c r="L1208" s="67"/>
      <c r="M1208" s="67"/>
      <c r="N1208" s="67"/>
      <c r="O1208" s="73"/>
      <c r="P1208" s="237"/>
      <c r="Q1208" s="255"/>
      <c r="R1208" s="175"/>
      <c r="S1208" s="411" t="s">
        <v>661</v>
      </c>
      <c r="T1208" s="190"/>
      <c r="U1208" s="22" t="s">
        <v>0</v>
      </c>
      <c r="V1208" s="233"/>
      <c r="W1208" s="239"/>
      <c r="X1208" s="403"/>
      <c r="Y1208" s="322"/>
    </row>
    <row r="1209" spans="1:25" ht="19.5" hidden="1" thickBot="1" x14ac:dyDescent="0.35">
      <c r="A1209" s="47">
        <f>IF(B1209="","",SUBTOTAL(3,$B$3:B1209)-1)</f>
        <v>10</v>
      </c>
      <c r="B1209" s="277" t="s">
        <v>645</v>
      </c>
      <c r="C1209" s="277" t="s">
        <v>20</v>
      </c>
      <c r="D1209" s="294"/>
      <c r="E1209" s="46">
        <f t="shared" si="9"/>
        <v>0</v>
      </c>
      <c r="F1209" s="314">
        <v>10</v>
      </c>
      <c r="G1209" s="175"/>
      <c r="H1209" s="405"/>
      <c r="I1209" s="185"/>
      <c r="J1209" s="71"/>
      <c r="K1209" s="194"/>
      <c r="L1209" s="67"/>
      <c r="M1209" s="67"/>
      <c r="N1209" s="67"/>
      <c r="O1209" s="73"/>
      <c r="P1209" s="237"/>
      <c r="Q1209" s="255"/>
      <c r="R1209" s="175"/>
      <c r="S1209" s="411"/>
      <c r="T1209" s="190"/>
      <c r="U1209" s="22"/>
      <c r="V1209" s="233"/>
      <c r="W1209" s="239"/>
      <c r="X1209" s="403"/>
      <c r="Y1209" s="322"/>
    </row>
    <row r="1210" spans="1:25" ht="19.5" hidden="1" thickBot="1" x14ac:dyDescent="0.35">
      <c r="A1210" s="47">
        <f>IF(B1210="","",SUBTOTAL(3,$B$3:B1210)-1)</f>
        <v>10</v>
      </c>
      <c r="B1210" s="277" t="s">
        <v>1133</v>
      </c>
      <c r="C1210" s="277" t="s">
        <v>20</v>
      </c>
      <c r="D1210" s="294"/>
      <c r="E1210" s="46">
        <f t="shared" si="9"/>
        <v>0</v>
      </c>
      <c r="F1210" s="314">
        <v>10</v>
      </c>
      <c r="G1210" s="175"/>
      <c r="H1210" s="405"/>
      <c r="I1210" s="185"/>
      <c r="J1210" s="71" t="s">
        <v>661</v>
      </c>
      <c r="K1210" s="194"/>
      <c r="L1210" s="67"/>
      <c r="M1210" s="67"/>
      <c r="N1210" s="67"/>
      <c r="O1210" s="73"/>
      <c r="P1210" s="237"/>
      <c r="Q1210" s="255"/>
      <c r="R1210" s="175"/>
      <c r="S1210" s="411"/>
      <c r="T1210" s="190"/>
      <c r="U1210" s="22" t="s">
        <v>0</v>
      </c>
      <c r="V1210" s="233"/>
      <c r="W1210" s="239"/>
      <c r="X1210" s="403"/>
      <c r="Y1210" s="322"/>
    </row>
    <row r="1211" spans="1:25" ht="19.5" hidden="1" thickBot="1" x14ac:dyDescent="0.35">
      <c r="A1211" s="47">
        <f>IF(B1211="","",SUBTOTAL(3,$B$3:B1211)-1)</f>
        <v>10</v>
      </c>
      <c r="B1211" s="277" t="s">
        <v>489</v>
      </c>
      <c r="C1211" s="277" t="s">
        <v>20</v>
      </c>
      <c r="D1211" s="294">
        <v>333310636</v>
      </c>
      <c r="E1211" s="46">
        <f t="shared" si="9"/>
        <v>0</v>
      </c>
      <c r="F1211" s="314">
        <v>10</v>
      </c>
      <c r="G1211" s="175"/>
      <c r="H1211" s="405"/>
      <c r="I1211" s="185"/>
      <c r="J1211" s="71"/>
      <c r="K1211" s="194"/>
      <c r="L1211" s="67"/>
      <c r="M1211" s="67"/>
      <c r="N1211" s="67"/>
      <c r="O1211" s="73"/>
      <c r="P1211" s="237"/>
      <c r="Q1211" s="255"/>
      <c r="R1211" s="175"/>
      <c r="S1211" s="411"/>
      <c r="T1211" s="190"/>
      <c r="U1211" s="22"/>
      <c r="V1211" s="233"/>
      <c r="W1211" s="239"/>
      <c r="X1211" s="403"/>
      <c r="Y1211" s="322"/>
    </row>
    <row r="1212" spans="1:25" ht="19.5" hidden="1" thickBot="1" x14ac:dyDescent="0.35">
      <c r="A1212" s="47">
        <f>IF(B1212="","",SUBTOTAL(3,$B$3:B1212)-1)</f>
        <v>10</v>
      </c>
      <c r="B1212" s="268" t="s">
        <v>286</v>
      </c>
      <c r="C1212" s="268" t="s">
        <v>20</v>
      </c>
      <c r="D1212" s="364"/>
      <c r="E1212" s="46">
        <f t="shared" si="9"/>
        <v>0</v>
      </c>
      <c r="F1212" s="314">
        <v>10</v>
      </c>
      <c r="G1212" s="175" t="s">
        <v>415</v>
      </c>
      <c r="H1212" s="405"/>
      <c r="I1212" s="185"/>
      <c r="J1212" s="71"/>
      <c r="K1212" s="194"/>
      <c r="L1212" s="67"/>
      <c r="M1212" s="67"/>
      <c r="N1212" s="67"/>
      <c r="O1212" s="73"/>
      <c r="P1212" s="237"/>
      <c r="Q1212" s="255"/>
      <c r="R1212" s="175" t="s">
        <v>2</v>
      </c>
      <c r="S1212" s="411"/>
      <c r="T1212" s="190"/>
      <c r="U1212" s="22" t="s">
        <v>0</v>
      </c>
      <c r="V1212" s="233"/>
      <c r="W1212" s="239"/>
      <c r="X1212" s="403"/>
      <c r="Y1212" s="322"/>
    </row>
    <row r="1213" spans="1:25" ht="19.5" hidden="1" thickBot="1" x14ac:dyDescent="0.35">
      <c r="A1213" s="47">
        <f>IF(B1213="","",SUBTOTAL(3,$B$3:B1213)-1)</f>
        <v>10</v>
      </c>
      <c r="B1213" s="345" t="s">
        <v>688</v>
      </c>
      <c r="C1213" s="268" t="s">
        <v>20</v>
      </c>
      <c r="D1213" s="294">
        <v>858567442</v>
      </c>
      <c r="E1213" s="46">
        <f t="shared" si="9"/>
        <v>0</v>
      </c>
      <c r="F1213" s="314">
        <v>11</v>
      </c>
      <c r="G1213" s="175" t="s">
        <v>660</v>
      </c>
      <c r="H1213" s="405" t="s">
        <v>1</v>
      </c>
      <c r="I1213" s="185" t="s">
        <v>634</v>
      </c>
      <c r="J1213" s="67"/>
      <c r="K1213" s="194"/>
      <c r="L1213" s="180"/>
      <c r="M1213" s="180"/>
      <c r="N1213" s="180"/>
      <c r="O1213" s="181"/>
      <c r="P1213" s="237"/>
      <c r="Q1213" s="255"/>
      <c r="R1213" s="175" t="s">
        <v>1</v>
      </c>
      <c r="S1213" s="411" t="s">
        <v>1</v>
      </c>
      <c r="T1213" s="190" t="s">
        <v>661</v>
      </c>
      <c r="U1213" s="22"/>
      <c r="V1213" s="233"/>
      <c r="W1213" s="239"/>
      <c r="X1213" s="403"/>
      <c r="Y1213" s="322"/>
    </row>
    <row r="1214" spans="1:25" ht="19.5" hidden="1" thickBot="1" x14ac:dyDescent="0.35">
      <c r="A1214" s="47">
        <f>IF(B1214="","",SUBTOTAL(3,$B$3:B1214)-1)</f>
        <v>10</v>
      </c>
      <c r="B1214" s="388" t="s">
        <v>702</v>
      </c>
      <c r="C1214" s="388" t="s">
        <v>20</v>
      </c>
      <c r="D1214" s="397"/>
      <c r="E1214" s="46">
        <f t="shared" si="9"/>
        <v>0</v>
      </c>
      <c r="F1214" s="373">
        <v>11</v>
      </c>
      <c r="G1214" s="175"/>
      <c r="H1214" s="405" t="s">
        <v>696</v>
      </c>
      <c r="I1214" s="185" t="s">
        <v>661</v>
      </c>
      <c r="J1214" s="67"/>
      <c r="K1214" s="194"/>
      <c r="L1214" s="67"/>
      <c r="M1214" s="67"/>
      <c r="N1214" s="67"/>
      <c r="O1214" s="73"/>
      <c r="P1214" s="237"/>
      <c r="Q1214" s="255"/>
      <c r="R1214" s="175"/>
      <c r="S1214" s="411" t="s">
        <v>661</v>
      </c>
      <c r="T1214" s="190">
        <v>1</v>
      </c>
      <c r="U1214" s="22"/>
      <c r="V1214" s="233"/>
      <c r="W1214" s="239"/>
      <c r="X1214" s="403"/>
      <c r="Y1214" s="379"/>
    </row>
    <row r="1215" spans="1:25" hidden="1" x14ac:dyDescent="0.3">
      <c r="A1215" s="47">
        <f>IF(B1215="","",SUBTOTAL(3,$B$3:B1215)-1)</f>
        <v>10</v>
      </c>
      <c r="B1215" s="24" t="s">
        <v>631</v>
      </c>
      <c r="C1215" s="24" t="s">
        <v>20</v>
      </c>
      <c r="D1215" s="24"/>
      <c r="E1215" s="46"/>
      <c r="F1215" s="22">
        <v>11</v>
      </c>
      <c r="G1215" s="175" t="s">
        <v>660</v>
      </c>
      <c r="H1215" s="405"/>
      <c r="I1215" s="185" t="s">
        <v>661</v>
      </c>
      <c r="J1215" s="67"/>
      <c r="K1215" s="194"/>
      <c r="L1215" s="67"/>
      <c r="M1215" s="67"/>
      <c r="N1215" s="67"/>
      <c r="O1215" s="73"/>
      <c r="P1215" s="237"/>
      <c r="Q1215" s="255"/>
      <c r="R1215" s="175" t="s">
        <v>0</v>
      </c>
      <c r="S1215" s="411" t="s">
        <v>710</v>
      </c>
      <c r="T1215" s="190"/>
      <c r="U1215" s="22"/>
      <c r="V1215" s="233"/>
      <c r="W1215" s="239"/>
      <c r="X1215" s="403"/>
      <c r="Y1215" s="258"/>
    </row>
    <row r="1216" spans="1:25" hidden="1" x14ac:dyDescent="0.3">
      <c r="A1216" s="47">
        <f>IF(B1216="","",SUBTOTAL(3,$B$3:B1216)-1)</f>
        <v>10</v>
      </c>
      <c r="B1216" s="24" t="s">
        <v>915</v>
      </c>
      <c r="C1216" s="24" t="s">
        <v>20</v>
      </c>
      <c r="D1216" s="24">
        <v>356600894</v>
      </c>
      <c r="E1216" s="46"/>
      <c r="F1216" s="22">
        <v>11</v>
      </c>
      <c r="G1216" s="175" t="s">
        <v>660</v>
      </c>
      <c r="H1216" s="405" t="s">
        <v>1</v>
      </c>
      <c r="I1216" s="185"/>
      <c r="J1216" s="67"/>
      <c r="K1216" s="194"/>
      <c r="L1216" s="67"/>
      <c r="M1216" s="67"/>
      <c r="N1216" s="67"/>
      <c r="O1216" s="73"/>
      <c r="P1216" s="237"/>
      <c r="Q1216" s="255"/>
      <c r="R1216" s="175" t="s">
        <v>1</v>
      </c>
      <c r="S1216" s="411" t="s">
        <v>1</v>
      </c>
      <c r="T1216" s="190"/>
      <c r="U1216" s="22"/>
      <c r="V1216" s="233"/>
      <c r="W1216" s="239"/>
      <c r="X1216" s="403"/>
      <c r="Y1216" s="258"/>
    </row>
    <row r="1217" spans="1:25" hidden="1" x14ac:dyDescent="0.3">
      <c r="A1217" s="47">
        <f>IF(B1217="","",SUBTOTAL(3,$B$3:B1217)-1)</f>
        <v>10</v>
      </c>
      <c r="B1217" s="24" t="s">
        <v>1156</v>
      </c>
      <c r="C1217" s="24" t="s">
        <v>20</v>
      </c>
      <c r="D1217" s="24"/>
      <c r="E1217" s="46"/>
      <c r="F1217" s="22">
        <v>11</v>
      </c>
      <c r="G1217" s="175" t="s">
        <v>660</v>
      </c>
      <c r="H1217" s="405"/>
      <c r="I1217" s="185"/>
      <c r="J1217" s="67"/>
      <c r="K1217" s="194"/>
      <c r="L1217" s="67"/>
      <c r="M1217" s="67"/>
      <c r="N1217" s="67"/>
      <c r="O1217" s="73"/>
      <c r="P1217" s="237"/>
      <c r="Q1217" s="255"/>
      <c r="R1217" s="175" t="s">
        <v>1</v>
      </c>
      <c r="S1217" s="411"/>
      <c r="T1217" s="190"/>
      <c r="U1217" s="22"/>
      <c r="V1217" s="233"/>
      <c r="W1217" s="239"/>
      <c r="X1217" s="403"/>
      <c r="Y1217" s="258"/>
    </row>
    <row r="1218" spans="1:25" hidden="1" x14ac:dyDescent="0.3">
      <c r="A1218" s="47">
        <f>IF(B1218="","",SUBTOTAL(3,$B$3:B1218)-1)</f>
        <v>10</v>
      </c>
      <c r="B1218" s="24" t="s">
        <v>312</v>
      </c>
      <c r="C1218" s="24" t="s">
        <v>20</v>
      </c>
      <c r="D1218" s="163"/>
      <c r="E1218" s="46">
        <f t="shared" ref="E1218:E1225" si="10">($AA$2-O1218)*$AB$2+Q1218</f>
        <v>0</v>
      </c>
      <c r="F1218" s="22">
        <v>11</v>
      </c>
      <c r="G1218" s="175" t="s">
        <v>415</v>
      </c>
      <c r="H1218" s="405"/>
      <c r="I1218" s="185" t="s">
        <v>661</v>
      </c>
      <c r="J1218" s="67"/>
      <c r="K1218" s="194"/>
      <c r="L1218" s="180"/>
      <c r="M1218" s="180"/>
      <c r="N1218" s="180"/>
      <c r="O1218" s="181"/>
      <c r="P1218" s="237"/>
      <c r="Q1218" s="255"/>
      <c r="R1218" s="175"/>
      <c r="S1218" s="411" t="s">
        <v>710</v>
      </c>
      <c r="T1218" s="190">
        <v>2</v>
      </c>
      <c r="U1218" s="22"/>
      <c r="V1218" s="233"/>
      <c r="W1218" s="239"/>
      <c r="X1218" s="403"/>
      <c r="Y1218" s="258"/>
    </row>
    <row r="1219" spans="1:25" hidden="1" x14ac:dyDescent="0.3">
      <c r="A1219" s="47">
        <f>IF(B1219="","",SUBTOTAL(3,$B$3:B1219)-1)</f>
        <v>10</v>
      </c>
      <c r="B1219" s="24" t="s">
        <v>338</v>
      </c>
      <c r="C1219" s="24" t="s">
        <v>20</v>
      </c>
      <c r="D1219" s="163"/>
      <c r="E1219" s="46">
        <f t="shared" si="10"/>
        <v>0</v>
      </c>
      <c r="F1219" s="22">
        <v>12</v>
      </c>
      <c r="G1219" s="175"/>
      <c r="H1219" s="405"/>
      <c r="I1219" s="185"/>
      <c r="J1219" s="67"/>
      <c r="K1219" s="194"/>
      <c r="L1219" s="67"/>
      <c r="M1219" s="67"/>
      <c r="N1219" s="67"/>
      <c r="O1219" s="73"/>
      <c r="P1219" s="237"/>
      <c r="Q1219" s="255"/>
      <c r="R1219" s="175" t="s">
        <v>415</v>
      </c>
      <c r="S1219" s="411"/>
      <c r="T1219" s="190"/>
      <c r="U1219" s="22"/>
      <c r="V1219" s="233"/>
      <c r="W1219" s="239"/>
      <c r="X1219" s="403"/>
      <c r="Y1219" s="258"/>
    </row>
    <row r="1220" spans="1:25" hidden="1" x14ac:dyDescent="0.3">
      <c r="A1220" s="47">
        <f>IF(B1220="","",SUBTOTAL(3,$B$3:B1220)-1)</f>
        <v>10</v>
      </c>
      <c r="B1220" s="24" t="s">
        <v>371</v>
      </c>
      <c r="C1220" s="24" t="s">
        <v>20</v>
      </c>
      <c r="D1220" s="163"/>
      <c r="E1220" s="46">
        <f t="shared" si="10"/>
        <v>0</v>
      </c>
      <c r="F1220" s="22">
        <v>12</v>
      </c>
      <c r="G1220" s="175"/>
      <c r="H1220" s="405"/>
      <c r="I1220" s="185"/>
      <c r="J1220" s="67"/>
      <c r="K1220" s="194"/>
      <c r="L1220" s="67"/>
      <c r="M1220" s="67"/>
      <c r="N1220" s="67"/>
      <c r="O1220" s="73"/>
      <c r="P1220" s="237"/>
      <c r="Q1220" s="255"/>
      <c r="R1220" s="175" t="s">
        <v>415</v>
      </c>
      <c r="S1220" s="411"/>
      <c r="T1220" s="190"/>
      <c r="U1220" s="22"/>
      <c r="V1220" s="233"/>
      <c r="W1220" s="239"/>
      <c r="X1220" s="403"/>
      <c r="Y1220" s="258"/>
    </row>
    <row r="1221" spans="1:25" hidden="1" x14ac:dyDescent="0.3">
      <c r="A1221" s="47">
        <f>IF(B1221="","",SUBTOTAL(3,$B$3:B1221)-1)</f>
        <v>10</v>
      </c>
      <c r="B1221" s="24" t="s">
        <v>373</v>
      </c>
      <c r="C1221" s="24" t="s">
        <v>20</v>
      </c>
      <c r="D1221" s="163"/>
      <c r="E1221" s="46">
        <f t="shared" si="10"/>
        <v>0</v>
      </c>
      <c r="F1221" s="22">
        <v>12</v>
      </c>
      <c r="G1221" s="175"/>
      <c r="H1221" s="405"/>
      <c r="I1221" s="185"/>
      <c r="J1221" s="67"/>
      <c r="K1221" s="194"/>
      <c r="L1221" s="67"/>
      <c r="M1221" s="67"/>
      <c r="N1221" s="67"/>
      <c r="O1221" s="73"/>
      <c r="P1221" s="237"/>
      <c r="Q1221" s="255"/>
      <c r="R1221" s="175" t="s">
        <v>415</v>
      </c>
      <c r="S1221" s="411"/>
      <c r="T1221" s="190"/>
      <c r="U1221" s="22"/>
      <c r="V1221" s="233"/>
      <c r="W1221" s="239"/>
      <c r="X1221" s="403"/>
      <c r="Y1221" s="258"/>
    </row>
    <row r="1222" spans="1:25" hidden="1" x14ac:dyDescent="0.3">
      <c r="A1222" s="47">
        <f>IF(B1222="","",SUBTOTAL(3,$B$3:B1222)-1)</f>
        <v>10</v>
      </c>
      <c r="B1222" s="24" t="s">
        <v>281</v>
      </c>
      <c r="C1222" s="242" t="s">
        <v>20</v>
      </c>
      <c r="D1222" s="25">
        <v>766881380</v>
      </c>
      <c r="E1222" s="46">
        <f t="shared" si="10"/>
        <v>0</v>
      </c>
      <c r="F1222" s="22" t="s">
        <v>1213</v>
      </c>
      <c r="G1222" s="175"/>
      <c r="H1222" s="405"/>
      <c r="I1222" s="185"/>
      <c r="J1222" s="67"/>
      <c r="K1222" s="194"/>
      <c r="L1222" s="67"/>
      <c r="M1222" s="67"/>
      <c r="N1222" s="67"/>
      <c r="O1222" s="73"/>
      <c r="P1222" s="237"/>
      <c r="Q1222" s="255"/>
      <c r="R1222" s="175"/>
      <c r="S1222" s="411"/>
      <c r="T1222" s="190"/>
      <c r="U1222" s="22"/>
      <c r="V1222" s="233"/>
      <c r="W1222" s="239"/>
      <c r="X1222" s="403"/>
      <c r="Y1222" s="258"/>
    </row>
    <row r="1223" spans="1:25" hidden="1" x14ac:dyDescent="0.3">
      <c r="A1223" s="47">
        <f>IF(B1223="","",SUBTOTAL(3,$B$3:B1223)-1)</f>
        <v>10</v>
      </c>
      <c r="B1223" s="24" t="s">
        <v>265</v>
      </c>
      <c r="C1223" s="244" t="s">
        <v>20</v>
      </c>
      <c r="D1223" s="163"/>
      <c r="E1223" s="46">
        <f t="shared" si="10"/>
        <v>0</v>
      </c>
      <c r="F1223" s="22" t="s">
        <v>1213</v>
      </c>
      <c r="G1223" s="175" t="s">
        <v>660</v>
      </c>
      <c r="H1223" s="405"/>
      <c r="I1223" s="185"/>
      <c r="J1223" s="67"/>
      <c r="K1223" s="194"/>
      <c r="L1223" s="67"/>
      <c r="M1223" s="67"/>
      <c r="N1223" s="67"/>
      <c r="O1223" s="73"/>
      <c r="P1223" s="237"/>
      <c r="Q1223" s="255"/>
      <c r="R1223" s="175" t="s">
        <v>1</v>
      </c>
      <c r="S1223" s="411"/>
      <c r="T1223" s="190"/>
      <c r="U1223" s="22"/>
      <c r="V1223" s="233"/>
      <c r="W1223" s="239"/>
      <c r="X1223" s="403"/>
      <c r="Y1223" s="258"/>
    </row>
    <row r="1224" spans="1:25" hidden="1" x14ac:dyDescent="0.3">
      <c r="A1224" s="47">
        <f>IF(B1224="","",SUBTOTAL(3,$B$3:B1224)-1)</f>
        <v>10</v>
      </c>
      <c r="B1224" s="24" t="s">
        <v>263</v>
      </c>
      <c r="C1224" s="24" t="s">
        <v>20</v>
      </c>
      <c r="D1224" s="164"/>
      <c r="E1224" s="46">
        <f t="shared" si="10"/>
        <v>0</v>
      </c>
      <c r="F1224" s="22" t="s">
        <v>1213</v>
      </c>
      <c r="G1224" s="175"/>
      <c r="H1224" s="405"/>
      <c r="I1224" s="185"/>
      <c r="J1224" s="67"/>
      <c r="K1224" s="194"/>
      <c r="L1224" s="67"/>
      <c r="M1224" s="67"/>
      <c r="N1224" s="67"/>
      <c r="O1224" s="73"/>
      <c r="P1224" s="237"/>
      <c r="Q1224" s="255"/>
      <c r="R1224" s="175"/>
      <c r="S1224" s="411"/>
      <c r="T1224" s="190"/>
      <c r="U1224" s="22"/>
      <c r="V1224" s="233"/>
      <c r="W1224" s="239"/>
      <c r="X1224" s="403"/>
      <c r="Y1224" s="258"/>
    </row>
    <row r="1225" spans="1:25" hidden="1" x14ac:dyDescent="0.3">
      <c r="A1225" s="47">
        <f>IF(B1225="","",SUBTOTAL(3,$B$3:B1225)-1)</f>
        <v>10</v>
      </c>
      <c r="B1225" s="24" t="s">
        <v>257</v>
      </c>
      <c r="C1225" s="244" t="s">
        <v>20</v>
      </c>
      <c r="D1225" s="244"/>
      <c r="E1225" s="46">
        <f t="shared" si="10"/>
        <v>0</v>
      </c>
      <c r="F1225" s="22" t="s">
        <v>1213</v>
      </c>
      <c r="G1225" s="175" t="s">
        <v>660</v>
      </c>
      <c r="H1225" s="405"/>
      <c r="I1225" s="185"/>
      <c r="J1225" s="67"/>
      <c r="K1225" s="194"/>
      <c r="L1225" s="67"/>
      <c r="M1225" s="67"/>
      <c r="N1225" s="67"/>
      <c r="O1225" s="73"/>
      <c r="P1225" s="237"/>
      <c r="Q1225" s="255"/>
      <c r="R1225" s="175" t="s">
        <v>1</v>
      </c>
      <c r="S1225" s="411"/>
      <c r="T1225" s="190"/>
      <c r="U1225" s="22"/>
      <c r="V1225" s="233"/>
      <c r="W1225" s="239"/>
      <c r="X1225" s="403"/>
      <c r="Y1225" s="258"/>
    </row>
    <row r="1226" spans="1:25" hidden="1" x14ac:dyDescent="0.3">
      <c r="A1226" s="47">
        <f>IF(B1226="","",SUBTOTAL(3,$B$3:B1226)-1)</f>
        <v>10</v>
      </c>
      <c r="B1226" s="265" t="s">
        <v>1308</v>
      </c>
      <c r="C1226" s="265" t="s">
        <v>20</v>
      </c>
      <c r="D1226" s="265">
        <v>867762113</v>
      </c>
      <c r="E1226" s="46" t="s">
        <v>1214</v>
      </c>
      <c r="F1226" s="301">
        <v>9</v>
      </c>
      <c r="G1226" s="175" t="s">
        <v>415</v>
      </c>
      <c r="H1226" s="405" t="s">
        <v>696</v>
      </c>
      <c r="I1226" s="185"/>
      <c r="J1226" s="71"/>
      <c r="K1226" s="194"/>
      <c r="L1226" s="67"/>
      <c r="M1226" s="67"/>
      <c r="N1226" s="67"/>
      <c r="O1226" s="73"/>
      <c r="P1226" s="237"/>
      <c r="Q1226" s="255"/>
      <c r="R1226" s="175" t="s">
        <v>661</v>
      </c>
      <c r="S1226" s="411" t="s">
        <v>661</v>
      </c>
      <c r="T1226" s="190"/>
      <c r="U1226" s="22"/>
      <c r="V1226" s="233"/>
      <c r="W1226" s="239"/>
      <c r="X1226" s="403"/>
      <c r="Y1226" s="320" t="s">
        <v>1327</v>
      </c>
    </row>
    <row r="1227" spans="1:25" x14ac:dyDescent="0.3">
      <c r="A1227" s="47">
        <f>IF(B1227="","",SUBTOTAL(3,$B$3:B1227)-1)</f>
        <v>11</v>
      </c>
      <c r="B1227" s="24" t="s">
        <v>358</v>
      </c>
      <c r="C1227" s="24" t="s">
        <v>1149</v>
      </c>
      <c r="D1227" s="24"/>
      <c r="E1227" s="46"/>
      <c r="F1227" s="142">
        <v>6</v>
      </c>
      <c r="G1227" s="175"/>
      <c r="H1227" s="405"/>
      <c r="I1227" s="185" t="s">
        <v>634</v>
      </c>
      <c r="J1227" s="67"/>
      <c r="K1227" s="194"/>
      <c r="L1227" s="67"/>
      <c r="M1227" s="67"/>
      <c r="N1227" s="67"/>
      <c r="O1227" s="73"/>
      <c r="P1227" s="237"/>
      <c r="Q1227" s="255"/>
      <c r="R1227" s="175"/>
      <c r="S1227" s="411"/>
      <c r="T1227" s="190" t="s">
        <v>0</v>
      </c>
      <c r="U1227" s="22"/>
      <c r="V1227" s="233"/>
      <c r="W1227" s="239"/>
      <c r="X1227" s="403"/>
      <c r="Y1227" s="258"/>
    </row>
    <row r="1228" spans="1:25" hidden="1" x14ac:dyDescent="0.3">
      <c r="A1228" s="47">
        <f>IF(B1228="","",SUBTOTAL(3,$B$3:B1228)-1)</f>
        <v>11</v>
      </c>
      <c r="B1228" s="24" t="s">
        <v>192</v>
      </c>
      <c r="C1228" s="24" t="s">
        <v>1149</v>
      </c>
      <c r="D1228" s="24"/>
      <c r="E1228" s="46"/>
      <c r="F1228" s="142">
        <v>6</v>
      </c>
      <c r="G1228" s="175" t="s">
        <v>660</v>
      </c>
      <c r="H1228" s="405"/>
      <c r="I1228" s="185"/>
      <c r="J1228" s="67"/>
      <c r="K1228" s="194"/>
      <c r="L1228" s="67"/>
      <c r="M1228" s="67"/>
      <c r="N1228" s="67"/>
      <c r="O1228" s="73"/>
      <c r="P1228" s="237"/>
      <c r="Q1228" s="255"/>
      <c r="R1228" s="175" t="s">
        <v>1</v>
      </c>
      <c r="S1228" s="411"/>
      <c r="T1228" s="190"/>
      <c r="U1228" s="22"/>
      <c r="V1228" s="233"/>
      <c r="W1228" s="239"/>
      <c r="X1228" s="403"/>
      <c r="Y1228" s="258"/>
    </row>
    <row r="1229" spans="1:25" hidden="1" x14ac:dyDescent="0.3">
      <c r="A1229" s="47">
        <f>IF(B1229="","",SUBTOTAL(3,$B$3:B1229)-1)</f>
        <v>11</v>
      </c>
      <c r="B1229" s="25" t="s">
        <v>550</v>
      </c>
      <c r="C1229" s="25" t="s">
        <v>551</v>
      </c>
      <c r="D1229" s="163">
        <v>764440113</v>
      </c>
      <c r="E1229" s="46">
        <f>($AA$2-O1229)*$AB$2+Q1229</f>
        <v>0</v>
      </c>
      <c r="F1229" s="22">
        <v>10</v>
      </c>
      <c r="G1229" s="175"/>
      <c r="H1229" s="405"/>
      <c r="I1229" s="185"/>
      <c r="J1229" s="71"/>
      <c r="K1229" s="194"/>
      <c r="L1229" s="180"/>
      <c r="M1229" s="180"/>
      <c r="N1229" s="180"/>
      <c r="O1229" s="181"/>
      <c r="P1229" s="237"/>
      <c r="Q1229" s="255"/>
      <c r="R1229" s="175"/>
      <c r="S1229" s="411"/>
      <c r="T1229" s="190"/>
      <c r="U1229" s="22"/>
      <c r="V1229" s="233"/>
      <c r="W1229" s="239"/>
      <c r="X1229" s="403"/>
      <c r="Y1229" s="258"/>
    </row>
    <row r="1230" spans="1:25" hidden="1" x14ac:dyDescent="0.3">
      <c r="A1230" s="47">
        <f>IF(B1230="","",SUBTOTAL(3,$B$3:B1230)-1)</f>
        <v>11</v>
      </c>
      <c r="B1230" s="143" t="s">
        <v>1079</v>
      </c>
      <c r="C1230" s="143" t="s">
        <v>551</v>
      </c>
      <c r="D1230" s="143"/>
      <c r="E1230" s="46"/>
      <c r="F1230" s="22" t="s">
        <v>1213</v>
      </c>
      <c r="G1230" s="175" t="s">
        <v>660</v>
      </c>
      <c r="H1230" s="406"/>
      <c r="I1230" s="188"/>
      <c r="J1230" s="142"/>
      <c r="K1230" s="196"/>
      <c r="L1230" s="67"/>
      <c r="M1230" s="67"/>
      <c r="N1230" s="67"/>
      <c r="O1230" s="73"/>
      <c r="P1230" s="237"/>
      <c r="Q1230" s="255"/>
      <c r="R1230" s="175" t="s">
        <v>1</v>
      </c>
      <c r="S1230" s="411"/>
      <c r="T1230" s="190"/>
      <c r="U1230" s="22"/>
      <c r="V1230" s="233"/>
      <c r="W1230" s="239"/>
      <c r="X1230" s="403"/>
      <c r="Y1230" s="258"/>
    </row>
    <row r="1231" spans="1:25" hidden="1" x14ac:dyDescent="0.3">
      <c r="A1231" s="47">
        <f>IF(B1231="","",SUBTOTAL(3,$B$3:B1231)-1)</f>
        <v>11</v>
      </c>
      <c r="B1231" s="24" t="s">
        <v>853</v>
      </c>
      <c r="C1231" s="244" t="s">
        <v>551</v>
      </c>
      <c r="D1231" s="26"/>
      <c r="E1231" s="46"/>
      <c r="F1231" s="22" t="s">
        <v>1213</v>
      </c>
      <c r="G1231" s="175" t="s">
        <v>660</v>
      </c>
      <c r="H1231" s="405"/>
      <c r="I1231" s="185"/>
      <c r="J1231" s="67"/>
      <c r="K1231" s="194"/>
      <c r="L1231" s="67"/>
      <c r="M1231" s="67"/>
      <c r="N1231" s="67"/>
      <c r="O1231" s="73"/>
      <c r="P1231" s="237"/>
      <c r="Q1231" s="255"/>
      <c r="R1231" s="175" t="s">
        <v>0</v>
      </c>
      <c r="S1231" s="411"/>
      <c r="T1231" s="190"/>
      <c r="U1231" s="22"/>
      <c r="V1231" s="233"/>
      <c r="W1231" s="239"/>
      <c r="X1231" s="403"/>
      <c r="Y1231" s="258"/>
    </row>
    <row r="1232" spans="1:25" hidden="1" x14ac:dyDescent="0.3">
      <c r="A1232" s="47">
        <f>IF(B1232="","",SUBTOTAL(3,$B$3:B1232)-1)</f>
        <v>11</v>
      </c>
      <c r="B1232" s="265" t="s">
        <v>1270</v>
      </c>
      <c r="C1232" s="265" t="s">
        <v>94</v>
      </c>
      <c r="D1232" s="300">
        <v>364922745</v>
      </c>
      <c r="E1232" s="46" t="s">
        <v>1214</v>
      </c>
      <c r="F1232" s="22">
        <v>6</v>
      </c>
      <c r="G1232" s="175" t="s">
        <v>1332</v>
      </c>
      <c r="H1232" s="405"/>
      <c r="I1232" s="185"/>
      <c r="J1232" s="71"/>
      <c r="K1232" s="194"/>
      <c r="L1232" s="67"/>
      <c r="M1232" s="67"/>
      <c r="N1232" s="67"/>
      <c r="O1232" s="73"/>
      <c r="P1232" s="237"/>
      <c r="Q1232" s="255"/>
      <c r="R1232" s="318" t="s">
        <v>1</v>
      </c>
      <c r="S1232" s="408" t="s">
        <v>1</v>
      </c>
      <c r="T1232" s="190"/>
      <c r="U1232" s="22"/>
      <c r="V1232" s="233"/>
      <c r="W1232" s="239"/>
      <c r="X1232" s="403"/>
      <c r="Y1232" s="258"/>
    </row>
    <row r="1233" spans="1:25" hidden="1" x14ac:dyDescent="0.3">
      <c r="A1233" s="47">
        <f>IF(B1233="","",SUBTOTAL(3,$B$3:B1233)-1)</f>
        <v>11</v>
      </c>
      <c r="B1233" s="26" t="s">
        <v>436</v>
      </c>
      <c r="C1233" s="26" t="s">
        <v>94</v>
      </c>
      <c r="D1233" s="26"/>
      <c r="E1233" s="46">
        <f>($AA$2-O1233)*$AB$2+Q1233</f>
        <v>0</v>
      </c>
      <c r="F1233" s="22">
        <v>8</v>
      </c>
      <c r="G1233" s="175" t="s">
        <v>415</v>
      </c>
      <c r="H1233" s="405" t="s">
        <v>635</v>
      </c>
      <c r="I1233" s="185" t="s">
        <v>634</v>
      </c>
      <c r="J1233" s="67"/>
      <c r="K1233" s="194"/>
      <c r="L1233" s="180"/>
      <c r="M1233" s="180"/>
      <c r="N1233" s="180"/>
      <c r="O1233" s="181"/>
      <c r="P1233" s="237" t="s">
        <v>0</v>
      </c>
      <c r="Q1233" s="255"/>
      <c r="R1233" s="175" t="s">
        <v>848</v>
      </c>
      <c r="S1233" s="411" t="s">
        <v>0</v>
      </c>
      <c r="T1233" s="190" t="s">
        <v>0</v>
      </c>
      <c r="U1233" s="22"/>
      <c r="V1233" s="233"/>
      <c r="W1233" s="239"/>
      <c r="X1233" s="403"/>
      <c r="Y1233" s="258"/>
    </row>
    <row r="1234" spans="1:25" hidden="1" x14ac:dyDescent="0.3">
      <c r="A1234" s="47">
        <f>IF(B1234="","",SUBTOTAL(3,$B$3:B1234)-1)</f>
        <v>11</v>
      </c>
      <c r="B1234" s="24" t="s">
        <v>488</v>
      </c>
      <c r="C1234" s="24" t="s">
        <v>94</v>
      </c>
      <c r="D1234" s="24">
        <v>766881380</v>
      </c>
      <c r="E1234" s="46">
        <f>($AA$2-O1234)*$AB$2+Q1234</f>
        <v>0</v>
      </c>
      <c r="F1234" s="22">
        <v>10</v>
      </c>
      <c r="G1234" s="175" t="s">
        <v>415</v>
      </c>
      <c r="H1234" s="405" t="s">
        <v>635</v>
      </c>
      <c r="I1234" s="185"/>
      <c r="J1234" s="71"/>
      <c r="K1234" s="194"/>
      <c r="L1234" s="180"/>
      <c r="M1234" s="180"/>
      <c r="N1234" s="180"/>
      <c r="O1234" s="181"/>
      <c r="P1234" s="237"/>
      <c r="Q1234" s="255"/>
      <c r="R1234" s="175" t="s">
        <v>1</v>
      </c>
      <c r="S1234" s="411" t="s">
        <v>848</v>
      </c>
      <c r="T1234" s="190"/>
      <c r="U1234" s="22"/>
      <c r="V1234" s="233"/>
      <c r="W1234" s="239"/>
      <c r="X1234" s="403"/>
      <c r="Y1234" s="258"/>
    </row>
    <row r="1235" spans="1:25" hidden="1" x14ac:dyDescent="0.3">
      <c r="A1235" s="47">
        <f>IF(B1235="","",SUBTOTAL(3,$B$3:B1235)-1)</f>
        <v>11</v>
      </c>
      <c r="B1235" s="24" t="s">
        <v>159</v>
      </c>
      <c r="C1235" s="24" t="s">
        <v>547</v>
      </c>
      <c r="D1235" s="163"/>
      <c r="E1235" s="46">
        <f>($AA$2-O1235)*$AB$2+Q1235</f>
        <v>0</v>
      </c>
      <c r="F1235" s="22">
        <v>9</v>
      </c>
      <c r="G1235" s="175"/>
      <c r="H1235" s="409"/>
      <c r="I1235" s="187"/>
      <c r="J1235" s="67"/>
      <c r="K1235" s="194"/>
      <c r="L1235" s="67"/>
      <c r="M1235" s="67"/>
      <c r="N1235" s="67"/>
      <c r="O1235" s="73"/>
      <c r="P1235" s="237"/>
      <c r="Q1235" s="255"/>
      <c r="R1235" s="175"/>
      <c r="S1235" s="411"/>
      <c r="T1235" s="190"/>
      <c r="U1235" s="22"/>
      <c r="V1235" s="233"/>
      <c r="W1235" s="239"/>
      <c r="X1235" s="403"/>
      <c r="Y1235" s="258"/>
    </row>
    <row r="1236" spans="1:25" hidden="1" x14ac:dyDescent="0.3">
      <c r="A1236" s="47">
        <f>IF(B1236="","",SUBTOTAL(3,$B$3:B1236)-1)</f>
        <v>11</v>
      </c>
      <c r="B1236" s="24" t="s">
        <v>900</v>
      </c>
      <c r="C1236" s="24" t="s">
        <v>79</v>
      </c>
      <c r="D1236" s="163"/>
      <c r="E1236" s="46"/>
      <c r="F1236" s="21">
        <v>2</v>
      </c>
      <c r="G1236" s="175"/>
      <c r="H1236" s="406" t="s">
        <v>634</v>
      </c>
      <c r="I1236" s="188" t="s">
        <v>634</v>
      </c>
      <c r="J1236" s="67"/>
      <c r="K1236" s="194"/>
      <c r="L1236" s="67"/>
      <c r="M1236" s="67"/>
      <c r="N1236" s="67"/>
      <c r="O1236" s="73"/>
      <c r="P1236" s="237"/>
      <c r="Q1236" s="255"/>
      <c r="R1236" s="175"/>
      <c r="S1236" s="411"/>
      <c r="T1236" s="190" t="s">
        <v>0</v>
      </c>
      <c r="U1236" s="22"/>
      <c r="V1236" s="233"/>
      <c r="W1236" s="239"/>
      <c r="X1236" s="403"/>
      <c r="Y1236" s="258"/>
    </row>
    <row r="1237" spans="1:25" hidden="1" x14ac:dyDescent="0.3">
      <c r="A1237" s="47">
        <f>IF(B1237="","",SUBTOTAL(3,$B$3:B1237)-1)</f>
        <v>11</v>
      </c>
      <c r="B1237" s="269" t="s">
        <v>1234</v>
      </c>
      <c r="C1237" s="269" t="s">
        <v>79</v>
      </c>
      <c r="D1237" s="269">
        <v>369633225</v>
      </c>
      <c r="E1237" s="46" t="s">
        <v>1214</v>
      </c>
      <c r="F1237" s="371">
        <v>3</v>
      </c>
      <c r="G1237" s="175"/>
      <c r="H1237" s="405" t="s">
        <v>634</v>
      </c>
      <c r="I1237" s="185"/>
      <c r="J1237" s="71"/>
      <c r="K1237" s="194"/>
      <c r="L1237" s="67"/>
      <c r="M1237" s="67"/>
      <c r="N1237" s="67"/>
      <c r="O1237" s="73"/>
      <c r="P1237" s="237"/>
      <c r="Q1237" s="255"/>
      <c r="R1237" s="175"/>
      <c r="S1237" s="411"/>
      <c r="T1237" s="190"/>
      <c r="U1237" s="22"/>
      <c r="V1237" s="233"/>
      <c r="W1237" s="239"/>
      <c r="X1237" s="403"/>
      <c r="Y1237" s="323">
        <v>3</v>
      </c>
    </row>
    <row r="1238" spans="1:25" hidden="1" x14ac:dyDescent="0.3">
      <c r="A1238" s="47">
        <f>IF(B1238="","",SUBTOTAL(3,$B$3:B1238)-1)</f>
        <v>11</v>
      </c>
      <c r="B1238" s="25" t="s">
        <v>811</v>
      </c>
      <c r="C1238" s="25" t="s">
        <v>79</v>
      </c>
      <c r="D1238" s="24"/>
      <c r="E1238" s="46"/>
      <c r="F1238" s="369">
        <v>3</v>
      </c>
      <c r="G1238" s="176" t="s">
        <v>826</v>
      </c>
      <c r="H1238" s="405"/>
      <c r="I1238" s="185"/>
      <c r="J1238" s="67"/>
      <c r="K1238" s="194"/>
      <c r="L1238" s="180"/>
      <c r="M1238" s="180"/>
      <c r="N1238" s="180"/>
      <c r="O1238" s="181"/>
      <c r="P1238" s="237"/>
      <c r="Q1238" s="255"/>
      <c r="R1238" s="175" t="s">
        <v>1</v>
      </c>
      <c r="S1238" s="411"/>
      <c r="T1238" s="190"/>
      <c r="U1238" s="22"/>
      <c r="V1238" s="233"/>
      <c r="W1238" s="239"/>
      <c r="X1238" s="403"/>
      <c r="Y1238" s="258"/>
    </row>
    <row r="1239" spans="1:25" hidden="1" x14ac:dyDescent="0.3">
      <c r="A1239" s="47">
        <f>IF(B1239="","",SUBTOTAL(3,$B$3:B1239)-1)</f>
        <v>11</v>
      </c>
      <c r="B1239" s="143" t="s">
        <v>267</v>
      </c>
      <c r="C1239" s="143" t="s">
        <v>79</v>
      </c>
      <c r="D1239" s="143">
        <v>352819874</v>
      </c>
      <c r="E1239" s="46"/>
      <c r="F1239" s="21">
        <v>5</v>
      </c>
      <c r="G1239" s="176" t="s">
        <v>660</v>
      </c>
      <c r="H1239" s="406"/>
      <c r="I1239" s="188"/>
      <c r="J1239" s="142"/>
      <c r="K1239" s="196" t="s">
        <v>721</v>
      </c>
      <c r="L1239" s="67"/>
      <c r="M1239" s="67"/>
      <c r="N1239" s="67"/>
      <c r="O1239" s="73"/>
      <c r="P1239" s="237" t="s">
        <v>1</v>
      </c>
      <c r="Q1239" s="255"/>
      <c r="R1239" s="175" t="s">
        <v>1</v>
      </c>
      <c r="S1239" s="411"/>
      <c r="T1239" s="190"/>
      <c r="U1239" s="22"/>
      <c r="V1239" s="233"/>
      <c r="W1239" s="239" t="s">
        <v>0</v>
      </c>
      <c r="X1239" s="403"/>
      <c r="Y1239" s="258"/>
    </row>
    <row r="1240" spans="1:25" hidden="1" x14ac:dyDescent="0.3">
      <c r="A1240" s="47">
        <f>IF(B1240="","",SUBTOTAL(3,$B$3:B1240)-1)</f>
        <v>11</v>
      </c>
      <c r="B1240" s="265" t="s">
        <v>1271</v>
      </c>
      <c r="C1240" s="265" t="s">
        <v>79</v>
      </c>
      <c r="D1240" s="300">
        <v>385170174</v>
      </c>
      <c r="E1240" s="46" t="s">
        <v>1214</v>
      </c>
      <c r="F1240" s="21">
        <v>6</v>
      </c>
      <c r="G1240" s="175" t="s">
        <v>415</v>
      </c>
      <c r="H1240" s="405"/>
      <c r="I1240" s="185"/>
      <c r="J1240" s="71"/>
      <c r="K1240" s="194"/>
      <c r="L1240" s="67"/>
      <c r="M1240" s="67"/>
      <c r="N1240" s="67"/>
      <c r="O1240" s="73"/>
      <c r="P1240" s="237"/>
      <c r="Q1240" s="255"/>
      <c r="R1240" s="175" t="s">
        <v>848</v>
      </c>
      <c r="S1240" s="408" t="s">
        <v>0</v>
      </c>
      <c r="T1240" s="190"/>
      <c r="U1240" s="22"/>
      <c r="V1240" s="233"/>
      <c r="W1240" s="239"/>
      <c r="X1240" s="403"/>
      <c r="Y1240" s="258"/>
    </row>
    <row r="1241" spans="1:25" hidden="1" x14ac:dyDescent="0.3">
      <c r="A1241" s="47">
        <f>IF(B1241="","",SUBTOTAL(3,$B$3:B1241)-1)</f>
        <v>11</v>
      </c>
      <c r="B1241" s="265" t="s">
        <v>1234</v>
      </c>
      <c r="C1241" s="265" t="s">
        <v>79</v>
      </c>
      <c r="D1241" s="300">
        <v>961419760</v>
      </c>
      <c r="E1241" s="46" t="s">
        <v>1214</v>
      </c>
      <c r="F1241" s="21">
        <v>6</v>
      </c>
      <c r="G1241" s="175" t="s">
        <v>1332</v>
      </c>
      <c r="H1241" s="405"/>
      <c r="I1241" s="185"/>
      <c r="J1241" s="71"/>
      <c r="K1241" s="194"/>
      <c r="L1241" s="67"/>
      <c r="M1241" s="67"/>
      <c r="N1241" s="67"/>
      <c r="O1241" s="73"/>
      <c r="P1241" s="237"/>
      <c r="Q1241" s="255"/>
      <c r="R1241" s="318" t="s">
        <v>1</v>
      </c>
      <c r="S1241" s="408">
        <v>6</v>
      </c>
      <c r="T1241" s="190"/>
      <c r="U1241" s="22"/>
      <c r="V1241" s="233"/>
      <c r="W1241" s="239"/>
      <c r="X1241" s="403"/>
      <c r="Y1241" s="258"/>
    </row>
    <row r="1242" spans="1:25" hidden="1" x14ac:dyDescent="0.3">
      <c r="A1242" s="47">
        <f>IF(B1242="","",SUBTOTAL(3,$B$3:B1242)-1)</f>
        <v>11</v>
      </c>
      <c r="B1242" s="39" t="s">
        <v>1393</v>
      </c>
      <c r="C1242" s="24" t="s">
        <v>79</v>
      </c>
      <c r="D1242" s="163"/>
      <c r="E1242" s="46"/>
      <c r="F1242" s="142">
        <v>7</v>
      </c>
      <c r="G1242" s="176"/>
      <c r="H1242" s="406"/>
      <c r="I1242" s="185"/>
      <c r="J1242" s="67"/>
      <c r="K1242" s="194"/>
      <c r="L1242" s="180"/>
      <c r="M1242" s="180"/>
      <c r="N1242" s="180"/>
      <c r="O1242" s="181"/>
      <c r="P1242" s="237"/>
      <c r="Q1242" s="255"/>
      <c r="R1242" s="175" t="s">
        <v>661</v>
      </c>
      <c r="S1242" s="411"/>
      <c r="T1242" s="190"/>
      <c r="U1242" s="22"/>
      <c r="V1242" s="233"/>
      <c r="W1242" s="239"/>
      <c r="X1242" s="403"/>
      <c r="Y1242" s="258"/>
    </row>
    <row r="1243" spans="1:25" hidden="1" x14ac:dyDescent="0.3">
      <c r="A1243" s="47">
        <f>IF(B1243="","",SUBTOTAL(3,$B$3:B1243)-1)</f>
        <v>11</v>
      </c>
      <c r="B1243" s="26" t="s">
        <v>1116</v>
      </c>
      <c r="C1243" s="26" t="s">
        <v>79</v>
      </c>
      <c r="D1243" s="164"/>
      <c r="E1243" s="46"/>
      <c r="F1243" s="22">
        <v>8</v>
      </c>
      <c r="G1243" s="175" t="s">
        <v>415</v>
      </c>
      <c r="H1243" s="405" t="s">
        <v>635</v>
      </c>
      <c r="I1243" s="185"/>
      <c r="J1243" s="67"/>
      <c r="K1243" s="194"/>
      <c r="L1243" s="67"/>
      <c r="M1243" s="67"/>
      <c r="N1243" s="67"/>
      <c r="O1243" s="73"/>
      <c r="P1243" s="237"/>
      <c r="Q1243" s="255"/>
      <c r="R1243" s="175" t="s">
        <v>1</v>
      </c>
      <c r="S1243" s="411" t="s">
        <v>1</v>
      </c>
      <c r="T1243" s="190"/>
      <c r="U1243" s="22"/>
      <c r="V1243" s="233"/>
      <c r="W1243" s="239"/>
      <c r="X1243" s="403"/>
      <c r="Y1243" s="258"/>
    </row>
    <row r="1244" spans="1:25" hidden="1" x14ac:dyDescent="0.3">
      <c r="A1244" s="47">
        <f>IF(B1244="","",SUBTOTAL(3,$B$3:B1244)-1)</f>
        <v>11</v>
      </c>
      <c r="B1244" s="24" t="s">
        <v>1085</v>
      </c>
      <c r="C1244" s="244" t="s">
        <v>79</v>
      </c>
      <c r="D1244" s="26"/>
      <c r="E1244" s="46"/>
      <c r="F1244" s="22">
        <v>8</v>
      </c>
      <c r="G1244" s="175" t="s">
        <v>415</v>
      </c>
      <c r="H1244" s="405"/>
      <c r="I1244" s="185"/>
      <c r="J1244" s="67"/>
      <c r="K1244" s="194"/>
      <c r="L1244" s="67"/>
      <c r="M1244" s="67"/>
      <c r="N1244" s="67"/>
      <c r="O1244" s="73"/>
      <c r="P1244" s="237"/>
      <c r="Q1244" s="255"/>
      <c r="R1244" s="175" t="s">
        <v>1</v>
      </c>
      <c r="S1244" s="411"/>
      <c r="T1244" s="190"/>
      <c r="U1244" s="22"/>
      <c r="V1244" s="233"/>
      <c r="W1244" s="239"/>
      <c r="X1244" s="403"/>
      <c r="Y1244" s="258"/>
    </row>
    <row r="1245" spans="1:25" hidden="1" x14ac:dyDescent="0.3">
      <c r="A1245" s="47">
        <f>IF(B1245="","",SUBTOTAL(3,$B$3:B1245)-1)</f>
        <v>11</v>
      </c>
      <c r="B1245" s="143" t="s">
        <v>291</v>
      </c>
      <c r="C1245" s="143" t="s">
        <v>79</v>
      </c>
      <c r="D1245" s="143"/>
      <c r="E1245" s="46"/>
      <c r="F1245" s="22">
        <v>8</v>
      </c>
      <c r="G1245" s="175"/>
      <c r="H1245" s="405"/>
      <c r="I1245" s="188"/>
      <c r="J1245" s="142"/>
      <c r="K1245" s="196"/>
      <c r="L1245" s="67"/>
      <c r="M1245" s="67"/>
      <c r="N1245" s="67"/>
      <c r="O1245" s="73"/>
      <c r="P1245" s="237"/>
      <c r="Q1245" s="255"/>
      <c r="R1245" s="175"/>
      <c r="S1245" s="411"/>
      <c r="T1245" s="190"/>
      <c r="U1245" s="22"/>
      <c r="V1245" s="233"/>
      <c r="W1245" s="239"/>
      <c r="X1245" s="403"/>
      <c r="Y1245" s="258"/>
    </row>
    <row r="1246" spans="1:25" hidden="1" x14ac:dyDescent="0.3">
      <c r="A1246" s="47">
        <f>IF(B1246="","",SUBTOTAL(3,$B$3:B1246)-1)</f>
        <v>11</v>
      </c>
      <c r="B1246" s="64" t="s">
        <v>1129</v>
      </c>
      <c r="C1246" s="25" t="s">
        <v>79</v>
      </c>
      <c r="D1246" s="24"/>
      <c r="E1246" s="46"/>
      <c r="F1246" s="22">
        <v>10</v>
      </c>
      <c r="G1246" s="175" t="s">
        <v>415</v>
      </c>
      <c r="H1246" s="405"/>
      <c r="I1246" s="185"/>
      <c r="J1246" s="71"/>
      <c r="K1246" s="194"/>
      <c r="L1246" s="180"/>
      <c r="M1246" s="180"/>
      <c r="N1246" s="180"/>
      <c r="O1246" s="181"/>
      <c r="P1246" s="237"/>
      <c r="Q1246" s="255"/>
      <c r="R1246" s="175"/>
      <c r="S1246" s="414"/>
      <c r="T1246" s="190"/>
      <c r="U1246" s="22"/>
      <c r="V1246" s="233"/>
      <c r="W1246" s="239"/>
      <c r="X1246" s="403"/>
      <c r="Y1246" s="258"/>
    </row>
    <row r="1247" spans="1:25" hidden="1" x14ac:dyDescent="0.3">
      <c r="A1247" s="47">
        <f>IF(B1247="","",SUBTOTAL(3,$B$3:B1247)-1)</f>
        <v>11</v>
      </c>
      <c r="B1247" s="143" t="s">
        <v>811</v>
      </c>
      <c r="C1247" s="143" t="s">
        <v>79</v>
      </c>
      <c r="D1247" s="143">
        <v>862627913</v>
      </c>
      <c r="E1247" s="46"/>
      <c r="F1247" s="22">
        <v>10</v>
      </c>
      <c r="G1247" s="176" t="s">
        <v>415</v>
      </c>
      <c r="H1247" s="405" t="s">
        <v>635</v>
      </c>
      <c r="I1247" s="188"/>
      <c r="J1247" s="142"/>
      <c r="K1247" s="196" t="s">
        <v>721</v>
      </c>
      <c r="L1247" s="67"/>
      <c r="M1247" s="67"/>
      <c r="N1247" s="67"/>
      <c r="O1247" s="73"/>
      <c r="P1247" s="237"/>
      <c r="Q1247" s="255"/>
      <c r="R1247" s="175" t="s">
        <v>1</v>
      </c>
      <c r="S1247" s="411" t="s">
        <v>848</v>
      </c>
      <c r="T1247" s="190"/>
      <c r="U1247" s="22"/>
      <c r="V1247" s="233"/>
      <c r="W1247" s="239"/>
      <c r="X1247" s="403"/>
      <c r="Y1247" s="258"/>
    </row>
    <row r="1248" spans="1:25" hidden="1" x14ac:dyDescent="0.3">
      <c r="A1248" s="47">
        <f>IF(B1248="","",SUBTOTAL(3,$B$3:B1248)-1)</f>
        <v>11</v>
      </c>
      <c r="B1248" s="143" t="s">
        <v>267</v>
      </c>
      <c r="C1248" s="143" t="s">
        <v>79</v>
      </c>
      <c r="D1248" s="143"/>
      <c r="E1248" s="46"/>
      <c r="F1248" s="22">
        <v>10</v>
      </c>
      <c r="G1248" s="176" t="s">
        <v>415</v>
      </c>
      <c r="H1248" s="405" t="s">
        <v>660</v>
      </c>
      <c r="I1248" s="188" t="s">
        <v>634</v>
      </c>
      <c r="J1248" s="142"/>
      <c r="K1248" s="196"/>
      <c r="L1248" s="67"/>
      <c r="M1248" s="67"/>
      <c r="N1248" s="67"/>
      <c r="O1248" s="73"/>
      <c r="P1248" s="237"/>
      <c r="Q1248" s="255"/>
      <c r="R1248" s="175" t="s">
        <v>0</v>
      </c>
      <c r="S1248" s="411" t="s">
        <v>2</v>
      </c>
      <c r="T1248" s="190"/>
      <c r="U1248" s="22"/>
      <c r="V1248" s="233"/>
      <c r="W1248" s="239"/>
      <c r="X1248" s="403"/>
      <c r="Y1248" s="258"/>
    </row>
    <row r="1249" spans="1:25" hidden="1" x14ac:dyDescent="0.3">
      <c r="A1249" s="47">
        <f>IF(B1249="","",SUBTOTAL(3,$B$3:B1249)-1)</f>
        <v>11</v>
      </c>
      <c r="B1249" s="24" t="s">
        <v>235</v>
      </c>
      <c r="C1249" s="24" t="s">
        <v>79</v>
      </c>
      <c r="D1249" s="24"/>
      <c r="E1249" s="46">
        <f t="shared" ref="E1249:E1257" si="11">($AA$2-O1249)*$AB$2+Q1249</f>
        <v>0</v>
      </c>
      <c r="F1249" s="22">
        <v>10</v>
      </c>
      <c r="G1249" s="176" t="s">
        <v>415</v>
      </c>
      <c r="H1249" s="405"/>
      <c r="I1249" s="185"/>
      <c r="J1249" s="71"/>
      <c r="K1249" s="194"/>
      <c r="L1249" s="180"/>
      <c r="M1249" s="180"/>
      <c r="N1249" s="180"/>
      <c r="O1249" s="181"/>
      <c r="P1249" s="237"/>
      <c r="Q1249" s="255"/>
      <c r="R1249" s="175" t="s">
        <v>1</v>
      </c>
      <c r="S1249" s="411"/>
      <c r="T1249" s="190"/>
      <c r="U1249" s="22"/>
      <c r="V1249" s="233"/>
      <c r="W1249" s="239"/>
      <c r="X1249" s="403"/>
      <c r="Y1249" s="258"/>
    </row>
    <row r="1250" spans="1:25" hidden="1" x14ac:dyDescent="0.3">
      <c r="A1250" s="47">
        <f>IF(B1250="","",SUBTOTAL(3,$B$3:B1250)-1)</f>
        <v>11</v>
      </c>
      <c r="B1250" s="24" t="s">
        <v>291</v>
      </c>
      <c r="C1250" s="63" t="s">
        <v>79</v>
      </c>
      <c r="D1250" s="24"/>
      <c r="E1250" s="46">
        <f t="shared" si="11"/>
        <v>0</v>
      </c>
      <c r="F1250" s="22">
        <v>10</v>
      </c>
      <c r="G1250" s="175" t="s">
        <v>415</v>
      </c>
      <c r="H1250" s="405" t="s">
        <v>635</v>
      </c>
      <c r="I1250" s="185" t="s">
        <v>661</v>
      </c>
      <c r="J1250" s="71"/>
      <c r="K1250" s="194"/>
      <c r="L1250" s="180"/>
      <c r="M1250" s="180"/>
      <c r="N1250" s="180"/>
      <c r="O1250" s="181"/>
      <c r="P1250" s="237"/>
      <c r="Q1250" s="255"/>
      <c r="R1250" s="175" t="s">
        <v>0</v>
      </c>
      <c r="S1250" s="411" t="s">
        <v>0</v>
      </c>
      <c r="T1250" s="190" t="s">
        <v>0</v>
      </c>
      <c r="U1250" s="22"/>
      <c r="V1250" s="233"/>
      <c r="W1250" s="239"/>
      <c r="X1250" s="403"/>
      <c r="Y1250" s="258"/>
    </row>
    <row r="1251" spans="1:25" hidden="1" x14ac:dyDescent="0.3">
      <c r="A1251" s="47">
        <f>IF(B1251="","",SUBTOTAL(3,$B$3:B1251)-1)</f>
        <v>11</v>
      </c>
      <c r="B1251" s="25" t="s">
        <v>318</v>
      </c>
      <c r="C1251" s="25" t="s">
        <v>79</v>
      </c>
      <c r="D1251" s="163"/>
      <c r="E1251" s="46">
        <f t="shared" si="11"/>
        <v>0</v>
      </c>
      <c r="F1251" s="22">
        <v>11</v>
      </c>
      <c r="G1251" s="175"/>
      <c r="H1251" s="405" t="s">
        <v>696</v>
      </c>
      <c r="I1251" s="185" t="s">
        <v>661</v>
      </c>
      <c r="J1251" s="67"/>
      <c r="K1251" s="194"/>
      <c r="L1251" s="180"/>
      <c r="M1251" s="180"/>
      <c r="N1251" s="180"/>
      <c r="O1251" s="181"/>
      <c r="P1251" s="237"/>
      <c r="Q1251" s="255"/>
      <c r="R1251" s="175"/>
      <c r="S1251" s="411" t="s">
        <v>661</v>
      </c>
      <c r="T1251" s="190">
        <v>1</v>
      </c>
      <c r="U1251" s="22"/>
      <c r="V1251" s="233"/>
      <c r="W1251" s="239"/>
      <c r="X1251" s="403"/>
      <c r="Y1251" s="258"/>
    </row>
    <row r="1252" spans="1:25" hidden="1" x14ac:dyDescent="0.3">
      <c r="A1252" s="47">
        <f>IF(B1252="","",SUBTOTAL(3,$B$3:B1252)-1)</f>
        <v>11</v>
      </c>
      <c r="B1252" s="24" t="s">
        <v>252</v>
      </c>
      <c r="C1252" s="24" t="s">
        <v>79</v>
      </c>
      <c r="D1252" s="24"/>
      <c r="E1252" s="46">
        <f t="shared" si="11"/>
        <v>0</v>
      </c>
      <c r="F1252" s="22">
        <v>11</v>
      </c>
      <c r="G1252" s="175"/>
      <c r="H1252" s="405"/>
      <c r="I1252" s="185"/>
      <c r="J1252" s="67"/>
      <c r="K1252" s="194"/>
      <c r="L1252" s="67"/>
      <c r="M1252" s="67"/>
      <c r="N1252" s="67"/>
      <c r="O1252" s="73"/>
      <c r="P1252" s="237"/>
      <c r="Q1252" s="255"/>
      <c r="R1252" s="175"/>
      <c r="S1252" s="411"/>
      <c r="T1252" s="190"/>
      <c r="U1252" s="22"/>
      <c r="V1252" s="233"/>
      <c r="W1252" s="239"/>
      <c r="X1252" s="403"/>
      <c r="Y1252" s="258"/>
    </row>
    <row r="1253" spans="1:25" hidden="1" x14ac:dyDescent="0.3">
      <c r="A1253" s="47">
        <f>IF(B1253="","",SUBTOTAL(3,$B$3:B1253)-1)</f>
        <v>11</v>
      </c>
      <c r="B1253" s="24" t="s">
        <v>267</v>
      </c>
      <c r="C1253" s="24" t="s">
        <v>79</v>
      </c>
      <c r="D1253" s="163"/>
      <c r="E1253" s="46">
        <f t="shared" si="11"/>
        <v>0</v>
      </c>
      <c r="F1253" s="22">
        <v>12</v>
      </c>
      <c r="G1253" s="175" t="s">
        <v>660</v>
      </c>
      <c r="H1253" s="405"/>
      <c r="I1253" s="185"/>
      <c r="J1253" s="67"/>
      <c r="K1253" s="194"/>
      <c r="L1253" s="67"/>
      <c r="M1253" s="67"/>
      <c r="N1253" s="67"/>
      <c r="O1253" s="73"/>
      <c r="P1253" s="237"/>
      <c r="Q1253" s="255"/>
      <c r="R1253" s="175" t="s">
        <v>1</v>
      </c>
      <c r="S1253" s="411"/>
      <c r="T1253" s="190"/>
      <c r="U1253" s="22"/>
      <c r="V1253" s="233"/>
      <c r="W1253" s="239"/>
      <c r="X1253" s="403"/>
      <c r="Y1253" s="258"/>
    </row>
    <row r="1254" spans="1:25" hidden="1" x14ac:dyDescent="0.3">
      <c r="A1254" s="47">
        <f>IF(B1254="","",SUBTOTAL(3,$B$3:B1254)-1)</f>
        <v>11</v>
      </c>
      <c r="B1254" s="24" t="s">
        <v>267</v>
      </c>
      <c r="C1254" s="242" t="s">
        <v>79</v>
      </c>
      <c r="D1254" s="163"/>
      <c r="E1254" s="46">
        <f t="shared" si="11"/>
        <v>0</v>
      </c>
      <c r="F1254" s="22" t="s">
        <v>1213</v>
      </c>
      <c r="G1254" s="175" t="s">
        <v>660</v>
      </c>
      <c r="H1254" s="405"/>
      <c r="I1254" s="185"/>
      <c r="J1254" s="67"/>
      <c r="K1254" s="194"/>
      <c r="L1254" s="67"/>
      <c r="M1254" s="67"/>
      <c r="N1254" s="67"/>
      <c r="O1254" s="73"/>
      <c r="P1254" s="237"/>
      <c r="Q1254" s="255"/>
      <c r="R1254" s="175" t="s">
        <v>1</v>
      </c>
      <c r="S1254" s="411"/>
      <c r="T1254" s="190"/>
      <c r="U1254" s="22"/>
      <c r="V1254" s="233"/>
      <c r="W1254" s="239"/>
      <c r="X1254" s="403"/>
      <c r="Y1254" s="258"/>
    </row>
    <row r="1255" spans="1:25" hidden="1" x14ac:dyDescent="0.3">
      <c r="A1255" s="47">
        <f>IF(B1255="","",SUBTOTAL(3,$B$3:B1255)-1)</f>
        <v>11</v>
      </c>
      <c r="B1255" s="24" t="s">
        <v>496</v>
      </c>
      <c r="C1255" s="24" t="s">
        <v>79</v>
      </c>
      <c r="D1255" s="163"/>
      <c r="E1255" s="46">
        <f t="shared" si="11"/>
        <v>0</v>
      </c>
      <c r="F1255" s="22">
        <v>9</v>
      </c>
      <c r="G1255" s="175" t="s">
        <v>415</v>
      </c>
      <c r="H1255" s="409"/>
      <c r="I1255" s="187" t="s">
        <v>634</v>
      </c>
      <c r="J1255" s="67"/>
      <c r="K1255" s="194"/>
      <c r="L1255" s="180"/>
      <c r="M1255" s="180"/>
      <c r="N1255" s="180"/>
      <c r="O1255" s="181"/>
      <c r="P1255" s="237"/>
      <c r="Q1255" s="255"/>
      <c r="R1255" s="175" t="s">
        <v>1</v>
      </c>
      <c r="S1255" s="411"/>
      <c r="T1255" s="190" t="s">
        <v>0</v>
      </c>
      <c r="U1255" s="22"/>
      <c r="V1255" s="233"/>
      <c r="W1255" s="239"/>
      <c r="X1255" s="403"/>
      <c r="Y1255" s="258"/>
    </row>
    <row r="1256" spans="1:25" hidden="1" x14ac:dyDescent="0.3">
      <c r="A1256" s="47">
        <f>IF(B1256="","",SUBTOTAL(3,$B$3:B1256)-1)</f>
        <v>11</v>
      </c>
      <c r="B1256" s="24" t="s">
        <v>267</v>
      </c>
      <c r="C1256" s="24" t="s">
        <v>79</v>
      </c>
      <c r="D1256" s="163"/>
      <c r="E1256" s="46">
        <f t="shared" si="11"/>
        <v>0</v>
      </c>
      <c r="F1256" s="22">
        <v>9</v>
      </c>
      <c r="G1256" s="175" t="s">
        <v>415</v>
      </c>
      <c r="H1256" s="409" t="s">
        <v>660</v>
      </c>
      <c r="I1256" s="187"/>
      <c r="J1256" s="67"/>
      <c r="K1256" s="194"/>
      <c r="L1256" s="180"/>
      <c r="M1256" s="180"/>
      <c r="N1256" s="180"/>
      <c r="O1256" s="181"/>
      <c r="P1256" s="237"/>
      <c r="Q1256" s="255"/>
      <c r="R1256" s="175" t="s">
        <v>1</v>
      </c>
      <c r="S1256" s="411" t="s">
        <v>0</v>
      </c>
      <c r="T1256" s="190"/>
      <c r="U1256" s="22"/>
      <c r="V1256" s="233"/>
      <c r="W1256" s="239"/>
      <c r="X1256" s="403"/>
      <c r="Y1256" s="258"/>
    </row>
    <row r="1257" spans="1:25" hidden="1" x14ac:dyDescent="0.3">
      <c r="A1257" s="47">
        <f>IF(B1257="","",SUBTOTAL(3,$B$3:B1257)-1)</f>
        <v>11</v>
      </c>
      <c r="B1257" s="25" t="s">
        <v>207</v>
      </c>
      <c r="C1257" s="25" t="s">
        <v>79</v>
      </c>
      <c r="D1257" s="163">
        <v>378031125</v>
      </c>
      <c r="E1257" s="46">
        <f t="shared" si="11"/>
        <v>0</v>
      </c>
      <c r="F1257" s="22">
        <v>9</v>
      </c>
      <c r="G1257" s="175" t="s">
        <v>415</v>
      </c>
      <c r="H1257" s="409"/>
      <c r="I1257" s="187"/>
      <c r="J1257" s="67"/>
      <c r="K1257" s="194"/>
      <c r="L1257" s="180"/>
      <c r="M1257" s="180"/>
      <c r="N1257" s="180"/>
      <c r="O1257" s="181"/>
      <c r="P1257" s="237"/>
      <c r="Q1257" s="255"/>
      <c r="R1257" s="175" t="s">
        <v>1</v>
      </c>
      <c r="S1257" s="411"/>
      <c r="T1257" s="190"/>
      <c r="U1257" s="22"/>
      <c r="V1257" s="233"/>
      <c r="W1257" s="239"/>
      <c r="X1257" s="403"/>
      <c r="Y1257" s="258"/>
    </row>
    <row r="1258" spans="1:25" hidden="1" x14ac:dyDescent="0.3">
      <c r="A1258" s="47">
        <f>IF(B1258="","",SUBTOTAL(3,$B$3:B1258)-1)</f>
        <v>11</v>
      </c>
      <c r="B1258" s="24" t="s">
        <v>267</v>
      </c>
      <c r="C1258" s="24" t="s">
        <v>1074</v>
      </c>
      <c r="D1258" s="163"/>
      <c r="E1258" s="46"/>
      <c r="F1258" s="22">
        <v>9</v>
      </c>
      <c r="G1258" s="175"/>
      <c r="H1258" s="409"/>
      <c r="I1258" s="187"/>
      <c r="J1258" s="67"/>
      <c r="K1258" s="194"/>
      <c r="L1258" s="180"/>
      <c r="M1258" s="180"/>
      <c r="N1258" s="180"/>
      <c r="O1258" s="181"/>
      <c r="P1258" s="237"/>
      <c r="Q1258" s="255"/>
      <c r="R1258" s="175"/>
      <c r="S1258" s="411"/>
      <c r="T1258" s="190"/>
      <c r="U1258" s="22"/>
      <c r="V1258" s="233"/>
      <c r="W1258" s="239"/>
      <c r="X1258" s="403"/>
      <c r="Y1258" s="258"/>
    </row>
    <row r="1259" spans="1:25" hidden="1" x14ac:dyDescent="0.3">
      <c r="A1259" s="47">
        <f>IF(B1259="","",SUBTOTAL(3,$B$3:B1259)-1)</f>
        <v>11</v>
      </c>
      <c r="B1259" s="265" t="s">
        <v>1221</v>
      </c>
      <c r="C1259" s="265" t="s">
        <v>42</v>
      </c>
      <c r="D1259" s="265">
        <v>974054349</v>
      </c>
      <c r="E1259" s="46" t="s">
        <v>1214</v>
      </c>
      <c r="F1259" s="300">
        <v>5</v>
      </c>
      <c r="G1259" s="175" t="s">
        <v>660</v>
      </c>
      <c r="H1259" s="405"/>
      <c r="I1259" s="185"/>
      <c r="J1259" s="71"/>
      <c r="K1259" s="194"/>
      <c r="L1259" s="67"/>
      <c r="M1259" s="67"/>
      <c r="N1259" s="67"/>
      <c r="O1259" s="73"/>
      <c r="P1259" s="237"/>
      <c r="Q1259" s="255"/>
      <c r="R1259" s="175" t="s">
        <v>1</v>
      </c>
      <c r="S1259" s="411"/>
      <c r="T1259" s="190"/>
      <c r="U1259" s="22"/>
      <c r="V1259" s="233"/>
      <c r="W1259" s="239"/>
      <c r="X1259" s="403"/>
      <c r="Y1259" s="320" t="s">
        <v>1162</v>
      </c>
    </row>
    <row r="1260" spans="1:25" hidden="1" x14ac:dyDescent="0.3">
      <c r="A1260" s="47">
        <f>IF(B1260="","",SUBTOTAL(3,$B$3:B1260)-1)</f>
        <v>11</v>
      </c>
      <c r="B1260" s="143" t="s">
        <v>1144</v>
      </c>
      <c r="C1260" s="143" t="s">
        <v>42</v>
      </c>
      <c r="D1260" s="143"/>
      <c r="E1260" s="46"/>
      <c r="F1260" s="22">
        <v>5</v>
      </c>
      <c r="G1260" s="176" t="s">
        <v>660</v>
      </c>
      <c r="H1260" s="406"/>
      <c r="I1260" s="188"/>
      <c r="J1260" s="142"/>
      <c r="K1260" s="196"/>
      <c r="L1260" s="67"/>
      <c r="M1260" s="67"/>
      <c r="N1260" s="67"/>
      <c r="O1260" s="73"/>
      <c r="P1260" s="237"/>
      <c r="Q1260" s="255"/>
      <c r="R1260" s="175" t="s">
        <v>0</v>
      </c>
      <c r="S1260" s="411"/>
      <c r="T1260" s="190"/>
      <c r="U1260" s="22"/>
      <c r="V1260" s="233"/>
      <c r="W1260" s="239"/>
      <c r="X1260" s="403"/>
      <c r="Y1260" s="258"/>
    </row>
    <row r="1261" spans="1:25" hidden="1" x14ac:dyDescent="0.3">
      <c r="A1261" s="47">
        <f>IF(B1261="","",SUBTOTAL(3,$B$3:B1261)-1)</f>
        <v>11</v>
      </c>
      <c r="B1261" s="26" t="s">
        <v>591</v>
      </c>
      <c r="C1261" s="26" t="s">
        <v>42</v>
      </c>
      <c r="D1261" s="26"/>
      <c r="E1261" s="46">
        <f>($AA$2-O1261)*$AB$2+Q1261</f>
        <v>0</v>
      </c>
      <c r="F1261" s="22">
        <v>8</v>
      </c>
      <c r="G1261" s="175" t="s">
        <v>415</v>
      </c>
      <c r="H1261" s="405" t="s">
        <v>635</v>
      </c>
      <c r="I1261" s="185"/>
      <c r="J1261" s="67"/>
      <c r="K1261" s="194"/>
      <c r="L1261" s="180"/>
      <c r="M1261" s="180"/>
      <c r="N1261" s="180"/>
      <c r="O1261" s="181"/>
      <c r="P1261" s="237"/>
      <c r="Q1261" s="255"/>
      <c r="R1261" s="175" t="s">
        <v>1</v>
      </c>
      <c r="S1261" s="411" t="s">
        <v>1</v>
      </c>
      <c r="T1261" s="190"/>
      <c r="U1261" s="22"/>
      <c r="V1261" s="233"/>
      <c r="W1261" s="239"/>
      <c r="X1261" s="403"/>
      <c r="Y1261" s="258"/>
    </row>
    <row r="1262" spans="1:25" hidden="1" x14ac:dyDescent="0.3">
      <c r="A1262" s="47">
        <f>IF(B1262="","",SUBTOTAL(3,$B$3:B1262)-1)</f>
        <v>11</v>
      </c>
      <c r="B1262" s="26" t="s">
        <v>583</v>
      </c>
      <c r="C1262" s="26" t="s">
        <v>42</v>
      </c>
      <c r="D1262" s="26"/>
      <c r="E1262" s="46">
        <f>($AA$2-O1262)*$AB$2+Q1262</f>
        <v>0</v>
      </c>
      <c r="F1262" s="22">
        <v>8</v>
      </c>
      <c r="G1262" s="175" t="s">
        <v>415</v>
      </c>
      <c r="H1262" s="405"/>
      <c r="I1262" s="185"/>
      <c r="J1262" s="67"/>
      <c r="K1262" s="194"/>
      <c r="L1262" s="180"/>
      <c r="M1262" s="180"/>
      <c r="N1262" s="180"/>
      <c r="O1262" s="181"/>
      <c r="P1262" s="237"/>
      <c r="Q1262" s="255"/>
      <c r="R1262" s="175" t="s">
        <v>0</v>
      </c>
      <c r="S1262" s="411"/>
      <c r="T1262" s="190"/>
      <c r="U1262" s="22"/>
      <c r="V1262" s="233"/>
      <c r="W1262" s="239"/>
      <c r="X1262" s="403"/>
      <c r="Y1262" s="258"/>
    </row>
    <row r="1263" spans="1:25" hidden="1" x14ac:dyDescent="0.3">
      <c r="A1263" s="47">
        <f>IF(B1263="","",SUBTOTAL(3,$B$3:B1263)-1)</f>
        <v>11</v>
      </c>
      <c r="B1263" s="24" t="s">
        <v>953</v>
      </c>
      <c r="C1263" s="24" t="s">
        <v>42</v>
      </c>
      <c r="D1263" s="24"/>
      <c r="E1263" s="46">
        <f>($AA$2-O1263)*$AB$2+Q1263</f>
        <v>0</v>
      </c>
      <c r="F1263" s="22">
        <v>8</v>
      </c>
      <c r="G1263" s="175"/>
      <c r="H1263" s="405" t="s">
        <v>635</v>
      </c>
      <c r="I1263" s="185"/>
      <c r="J1263" s="67"/>
      <c r="K1263" s="194"/>
      <c r="L1263" s="180"/>
      <c r="M1263" s="180"/>
      <c r="N1263" s="180"/>
      <c r="O1263" s="181"/>
      <c r="P1263" s="237"/>
      <c r="Q1263" s="255"/>
      <c r="R1263" s="175"/>
      <c r="S1263" s="411" t="s">
        <v>2</v>
      </c>
      <c r="T1263" s="190"/>
      <c r="U1263" s="22"/>
      <c r="V1263" s="233"/>
      <c r="W1263" s="239"/>
      <c r="X1263" s="403"/>
      <c r="Y1263" s="258"/>
    </row>
    <row r="1264" spans="1:25" hidden="1" x14ac:dyDescent="0.3">
      <c r="A1264" s="47">
        <f>IF(B1264="","",SUBTOTAL(3,$B$3:B1264)-1)</f>
        <v>11</v>
      </c>
      <c r="B1264" s="24" t="s">
        <v>1172</v>
      </c>
      <c r="C1264" s="24" t="s">
        <v>42</v>
      </c>
      <c r="D1264" s="24"/>
      <c r="E1264" s="46"/>
      <c r="F1264" s="22">
        <v>10</v>
      </c>
      <c r="G1264" s="175"/>
      <c r="H1264" s="405" t="s">
        <v>660</v>
      </c>
      <c r="I1264" s="185"/>
      <c r="J1264" s="67"/>
      <c r="K1264" s="194"/>
      <c r="L1264" s="180"/>
      <c r="M1264" s="180"/>
      <c r="N1264" s="180"/>
      <c r="O1264" s="181"/>
      <c r="P1264" s="237"/>
      <c r="Q1264" s="255"/>
      <c r="R1264" s="175"/>
      <c r="S1264" s="411" t="s">
        <v>2</v>
      </c>
      <c r="T1264" s="190"/>
      <c r="U1264" s="22"/>
      <c r="V1264" s="233"/>
      <c r="W1264" s="239"/>
      <c r="X1264" s="403"/>
      <c r="Y1264" s="258"/>
    </row>
    <row r="1265" spans="1:25" hidden="1" x14ac:dyDescent="0.3">
      <c r="A1265" s="47">
        <f>IF(B1265="","",SUBTOTAL(3,$B$3:B1265)-1)</f>
        <v>11</v>
      </c>
      <c r="B1265" s="24" t="s">
        <v>823</v>
      </c>
      <c r="C1265" s="24" t="s">
        <v>42</v>
      </c>
      <c r="D1265" s="163"/>
      <c r="E1265" s="46"/>
      <c r="F1265" s="22">
        <v>10</v>
      </c>
      <c r="G1265" s="175" t="s">
        <v>415</v>
      </c>
      <c r="H1265" s="405" t="s">
        <v>660</v>
      </c>
      <c r="I1265" s="185" t="s">
        <v>661</v>
      </c>
      <c r="J1265" s="71"/>
      <c r="K1265" s="194"/>
      <c r="L1265" s="67"/>
      <c r="M1265" s="67"/>
      <c r="N1265" s="67"/>
      <c r="O1265" s="73"/>
      <c r="P1265" s="237"/>
      <c r="Q1265" s="255"/>
      <c r="R1265" s="175" t="s">
        <v>0</v>
      </c>
      <c r="S1265" s="411" t="s">
        <v>2</v>
      </c>
      <c r="T1265" s="190" t="s">
        <v>1</v>
      </c>
      <c r="U1265" s="22"/>
      <c r="V1265" s="233"/>
      <c r="W1265" s="239"/>
      <c r="X1265" s="403"/>
      <c r="Y1265" s="258"/>
    </row>
    <row r="1266" spans="1:25" hidden="1" x14ac:dyDescent="0.3">
      <c r="A1266" s="47">
        <f>IF(B1266="","",SUBTOTAL(3,$B$3:B1266)-1)</f>
        <v>11</v>
      </c>
      <c r="B1266" s="24" t="s">
        <v>274</v>
      </c>
      <c r="C1266" s="24" t="s">
        <v>42</v>
      </c>
      <c r="D1266" s="163"/>
      <c r="E1266" s="46">
        <f>($AA$2-O1266)*$AB$2+Q1266</f>
        <v>0</v>
      </c>
      <c r="F1266" s="22" t="s">
        <v>1213</v>
      </c>
      <c r="G1266" s="175"/>
      <c r="H1266" s="405"/>
      <c r="I1266" s="185"/>
      <c r="J1266" s="67"/>
      <c r="K1266" s="194"/>
      <c r="L1266" s="67"/>
      <c r="M1266" s="67"/>
      <c r="N1266" s="67"/>
      <c r="O1266" s="73"/>
      <c r="P1266" s="237"/>
      <c r="Q1266" s="255"/>
      <c r="R1266" s="175"/>
      <c r="S1266" s="411"/>
      <c r="T1266" s="190"/>
      <c r="U1266" s="22"/>
      <c r="V1266" s="233"/>
      <c r="W1266" s="239"/>
      <c r="X1266" s="403"/>
      <c r="Y1266" s="258"/>
    </row>
    <row r="1267" spans="1:25" hidden="1" x14ac:dyDescent="0.3">
      <c r="A1267" s="47"/>
      <c r="B1267" s="25"/>
      <c r="C1267" s="25"/>
      <c r="D1267" s="163"/>
      <c r="E1267" s="46" t="s">
        <v>1356</v>
      </c>
      <c r="F1267" s="22"/>
      <c r="G1267" s="175"/>
      <c r="H1267" s="405"/>
      <c r="I1267" s="185"/>
      <c r="J1267" s="71"/>
      <c r="K1267" s="194"/>
      <c r="L1267" s="67"/>
      <c r="M1267" s="67"/>
      <c r="N1267" s="67"/>
      <c r="O1267" s="73"/>
      <c r="P1267" s="237"/>
      <c r="Q1267" s="255"/>
      <c r="R1267" s="175"/>
      <c r="S1267" s="411"/>
      <c r="T1267" s="190"/>
      <c r="U1267" s="22"/>
      <c r="V1267" s="233"/>
      <c r="W1267" s="239"/>
      <c r="X1267" s="403"/>
      <c r="Y1267" s="258"/>
    </row>
    <row r="1268" spans="1:25" hidden="1" x14ac:dyDescent="0.3">
      <c r="A1268" s="47"/>
      <c r="B1268" s="25"/>
      <c r="C1268" s="25"/>
      <c r="D1268" s="163"/>
      <c r="E1268" s="46" t="s">
        <v>1356</v>
      </c>
      <c r="F1268" s="22"/>
      <c r="G1268" s="175"/>
      <c r="H1268" s="405"/>
      <c r="I1268" s="185"/>
      <c r="J1268" s="71"/>
      <c r="K1268" s="194"/>
      <c r="L1268" s="67"/>
      <c r="M1268" s="67"/>
      <c r="N1268" s="67"/>
      <c r="O1268" s="73"/>
      <c r="P1268" s="237"/>
      <c r="Q1268" s="255"/>
      <c r="R1268" s="175"/>
      <c r="S1268" s="411"/>
      <c r="T1268" s="190"/>
      <c r="U1268" s="22"/>
      <c r="V1268" s="233"/>
      <c r="W1268" s="239"/>
      <c r="X1268" s="403"/>
      <c r="Y1268" s="258"/>
    </row>
    <row r="1269" spans="1:25" hidden="1" x14ac:dyDescent="0.3">
      <c r="A1269" s="47"/>
      <c r="B1269" s="25"/>
      <c r="C1269" s="25"/>
      <c r="D1269" s="163"/>
      <c r="E1269" s="46" t="s">
        <v>1356</v>
      </c>
      <c r="F1269" s="22"/>
      <c r="G1269" s="175"/>
      <c r="H1269" s="405"/>
      <c r="I1269" s="185"/>
      <c r="J1269" s="71"/>
      <c r="K1269" s="194"/>
      <c r="L1269" s="67"/>
      <c r="M1269" s="67"/>
      <c r="N1269" s="67"/>
      <c r="O1269" s="73"/>
      <c r="P1269" s="237"/>
      <c r="Q1269" s="255"/>
      <c r="R1269" s="175"/>
      <c r="S1269" s="411"/>
      <c r="T1269" s="190"/>
      <c r="U1269" s="22"/>
      <c r="V1269" s="233"/>
      <c r="W1269" s="239"/>
      <c r="X1269" s="403"/>
      <c r="Y1269" s="258"/>
    </row>
    <row r="1270" spans="1:25" hidden="1" x14ac:dyDescent="0.3">
      <c r="A1270" s="47"/>
      <c r="B1270" s="25"/>
      <c r="C1270" s="25"/>
      <c r="D1270" s="163"/>
      <c r="E1270" s="46" t="s">
        <v>1356</v>
      </c>
      <c r="F1270" s="22"/>
      <c r="G1270" s="175"/>
      <c r="H1270" s="405"/>
      <c r="I1270" s="185"/>
      <c r="J1270" s="71"/>
      <c r="K1270" s="194"/>
      <c r="L1270" s="67"/>
      <c r="M1270" s="67"/>
      <c r="N1270" s="67"/>
      <c r="O1270" s="73"/>
      <c r="P1270" s="237"/>
      <c r="Q1270" s="255"/>
      <c r="R1270" s="175"/>
      <c r="S1270" s="411"/>
      <c r="T1270" s="190"/>
      <c r="U1270" s="22"/>
      <c r="V1270" s="233"/>
      <c r="W1270" s="239"/>
      <c r="X1270" s="403"/>
      <c r="Y1270" s="258"/>
    </row>
    <row r="1271" spans="1:25" hidden="1" x14ac:dyDescent="0.3">
      <c r="A1271" s="47"/>
      <c r="B1271" s="25"/>
      <c r="C1271" s="25"/>
      <c r="D1271" s="163"/>
      <c r="E1271" s="46" t="s">
        <v>1356</v>
      </c>
      <c r="F1271" s="22"/>
      <c r="G1271" s="175"/>
      <c r="H1271" s="405"/>
      <c r="I1271" s="185"/>
      <c r="J1271" s="71"/>
      <c r="K1271" s="194"/>
      <c r="L1271" s="67"/>
      <c r="M1271" s="67"/>
      <c r="N1271" s="67"/>
      <c r="O1271" s="73"/>
      <c r="P1271" s="237"/>
      <c r="Q1271" s="255"/>
      <c r="R1271" s="175"/>
      <c r="S1271" s="411"/>
      <c r="T1271" s="190"/>
      <c r="U1271" s="22"/>
      <c r="V1271" s="233"/>
      <c r="W1271" s="239"/>
      <c r="X1271" s="403"/>
      <c r="Y1271" s="258"/>
    </row>
    <row r="1272" spans="1:25" hidden="1" x14ac:dyDescent="0.3">
      <c r="A1272" s="47"/>
      <c r="B1272" s="25"/>
      <c r="C1272" s="25"/>
      <c r="D1272" s="163"/>
      <c r="E1272" s="46" t="s">
        <v>1356</v>
      </c>
      <c r="F1272" s="21"/>
      <c r="G1272" s="175"/>
      <c r="H1272" s="405"/>
      <c r="I1272" s="185"/>
      <c r="J1272" s="71"/>
      <c r="K1272" s="194"/>
      <c r="L1272" s="67"/>
      <c r="M1272" s="67"/>
      <c r="N1272" s="67"/>
      <c r="O1272" s="73"/>
      <c r="P1272" s="237"/>
      <c r="Q1272" s="255"/>
      <c r="R1272" s="175"/>
      <c r="S1272" s="411"/>
      <c r="T1272" s="190"/>
      <c r="U1272" s="22"/>
      <c r="V1272" s="233"/>
      <c r="W1272" s="239"/>
      <c r="X1272" s="403"/>
      <c r="Y1272" s="258"/>
    </row>
    <row r="1273" spans="1:25" hidden="1" x14ac:dyDescent="0.3">
      <c r="A1273" s="47"/>
      <c r="B1273" s="25"/>
      <c r="C1273" s="25"/>
      <c r="D1273" s="163"/>
      <c r="E1273" s="46" t="s">
        <v>1356</v>
      </c>
      <c r="F1273" s="21"/>
      <c r="G1273" s="175"/>
      <c r="H1273" s="405"/>
      <c r="I1273" s="185"/>
      <c r="J1273" s="71"/>
      <c r="K1273" s="194"/>
      <c r="L1273" s="67"/>
      <c r="M1273" s="67"/>
      <c r="N1273" s="67"/>
      <c r="O1273" s="73"/>
      <c r="P1273" s="237"/>
      <c r="Q1273" s="255"/>
      <c r="R1273" s="175"/>
      <c r="S1273" s="411"/>
      <c r="T1273" s="190"/>
      <c r="U1273" s="22"/>
      <c r="V1273" s="233"/>
      <c r="W1273" s="239"/>
      <c r="X1273" s="403"/>
      <c r="Y1273" s="258"/>
    </row>
    <row r="1274" spans="1:25" hidden="1" x14ac:dyDescent="0.3">
      <c r="A1274" s="47"/>
      <c r="B1274" s="25"/>
      <c r="C1274" s="25"/>
      <c r="D1274" s="163"/>
      <c r="E1274" s="46" t="s">
        <v>1356</v>
      </c>
      <c r="F1274" s="22"/>
      <c r="G1274" s="175"/>
      <c r="H1274" s="405"/>
      <c r="I1274" s="185"/>
      <c r="J1274" s="71"/>
      <c r="K1274" s="194"/>
      <c r="L1274" s="67"/>
      <c r="M1274" s="67"/>
      <c r="N1274" s="67"/>
      <c r="O1274" s="73"/>
      <c r="P1274" s="237"/>
      <c r="Q1274" s="255"/>
      <c r="R1274" s="175"/>
      <c r="S1274" s="411"/>
      <c r="T1274" s="190"/>
      <c r="U1274" s="22"/>
      <c r="V1274" s="233"/>
      <c r="W1274" s="239"/>
      <c r="X1274" s="403"/>
      <c r="Y1274" s="258"/>
    </row>
    <row r="1275" spans="1:25" hidden="1" x14ac:dyDescent="0.3">
      <c r="A1275" s="47"/>
      <c r="B1275" s="25"/>
      <c r="C1275" s="25"/>
      <c r="D1275" s="163"/>
      <c r="E1275" s="46" t="s">
        <v>1356</v>
      </c>
      <c r="F1275" s="22"/>
      <c r="G1275" s="175"/>
      <c r="H1275" s="405"/>
      <c r="I1275" s="185"/>
      <c r="J1275" s="71"/>
      <c r="K1275" s="194"/>
      <c r="L1275" s="67"/>
      <c r="M1275" s="67"/>
      <c r="N1275" s="67"/>
      <c r="O1275" s="73"/>
      <c r="P1275" s="237"/>
      <c r="Q1275" s="255"/>
      <c r="R1275" s="175"/>
      <c r="S1275" s="411"/>
      <c r="T1275" s="190"/>
      <c r="U1275" s="22"/>
      <c r="V1275" s="233"/>
      <c r="W1275" s="239"/>
      <c r="X1275" s="403"/>
      <c r="Y1275" s="258"/>
    </row>
    <row r="1276" spans="1:25" hidden="1" x14ac:dyDescent="0.3">
      <c r="A1276" s="47"/>
      <c r="B1276" s="25"/>
      <c r="C1276" s="25"/>
      <c r="D1276" s="163"/>
      <c r="E1276" s="46" t="s">
        <v>1356</v>
      </c>
      <c r="F1276" s="22"/>
      <c r="G1276" s="175"/>
      <c r="H1276" s="405"/>
      <c r="I1276" s="185"/>
      <c r="J1276" s="71"/>
      <c r="K1276" s="194"/>
      <c r="L1276" s="67"/>
      <c r="M1276" s="67"/>
      <c r="N1276" s="67"/>
      <c r="O1276" s="73"/>
      <c r="P1276" s="237"/>
      <c r="Q1276" s="255"/>
      <c r="R1276" s="175"/>
      <c r="S1276" s="411"/>
      <c r="T1276" s="190"/>
      <c r="U1276" s="22"/>
      <c r="V1276" s="233"/>
      <c r="W1276" s="239"/>
      <c r="X1276" s="403"/>
      <c r="Y1276" s="258"/>
    </row>
    <row r="1277" spans="1:25" hidden="1" x14ac:dyDescent="0.3">
      <c r="A1277" s="47"/>
      <c r="B1277" s="25"/>
      <c r="C1277" s="25"/>
      <c r="D1277" s="163"/>
      <c r="E1277" s="46" t="s">
        <v>1356</v>
      </c>
      <c r="F1277" s="22"/>
      <c r="G1277" s="175"/>
      <c r="H1277" s="405"/>
      <c r="I1277" s="185"/>
      <c r="J1277" s="71"/>
      <c r="K1277" s="194"/>
      <c r="L1277" s="67"/>
      <c r="M1277" s="67"/>
      <c r="N1277" s="67"/>
      <c r="O1277" s="73"/>
      <c r="P1277" s="237"/>
      <c r="Q1277" s="255"/>
      <c r="R1277" s="175"/>
      <c r="S1277" s="411"/>
      <c r="T1277" s="190"/>
      <c r="U1277" s="22"/>
      <c r="V1277" s="233"/>
      <c r="W1277" s="239"/>
      <c r="X1277" s="403"/>
      <c r="Y1277" s="258"/>
    </row>
    <row r="1278" spans="1:25" hidden="1" x14ac:dyDescent="0.3">
      <c r="A1278" s="47"/>
      <c r="B1278" s="25"/>
      <c r="C1278" s="25"/>
      <c r="D1278" s="163"/>
      <c r="E1278" s="46" t="s">
        <v>1356</v>
      </c>
      <c r="F1278" s="22"/>
      <c r="G1278" s="175"/>
      <c r="H1278" s="405"/>
      <c r="I1278" s="185"/>
      <c r="J1278" s="71"/>
      <c r="K1278" s="194"/>
      <c r="L1278" s="67"/>
      <c r="M1278" s="67"/>
      <c r="N1278" s="67"/>
      <c r="O1278" s="73"/>
      <c r="P1278" s="237"/>
      <c r="Q1278" s="255"/>
      <c r="R1278" s="175"/>
      <c r="S1278" s="411"/>
      <c r="T1278" s="190"/>
      <c r="U1278" s="22"/>
      <c r="V1278" s="233"/>
      <c r="W1278" s="239"/>
      <c r="X1278" s="403"/>
      <c r="Y1278" s="258"/>
    </row>
    <row r="1279" spans="1:25" hidden="1" x14ac:dyDescent="0.3">
      <c r="A1279" s="47"/>
      <c r="B1279" s="25"/>
      <c r="C1279" s="25"/>
      <c r="D1279" s="163"/>
      <c r="E1279" s="46" t="s">
        <v>1356</v>
      </c>
      <c r="F1279" s="22"/>
      <c r="G1279" s="175"/>
      <c r="H1279" s="405"/>
      <c r="I1279" s="185"/>
      <c r="J1279" s="71"/>
      <c r="K1279" s="194"/>
      <c r="L1279" s="67"/>
      <c r="M1279" s="67"/>
      <c r="N1279" s="67"/>
      <c r="O1279" s="73"/>
      <c r="P1279" s="237"/>
      <c r="Q1279" s="255"/>
      <c r="R1279" s="175"/>
      <c r="S1279" s="411"/>
      <c r="T1279" s="190"/>
      <c r="U1279" s="22"/>
      <c r="V1279" s="233"/>
      <c r="W1279" s="239"/>
      <c r="X1279" s="403"/>
      <c r="Y1279" s="258"/>
    </row>
    <row r="1280" spans="1:25" hidden="1" x14ac:dyDescent="0.3">
      <c r="A1280" s="47"/>
      <c r="B1280" s="25"/>
      <c r="C1280" s="25"/>
      <c r="D1280" s="163"/>
      <c r="E1280" s="46" t="s">
        <v>1356</v>
      </c>
      <c r="F1280" s="22"/>
      <c r="G1280" s="175"/>
      <c r="H1280" s="405"/>
      <c r="I1280" s="185"/>
      <c r="J1280" s="71"/>
      <c r="K1280" s="194"/>
      <c r="L1280" s="67"/>
      <c r="M1280" s="67"/>
      <c r="N1280" s="67"/>
      <c r="O1280" s="73"/>
      <c r="P1280" s="237"/>
      <c r="Q1280" s="255"/>
      <c r="R1280" s="175"/>
      <c r="S1280" s="411"/>
      <c r="T1280" s="190"/>
      <c r="U1280" s="22"/>
      <c r="V1280" s="233"/>
      <c r="W1280" s="239"/>
      <c r="X1280" s="403"/>
      <c r="Y1280" s="258"/>
    </row>
    <row r="1281" spans="1:25" hidden="1" x14ac:dyDescent="0.3">
      <c r="A1281" s="47"/>
      <c r="B1281" s="25"/>
      <c r="C1281" s="25"/>
      <c r="D1281" s="163"/>
      <c r="E1281" s="46" t="s">
        <v>1356</v>
      </c>
      <c r="F1281" s="22"/>
      <c r="G1281" s="175"/>
      <c r="H1281" s="405"/>
      <c r="I1281" s="185"/>
      <c r="J1281" s="71"/>
      <c r="K1281" s="194"/>
      <c r="L1281" s="67"/>
      <c r="M1281" s="67"/>
      <c r="N1281" s="67"/>
      <c r="O1281" s="73"/>
      <c r="P1281" s="237"/>
      <c r="Q1281" s="255"/>
      <c r="R1281" s="175"/>
      <c r="S1281" s="411"/>
      <c r="T1281" s="190"/>
      <c r="U1281" s="22"/>
      <c r="V1281" s="233"/>
      <c r="W1281" s="239"/>
      <c r="X1281" s="403"/>
      <c r="Y1281" s="258"/>
    </row>
    <row r="1282" spans="1:25" hidden="1" x14ac:dyDescent="0.3">
      <c r="A1282" s="47"/>
      <c r="B1282" s="25"/>
      <c r="C1282" s="25"/>
      <c r="D1282" s="163"/>
      <c r="E1282" s="46" t="s">
        <v>1356</v>
      </c>
      <c r="F1282" s="22"/>
      <c r="G1282" s="175"/>
      <c r="H1282" s="405"/>
      <c r="I1282" s="185"/>
      <c r="J1282" s="71"/>
      <c r="K1282" s="194"/>
      <c r="L1282" s="67"/>
      <c r="M1282" s="67"/>
      <c r="N1282" s="67"/>
      <c r="O1282" s="73"/>
      <c r="P1282" s="237"/>
      <c r="Q1282" s="255"/>
      <c r="R1282" s="175"/>
      <c r="S1282" s="411"/>
      <c r="T1282" s="190"/>
      <c r="U1282" s="22"/>
      <c r="V1282" s="233"/>
      <c r="W1282" s="239"/>
      <c r="X1282" s="403"/>
      <c r="Y1282" s="258"/>
    </row>
    <row r="1283" spans="1:25" hidden="1" x14ac:dyDescent="0.3">
      <c r="A1283" s="47"/>
      <c r="B1283" s="25"/>
      <c r="C1283" s="25"/>
      <c r="D1283" s="163"/>
      <c r="E1283" s="46" t="s">
        <v>1356</v>
      </c>
      <c r="F1283" s="22"/>
      <c r="G1283" s="175"/>
      <c r="H1283" s="405"/>
      <c r="I1283" s="185"/>
      <c r="J1283" s="71"/>
      <c r="K1283" s="194"/>
      <c r="L1283" s="67"/>
      <c r="M1283" s="67"/>
      <c r="N1283" s="67"/>
      <c r="O1283" s="73"/>
      <c r="P1283" s="237"/>
      <c r="Q1283" s="255"/>
      <c r="R1283" s="175"/>
      <c r="S1283" s="411"/>
      <c r="T1283" s="190"/>
      <c r="U1283" s="22"/>
      <c r="V1283" s="233"/>
      <c r="W1283" s="239"/>
      <c r="X1283" s="403"/>
      <c r="Y1283" s="258"/>
    </row>
    <row r="1284" spans="1:25" x14ac:dyDescent="0.3">
      <c r="A1284" s="227"/>
      <c r="B1284" s="227" t="s">
        <v>391</v>
      </c>
      <c r="C1284" s="227"/>
      <c r="D1284" s="227"/>
      <c r="E1284" s="228">
        <f>SUBTOTAL(9,E5:E1283)</f>
        <v>0</v>
      </c>
      <c r="F1284" s="229">
        <f t="shared" ref="F1284:P1284" si="12">SUBTOTAL(3,F5:F1283)</f>
        <v>11</v>
      </c>
      <c r="G1284" s="229">
        <f t="shared" si="12"/>
        <v>5</v>
      </c>
      <c r="H1284" s="229">
        <f t="shared" si="12"/>
        <v>6</v>
      </c>
      <c r="I1284" s="229">
        <f t="shared" si="12"/>
        <v>11</v>
      </c>
      <c r="J1284" s="229">
        <f t="shared" si="12"/>
        <v>0</v>
      </c>
      <c r="K1284" s="229">
        <f t="shared" si="12"/>
        <v>2</v>
      </c>
      <c r="L1284" s="230">
        <f t="shared" si="12"/>
        <v>0</v>
      </c>
      <c r="M1284" s="230">
        <f t="shared" si="12"/>
        <v>0</v>
      </c>
      <c r="N1284" s="230">
        <f t="shared" si="12"/>
        <v>0</v>
      </c>
      <c r="O1284" s="230">
        <f t="shared" si="12"/>
        <v>0</v>
      </c>
      <c r="P1284" s="229">
        <f t="shared" si="12"/>
        <v>1</v>
      </c>
      <c r="Q1284" s="235">
        <f>SUBTOTAL(9,Q5:Q1283)</f>
        <v>0</v>
      </c>
      <c r="R1284" s="229">
        <f t="shared" ref="R1284:W1284" si="13">SUBTOTAL(3,R5:R1283)</f>
        <v>5</v>
      </c>
      <c r="S1284" s="229">
        <f t="shared" si="13"/>
        <v>0</v>
      </c>
      <c r="T1284" s="229">
        <f t="shared" si="13"/>
        <v>11</v>
      </c>
      <c r="U1284" s="229">
        <f t="shared" si="13"/>
        <v>0</v>
      </c>
      <c r="V1284" s="229">
        <f t="shared" si="13"/>
        <v>0</v>
      </c>
      <c r="W1284" s="229">
        <f t="shared" si="13"/>
        <v>1</v>
      </c>
      <c r="X1284" s="259"/>
      <c r="Y1284" s="259"/>
    </row>
  </sheetData>
  <autoFilter ref="A4:Y1283" xr:uid="{08C98D55-B6CA-4CDC-AF03-3B1728A7C5CA}">
    <filterColumn colId="5">
      <filters>
        <filter val="6"/>
      </filters>
    </filterColumn>
    <filterColumn colId="19">
      <filters>
        <filter val="A"/>
      </filters>
    </filterColumn>
    <sortState xmlns:xlrd2="http://schemas.microsoft.com/office/spreadsheetml/2017/richdata2" ref="A5:Y1283">
      <sortCondition ref="C4:C1283"/>
    </sortState>
  </autoFilter>
  <mergeCells count="2">
    <mergeCell ref="A1:O1"/>
    <mergeCell ref="AA24:AB24"/>
  </mergeCells>
  <phoneticPr fontId="6" type="noConversion"/>
  <conditionalFormatting sqref="AB511">
    <cfRule type="expression" dxfId="2173" priority="12">
      <formula>ISODD(ROW())</formula>
    </cfRule>
  </conditionalFormatting>
  <pageMargins left="0.2" right="0" top="0.25" bottom="0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4426-D546-4614-91BE-D9A2B9B9128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EE6D-5D30-41AC-80F0-EB43C763CC22}">
  <dimension ref="A1:AC270"/>
  <sheetViews>
    <sheetView topLeftCell="A43" zoomScale="80" zoomScaleNormal="80" workbookViewId="0">
      <selection activeCell="V89" sqref="V89"/>
    </sheetView>
  </sheetViews>
  <sheetFormatPr defaultRowHeight="14.25" x14ac:dyDescent="0.2"/>
  <cols>
    <col min="1" max="1" width="6" customWidth="1"/>
    <col min="2" max="2" width="17.75" customWidth="1"/>
    <col min="4" max="4" width="12.625" customWidth="1"/>
    <col min="5" max="16" width="7.875" customWidth="1"/>
  </cols>
  <sheetData>
    <row r="1" spans="1:29" ht="18.600000000000001" customHeight="1" x14ac:dyDescent="0.2">
      <c r="A1" s="434" t="s">
        <v>1044</v>
      </c>
      <c r="B1" s="434"/>
      <c r="C1" s="434"/>
      <c r="D1" s="434"/>
      <c r="E1" s="434"/>
      <c r="F1" s="434"/>
      <c r="G1" s="434"/>
      <c r="H1" s="434"/>
      <c r="I1" s="92" t="s">
        <v>1033</v>
      </c>
      <c r="J1" s="48"/>
      <c r="K1" s="48"/>
      <c r="L1" s="48"/>
      <c r="M1" s="41"/>
      <c r="N1" s="41"/>
      <c r="O1" s="41"/>
      <c r="P1" s="41"/>
      <c r="R1" s="440" t="s">
        <v>1163</v>
      </c>
      <c r="S1" s="441"/>
      <c r="T1" s="440" t="s">
        <v>1164</v>
      </c>
      <c r="U1" s="441"/>
      <c r="V1" s="440" t="s">
        <v>1165</v>
      </c>
      <c r="W1" s="441"/>
      <c r="X1" s="440" t="s">
        <v>1166</v>
      </c>
      <c r="Y1" s="441"/>
      <c r="Z1" s="440" t="s">
        <v>1167</v>
      </c>
      <c r="AA1" s="441"/>
      <c r="AB1" s="438" t="s">
        <v>748</v>
      </c>
      <c r="AC1" s="439"/>
    </row>
    <row r="2" spans="1:29" ht="18.600000000000001" customHeight="1" x14ac:dyDescent="0.2">
      <c r="A2" s="28"/>
      <c r="B2" s="29"/>
      <c r="C2" s="30"/>
      <c r="D2" s="36"/>
      <c r="E2" s="28"/>
      <c r="F2" s="28"/>
      <c r="G2" s="28"/>
      <c r="H2" s="28"/>
      <c r="I2" s="79"/>
      <c r="J2" s="28"/>
      <c r="K2" s="28"/>
      <c r="L2" s="28"/>
      <c r="M2" s="28"/>
      <c r="N2" s="28"/>
      <c r="O2" s="28"/>
      <c r="P2" s="28"/>
      <c r="R2" s="442">
        <f>SUBTOTAL(9,G5:G60)</f>
        <v>0</v>
      </c>
      <c r="S2" s="443"/>
      <c r="T2" s="442">
        <f>SUBTOTAL(9,I5:I60)</f>
        <v>0</v>
      </c>
      <c r="U2" s="443"/>
      <c r="V2" s="442">
        <f>SUBTOTAL(9,K5:K60)</f>
        <v>0</v>
      </c>
      <c r="W2" s="443"/>
      <c r="X2" s="442">
        <f t="shared" ref="X2" si="0">SUBTOTAL(9,M5:M60)</f>
        <v>0</v>
      </c>
      <c r="Y2" s="443"/>
      <c r="Z2" s="442">
        <f>SUBTOTAL(9,O5:O60)</f>
        <v>0</v>
      </c>
      <c r="AA2" s="443"/>
      <c r="AB2" s="444">
        <f>SUM(R2:Z2)</f>
        <v>0</v>
      </c>
      <c r="AC2" s="444"/>
    </row>
    <row r="3" spans="1:29" ht="18.600000000000001" customHeight="1" x14ac:dyDescent="0.3">
      <c r="A3" s="435" t="s">
        <v>374</v>
      </c>
      <c r="B3" s="435" t="s">
        <v>380</v>
      </c>
      <c r="C3" s="435" t="s">
        <v>383</v>
      </c>
      <c r="D3" s="437" t="s">
        <v>384</v>
      </c>
      <c r="E3" s="438" t="s">
        <v>385</v>
      </c>
      <c r="F3" s="439"/>
      <c r="G3" s="432" t="str">
        <f>$R$1</f>
        <v>Đợt 6</v>
      </c>
      <c r="H3" s="433"/>
      <c r="I3" s="432" t="str">
        <f>$T$1</f>
        <v>Đợt 7</v>
      </c>
      <c r="J3" s="433"/>
      <c r="K3" s="432" t="str">
        <f>$V$1</f>
        <v>Đợt 8</v>
      </c>
      <c r="L3" s="433"/>
      <c r="M3" s="432" t="str">
        <f>$X$1</f>
        <v>Đợt 9</v>
      </c>
      <c r="N3" s="433"/>
      <c r="O3" s="432" t="str">
        <f>$Z$1</f>
        <v>Đợt 10</v>
      </c>
      <c r="P3" s="433"/>
      <c r="R3" s="89"/>
      <c r="S3" s="90"/>
    </row>
    <row r="4" spans="1:29" ht="18.600000000000001" customHeight="1" x14ac:dyDescent="0.2">
      <c r="A4" s="436"/>
      <c r="B4" s="436"/>
      <c r="C4" s="436"/>
      <c r="D4" s="436"/>
      <c r="E4" s="31" t="s">
        <v>381</v>
      </c>
      <c r="F4" s="31" t="s">
        <v>382</v>
      </c>
      <c r="G4" s="31" t="s">
        <v>381</v>
      </c>
      <c r="H4" s="31" t="s">
        <v>382</v>
      </c>
      <c r="I4" s="80" t="s">
        <v>381</v>
      </c>
      <c r="J4" s="31" t="s">
        <v>382</v>
      </c>
      <c r="K4" s="80" t="s">
        <v>381</v>
      </c>
      <c r="L4" s="31" t="s">
        <v>382</v>
      </c>
      <c r="M4" s="31" t="s">
        <v>381</v>
      </c>
      <c r="N4" s="31" t="s">
        <v>382</v>
      </c>
      <c r="O4" s="31" t="s">
        <v>381</v>
      </c>
      <c r="P4" s="31" t="s">
        <v>382</v>
      </c>
    </row>
    <row r="5" spans="1:29" ht="18.600000000000001" customHeight="1" x14ac:dyDescent="0.2">
      <c r="A5" s="32">
        <v>1</v>
      </c>
      <c r="B5" s="26"/>
      <c r="C5" s="26"/>
      <c r="D5" s="22"/>
      <c r="E5" s="32"/>
      <c r="F5" s="34"/>
      <c r="G5" s="32"/>
      <c r="H5" s="93"/>
      <c r="I5" s="81"/>
      <c r="J5" s="34"/>
      <c r="K5" s="34"/>
      <c r="L5" s="34"/>
      <c r="M5" s="32"/>
      <c r="N5" s="34"/>
      <c r="O5" s="32"/>
      <c r="P5" s="34"/>
    </row>
    <row r="6" spans="1:29" ht="18.600000000000001" customHeight="1" x14ac:dyDescent="0.2">
      <c r="A6" s="7">
        <f t="shared" ref="A6:A29" si="1">A5+1</f>
        <v>2</v>
      </c>
      <c r="B6" s="26"/>
      <c r="C6" s="26"/>
      <c r="D6" s="22"/>
      <c r="E6" s="7"/>
      <c r="F6" s="7"/>
      <c r="G6" s="7"/>
      <c r="H6" s="7"/>
      <c r="I6" s="82"/>
      <c r="J6" s="7"/>
      <c r="K6" s="7"/>
      <c r="L6" s="7"/>
      <c r="M6" s="7"/>
      <c r="N6" s="7"/>
      <c r="O6" s="7"/>
      <c r="P6" s="7"/>
    </row>
    <row r="7" spans="1:29" ht="18.600000000000001" customHeight="1" x14ac:dyDescent="0.2">
      <c r="A7" s="7">
        <f t="shared" si="1"/>
        <v>3</v>
      </c>
      <c r="B7" s="26"/>
      <c r="C7" s="26"/>
      <c r="D7" s="22"/>
      <c r="E7" s="7"/>
      <c r="F7" s="7"/>
      <c r="G7" s="7"/>
      <c r="H7" s="7"/>
      <c r="I7" s="82"/>
      <c r="J7" s="7"/>
      <c r="K7" s="7"/>
      <c r="L7" s="7"/>
      <c r="M7" s="7"/>
      <c r="N7" s="7"/>
      <c r="O7" s="7"/>
      <c r="P7" s="7"/>
    </row>
    <row r="8" spans="1:29" ht="18.600000000000001" customHeight="1" x14ac:dyDescent="0.2">
      <c r="A8" s="7">
        <f t="shared" si="1"/>
        <v>4</v>
      </c>
      <c r="B8" s="26"/>
      <c r="C8" s="26"/>
      <c r="D8" s="22"/>
      <c r="E8" s="7"/>
      <c r="F8" s="7"/>
      <c r="G8" s="7"/>
      <c r="H8" s="7"/>
      <c r="I8" s="82"/>
      <c r="J8" s="7"/>
      <c r="K8" s="7"/>
      <c r="L8" s="7"/>
      <c r="M8" s="7"/>
      <c r="N8" s="7"/>
      <c r="O8" s="7"/>
      <c r="P8" s="7"/>
      <c r="Z8" s="91"/>
    </row>
    <row r="9" spans="1:29" ht="18.600000000000001" customHeight="1" x14ac:dyDescent="0.3">
      <c r="A9" s="6">
        <f t="shared" si="1"/>
        <v>5</v>
      </c>
      <c r="B9" s="58"/>
      <c r="C9" s="58"/>
      <c r="D9" s="59"/>
      <c r="E9" s="16"/>
      <c r="F9" s="16"/>
      <c r="G9" s="16"/>
      <c r="H9" s="16"/>
      <c r="I9" s="83"/>
      <c r="J9" s="16"/>
      <c r="K9" s="16"/>
      <c r="L9" s="16"/>
      <c r="M9" s="16"/>
      <c r="N9" s="16"/>
      <c r="O9" s="16"/>
      <c r="P9" s="16"/>
      <c r="R9" s="18"/>
      <c r="S9" s="431" t="s">
        <v>403</v>
      </c>
      <c r="T9" s="431"/>
      <c r="U9" s="18"/>
      <c r="V9" s="18"/>
      <c r="W9" s="18"/>
      <c r="X9" s="18"/>
    </row>
    <row r="10" spans="1:29" ht="18.600000000000001" customHeight="1" x14ac:dyDescent="0.3">
      <c r="A10" s="56">
        <f t="shared" si="1"/>
        <v>6</v>
      </c>
      <c r="B10" s="57"/>
      <c r="C10" s="57"/>
      <c r="D10" s="21"/>
      <c r="E10" s="2"/>
      <c r="F10" s="2"/>
      <c r="G10" s="2"/>
      <c r="H10" s="2"/>
      <c r="I10" s="84"/>
      <c r="J10" s="2"/>
      <c r="K10" s="2"/>
      <c r="L10" s="2"/>
      <c r="M10" s="2"/>
      <c r="N10" s="2"/>
      <c r="O10" s="2"/>
      <c r="P10" s="2"/>
      <c r="R10" s="18">
        <v>1</v>
      </c>
      <c r="S10" s="18" t="s">
        <v>404</v>
      </c>
      <c r="T10" s="18"/>
      <c r="U10" s="18"/>
      <c r="V10" s="18"/>
      <c r="W10" s="18"/>
      <c r="X10" s="18"/>
    </row>
    <row r="11" spans="1:29" ht="18.600000000000001" customHeight="1" x14ac:dyDescent="0.3">
      <c r="A11" s="6">
        <f t="shared" si="1"/>
        <v>7</v>
      </c>
      <c r="B11" s="26"/>
      <c r="C11" s="26"/>
      <c r="D11" s="22"/>
      <c r="E11" s="4"/>
      <c r="F11" s="4"/>
      <c r="G11" s="4"/>
      <c r="H11" s="4"/>
      <c r="I11" s="85"/>
      <c r="J11" s="4"/>
      <c r="K11" s="4"/>
      <c r="L11" s="4"/>
      <c r="M11" s="4"/>
      <c r="N11" s="4"/>
      <c r="O11" s="4"/>
      <c r="P11" s="4"/>
      <c r="R11" s="18">
        <v>2</v>
      </c>
      <c r="S11" s="18" t="s">
        <v>405</v>
      </c>
      <c r="T11" s="18"/>
      <c r="U11" s="18"/>
      <c r="V11" s="18"/>
      <c r="W11" s="18"/>
      <c r="X11" s="18"/>
    </row>
    <row r="12" spans="1:29" ht="18.600000000000001" customHeight="1" x14ac:dyDescent="0.3">
      <c r="A12" s="6">
        <f t="shared" si="1"/>
        <v>8</v>
      </c>
      <c r="B12" s="26"/>
      <c r="C12" s="26"/>
      <c r="D12" s="22"/>
      <c r="E12" s="4"/>
      <c r="F12" s="4"/>
      <c r="G12" s="4"/>
      <c r="H12" s="4"/>
      <c r="I12" s="85"/>
      <c r="J12" s="4"/>
      <c r="K12" s="4"/>
      <c r="L12" s="4"/>
      <c r="M12" s="4"/>
      <c r="N12" s="4"/>
      <c r="O12" s="4"/>
      <c r="P12" s="4"/>
      <c r="R12" s="18">
        <v>3</v>
      </c>
      <c r="S12" s="18" t="s">
        <v>406</v>
      </c>
      <c r="T12" s="18"/>
      <c r="U12" s="18"/>
      <c r="V12" s="18"/>
      <c r="W12" s="18"/>
      <c r="X12" s="18"/>
    </row>
    <row r="13" spans="1:29" ht="18.600000000000001" customHeight="1" x14ac:dyDescent="0.3">
      <c r="A13" s="6">
        <f t="shared" si="1"/>
        <v>9</v>
      </c>
      <c r="B13" s="26"/>
      <c r="C13" s="26"/>
      <c r="D13" s="22"/>
      <c r="E13" s="4"/>
      <c r="F13" s="4"/>
      <c r="G13" s="4"/>
      <c r="H13" s="4"/>
      <c r="I13" s="85"/>
      <c r="J13" s="4"/>
      <c r="K13" s="4"/>
      <c r="L13" s="4"/>
      <c r="M13" s="4"/>
      <c r="N13" s="4"/>
      <c r="O13" s="4"/>
      <c r="P13" s="4"/>
      <c r="R13" s="18">
        <v>4</v>
      </c>
      <c r="S13" s="18" t="s">
        <v>407</v>
      </c>
      <c r="T13" s="18"/>
      <c r="U13" s="18"/>
      <c r="V13" s="18"/>
      <c r="W13" s="18"/>
      <c r="X13" s="18"/>
    </row>
    <row r="14" spans="1:29" ht="18.600000000000001" customHeight="1" x14ac:dyDescent="0.3">
      <c r="A14" s="10">
        <f t="shared" si="1"/>
        <v>10</v>
      </c>
      <c r="B14" s="62"/>
      <c r="C14" s="62"/>
      <c r="D14" s="23"/>
      <c r="E14" s="12"/>
      <c r="F14" s="12"/>
      <c r="G14" s="12"/>
      <c r="H14" s="12"/>
      <c r="I14" s="86"/>
      <c r="J14" s="12"/>
      <c r="K14" s="12"/>
      <c r="L14" s="12"/>
      <c r="M14" s="12"/>
      <c r="N14" s="12"/>
      <c r="O14" s="12"/>
      <c r="P14" s="12"/>
      <c r="R14" s="18">
        <v>5</v>
      </c>
      <c r="S14" s="18" t="s">
        <v>408</v>
      </c>
      <c r="T14" s="18"/>
      <c r="U14" s="18"/>
      <c r="V14" s="18"/>
      <c r="W14" s="18"/>
      <c r="X14" s="18"/>
    </row>
    <row r="15" spans="1:29" ht="18.600000000000001" customHeight="1" x14ac:dyDescent="0.2">
      <c r="A15" s="35">
        <f t="shared" si="1"/>
        <v>11</v>
      </c>
      <c r="B15" s="60"/>
      <c r="C15" s="60"/>
      <c r="D15" s="61"/>
      <c r="E15" s="14"/>
      <c r="F15" s="14"/>
      <c r="G15" s="14"/>
      <c r="H15" s="14"/>
      <c r="I15" s="87"/>
      <c r="J15" s="14"/>
      <c r="K15" s="14"/>
      <c r="L15" s="14"/>
      <c r="M15" s="14"/>
      <c r="N15" s="14"/>
      <c r="O15" s="14"/>
      <c r="P15" s="14"/>
    </row>
    <row r="16" spans="1:29" ht="18.600000000000001" customHeight="1" x14ac:dyDescent="0.2">
      <c r="A16" s="7">
        <f t="shared" si="1"/>
        <v>12</v>
      </c>
      <c r="B16" s="26"/>
      <c r="C16" s="26"/>
      <c r="D16" s="22"/>
      <c r="E16" s="4"/>
      <c r="F16" s="4"/>
      <c r="G16" s="4"/>
      <c r="H16" s="4"/>
      <c r="I16" s="85"/>
      <c r="J16" s="4"/>
      <c r="K16" s="4"/>
      <c r="L16" s="4"/>
      <c r="M16" s="4"/>
      <c r="N16" s="4"/>
      <c r="O16" s="4"/>
      <c r="P16" s="4"/>
    </row>
    <row r="17" spans="1:19" ht="18.600000000000001" customHeight="1" x14ac:dyDescent="0.3">
      <c r="A17" s="7">
        <f t="shared" si="1"/>
        <v>13</v>
      </c>
      <c r="B17" s="26"/>
      <c r="C17" s="26"/>
      <c r="D17" s="22"/>
      <c r="E17" s="4"/>
      <c r="F17" s="4"/>
      <c r="G17" s="4"/>
      <c r="H17" s="4"/>
      <c r="I17" s="85"/>
      <c r="J17" s="4"/>
      <c r="K17" s="4"/>
      <c r="L17" s="4"/>
      <c r="M17" s="4"/>
      <c r="N17" s="4"/>
      <c r="O17" s="4"/>
      <c r="P17" s="4"/>
      <c r="S17" s="18" t="s">
        <v>856</v>
      </c>
    </row>
    <row r="18" spans="1:19" ht="18.600000000000001" customHeight="1" x14ac:dyDescent="0.2">
      <c r="A18" s="7">
        <f t="shared" si="1"/>
        <v>14</v>
      </c>
      <c r="B18" s="3"/>
      <c r="C18" s="4"/>
      <c r="D18" s="8"/>
      <c r="E18" s="4"/>
      <c r="F18" s="4"/>
      <c r="G18" s="4"/>
      <c r="H18" s="4"/>
      <c r="I18" s="85"/>
      <c r="J18" s="4"/>
      <c r="K18" s="4"/>
      <c r="L18" s="4"/>
      <c r="M18" s="4"/>
      <c r="N18" s="4"/>
      <c r="O18" s="4"/>
      <c r="P18" s="4"/>
    </row>
    <row r="19" spans="1:19" ht="18.600000000000001" customHeight="1" x14ac:dyDescent="0.2">
      <c r="A19" s="6">
        <f t="shared" si="1"/>
        <v>15</v>
      </c>
      <c r="B19" s="15"/>
      <c r="C19" s="16"/>
      <c r="D19" s="5"/>
      <c r="E19" s="16"/>
      <c r="F19" s="16"/>
      <c r="G19" s="16"/>
      <c r="H19" s="16"/>
      <c r="I19" s="83"/>
      <c r="J19" s="16"/>
      <c r="K19" s="16"/>
      <c r="L19" s="16"/>
      <c r="M19" s="16"/>
      <c r="N19" s="16"/>
      <c r="O19" s="16"/>
      <c r="P19" s="16"/>
    </row>
    <row r="20" spans="1:19" ht="18.600000000000001" customHeight="1" x14ac:dyDescent="0.2">
      <c r="A20" s="32">
        <f t="shared" si="1"/>
        <v>16</v>
      </c>
      <c r="B20" s="1"/>
      <c r="C20" s="2"/>
      <c r="D20" s="33"/>
      <c r="E20" s="2"/>
      <c r="F20" s="2"/>
      <c r="G20" s="2"/>
      <c r="H20" s="2"/>
      <c r="I20" s="84"/>
      <c r="J20" s="2"/>
      <c r="K20" s="2"/>
      <c r="L20" s="2"/>
      <c r="M20" s="2"/>
      <c r="N20" s="2"/>
      <c r="O20" s="2"/>
      <c r="P20" s="2"/>
    </row>
    <row r="21" spans="1:19" ht="18.600000000000001" customHeight="1" x14ac:dyDescent="0.2">
      <c r="A21" s="7">
        <f t="shared" si="1"/>
        <v>17</v>
      </c>
      <c r="B21" s="3"/>
      <c r="C21" s="4"/>
      <c r="D21" s="8"/>
      <c r="E21" s="4"/>
      <c r="F21" s="4"/>
      <c r="G21" s="4"/>
      <c r="H21" s="4"/>
      <c r="I21" s="85"/>
      <c r="J21" s="4"/>
      <c r="K21" s="4"/>
      <c r="L21" s="4"/>
      <c r="M21" s="4"/>
      <c r="N21" s="4"/>
      <c r="O21" s="4"/>
      <c r="P21" s="4"/>
    </row>
    <row r="22" spans="1:19" ht="18.600000000000001" customHeight="1" x14ac:dyDescent="0.2">
      <c r="A22" s="7">
        <f t="shared" si="1"/>
        <v>18</v>
      </c>
      <c r="B22" s="3"/>
      <c r="C22" s="4"/>
      <c r="D22" s="8"/>
      <c r="E22" s="4"/>
      <c r="F22" s="4"/>
      <c r="G22" s="4"/>
      <c r="H22" s="4"/>
      <c r="I22" s="85"/>
      <c r="J22" s="4"/>
      <c r="K22" s="4"/>
      <c r="L22" s="4"/>
      <c r="M22" s="4"/>
      <c r="N22" s="4"/>
      <c r="O22" s="4"/>
      <c r="P22" s="4"/>
    </row>
    <row r="23" spans="1:19" ht="18.600000000000001" customHeight="1" x14ac:dyDescent="0.2">
      <c r="A23" s="7">
        <f t="shared" si="1"/>
        <v>19</v>
      </c>
      <c r="B23" s="3"/>
      <c r="C23" s="4"/>
      <c r="D23" s="8"/>
      <c r="E23" s="4"/>
      <c r="F23" s="4"/>
      <c r="G23" s="4"/>
      <c r="H23" s="4"/>
      <c r="I23" s="85"/>
      <c r="J23" s="4"/>
      <c r="K23" s="4"/>
      <c r="L23" s="4"/>
      <c r="M23" s="4"/>
      <c r="N23" s="4"/>
      <c r="O23" s="4"/>
      <c r="P23" s="4"/>
    </row>
    <row r="24" spans="1:19" ht="18.600000000000001" customHeight="1" x14ac:dyDescent="0.2">
      <c r="A24" s="10">
        <f t="shared" si="1"/>
        <v>20</v>
      </c>
      <c r="B24" s="11"/>
      <c r="C24" s="12"/>
      <c r="D24" s="9"/>
      <c r="E24" s="12"/>
      <c r="F24" s="12"/>
      <c r="G24" s="12"/>
      <c r="H24" s="12"/>
      <c r="I24" s="86"/>
      <c r="J24" s="12"/>
      <c r="K24" s="12"/>
      <c r="L24" s="12"/>
      <c r="M24" s="12"/>
      <c r="N24" s="12"/>
      <c r="O24" s="12"/>
      <c r="P24" s="12"/>
    </row>
    <row r="25" spans="1:19" ht="18.600000000000001" customHeight="1" x14ac:dyDescent="0.2">
      <c r="A25" s="35">
        <f t="shared" si="1"/>
        <v>21</v>
      </c>
      <c r="B25" s="13"/>
      <c r="C25" s="14"/>
      <c r="D25" s="37"/>
      <c r="E25" s="14"/>
      <c r="F25" s="14"/>
      <c r="G25" s="14"/>
      <c r="H25" s="14"/>
      <c r="I25" s="87"/>
      <c r="J25" s="14"/>
      <c r="K25" s="14"/>
      <c r="L25" s="14"/>
      <c r="M25" s="14"/>
      <c r="N25" s="14"/>
      <c r="O25" s="14"/>
      <c r="P25" s="14"/>
    </row>
    <row r="26" spans="1:19" ht="18.600000000000001" customHeight="1" x14ac:dyDescent="0.2">
      <c r="A26" s="7">
        <f t="shared" si="1"/>
        <v>22</v>
      </c>
      <c r="B26" s="3"/>
      <c r="C26" s="4"/>
      <c r="D26" s="8"/>
      <c r="E26" s="4"/>
      <c r="F26" s="4"/>
      <c r="G26" s="4"/>
      <c r="H26" s="4"/>
      <c r="I26" s="85"/>
      <c r="J26" s="4"/>
      <c r="K26" s="4"/>
      <c r="L26" s="4"/>
      <c r="M26" s="4"/>
      <c r="N26" s="4"/>
      <c r="O26" s="4"/>
      <c r="P26" s="4"/>
    </row>
    <row r="27" spans="1:19" ht="18.600000000000001" customHeight="1" x14ac:dyDescent="0.2">
      <c r="A27" s="35">
        <f t="shared" si="1"/>
        <v>23</v>
      </c>
      <c r="B27" s="3"/>
      <c r="C27" s="4"/>
      <c r="D27" s="8"/>
      <c r="E27" s="4"/>
      <c r="F27" s="4"/>
      <c r="G27" s="4"/>
      <c r="H27" s="4"/>
      <c r="I27" s="85"/>
      <c r="J27" s="4"/>
      <c r="K27" s="4"/>
      <c r="L27" s="4"/>
      <c r="M27" s="4"/>
      <c r="N27" s="4"/>
      <c r="O27" s="4"/>
      <c r="P27" s="4"/>
    </row>
    <row r="28" spans="1:19" ht="18.600000000000001" customHeight="1" x14ac:dyDescent="0.2">
      <c r="A28" s="7">
        <f t="shared" si="1"/>
        <v>24</v>
      </c>
      <c r="B28" s="3"/>
      <c r="C28" s="4"/>
      <c r="D28" s="8"/>
      <c r="E28" s="4"/>
      <c r="F28" s="4"/>
      <c r="G28" s="4"/>
      <c r="H28" s="4"/>
      <c r="I28" s="85"/>
      <c r="J28" s="4"/>
      <c r="K28" s="4"/>
      <c r="L28" s="4"/>
      <c r="M28" s="4"/>
      <c r="N28" s="4"/>
      <c r="O28" s="4"/>
      <c r="P28" s="4"/>
    </row>
    <row r="29" spans="1:19" ht="18.600000000000001" customHeight="1" x14ac:dyDescent="0.2">
      <c r="A29" s="35">
        <f t="shared" si="1"/>
        <v>25</v>
      </c>
      <c r="B29" s="11"/>
      <c r="C29" s="12"/>
      <c r="D29" s="9"/>
      <c r="E29" s="12"/>
      <c r="F29" s="12"/>
      <c r="G29" s="12"/>
      <c r="H29" s="12"/>
      <c r="I29" s="86"/>
      <c r="J29" s="12"/>
      <c r="K29" s="12"/>
      <c r="L29" s="12"/>
      <c r="M29" s="12"/>
      <c r="N29" s="12"/>
      <c r="O29" s="12"/>
      <c r="P29" s="12"/>
    </row>
    <row r="30" spans="1:19" ht="18.600000000000001" customHeight="1" x14ac:dyDescent="0.3">
      <c r="A30" s="147"/>
      <c r="B30" s="148"/>
      <c r="C30" s="147"/>
      <c r="D30" s="149"/>
      <c r="E30" s="150">
        <f>SUBTOTAL(9,E5:E29)</f>
        <v>0</v>
      </c>
      <c r="F30" s="151"/>
      <c r="G30" s="150">
        <f t="shared" ref="G30" si="2">SUBTOTAL(9,G5:G29)</f>
        <v>0</v>
      </c>
      <c r="H30" s="151"/>
      <c r="I30" s="150">
        <f t="shared" ref="I30" si="3">SUBTOTAL(9,I5:I29)</f>
        <v>0</v>
      </c>
      <c r="J30" s="151"/>
      <c r="K30" s="151"/>
      <c r="L30" s="151"/>
      <c r="M30" s="150">
        <f t="shared" ref="M30" si="4">SUBTOTAL(9,M5:M29)</f>
        <v>0</v>
      </c>
      <c r="N30" s="151"/>
      <c r="O30" s="150">
        <f t="shared" ref="O30" si="5">SUBTOTAL(9,O5:O29)</f>
        <v>0</v>
      </c>
      <c r="P30" s="151"/>
    </row>
    <row r="31" spans="1:19" ht="18.600000000000001" customHeight="1" x14ac:dyDescent="0.2">
      <c r="A31" s="434" t="str">
        <f>A1</f>
        <v>DANH SÁCH HÓA</v>
      </c>
      <c r="B31" s="434"/>
      <c r="C31" s="434"/>
      <c r="D31" s="434"/>
      <c r="E31" s="434"/>
      <c r="F31" s="434"/>
      <c r="G31" s="434"/>
      <c r="H31" s="434"/>
      <c r="I31" s="92" t="s">
        <v>1034</v>
      </c>
      <c r="J31" s="48"/>
      <c r="K31" s="48"/>
      <c r="L31" s="48"/>
      <c r="M31" s="41"/>
      <c r="N31" s="41"/>
      <c r="O31" s="41"/>
      <c r="P31" s="41"/>
    </row>
    <row r="32" spans="1:19" ht="18.600000000000001" customHeight="1" x14ac:dyDescent="0.2">
      <c r="A32" s="28"/>
      <c r="B32" s="29"/>
      <c r="C32" s="30"/>
      <c r="D32" s="36"/>
      <c r="E32" s="28"/>
      <c r="F32" s="28"/>
      <c r="G32" s="28"/>
      <c r="H32" s="28"/>
      <c r="I32" s="79"/>
      <c r="J32" s="28"/>
      <c r="K32" s="28"/>
      <c r="L32" s="28"/>
      <c r="M32" s="28"/>
      <c r="N32" s="28"/>
      <c r="O32" s="28"/>
      <c r="P32" s="28"/>
    </row>
    <row r="33" spans="1:16" ht="18.600000000000001" customHeight="1" x14ac:dyDescent="0.2">
      <c r="A33" s="435" t="s">
        <v>374</v>
      </c>
      <c r="B33" s="435" t="s">
        <v>380</v>
      </c>
      <c r="C33" s="435" t="s">
        <v>383</v>
      </c>
      <c r="D33" s="437" t="s">
        <v>384</v>
      </c>
      <c r="E33" s="438" t="s">
        <v>385</v>
      </c>
      <c r="F33" s="439"/>
      <c r="G33" s="432" t="str">
        <f>$R$1</f>
        <v>Đợt 6</v>
      </c>
      <c r="H33" s="433"/>
      <c r="I33" s="432" t="str">
        <f>$T$1</f>
        <v>Đợt 7</v>
      </c>
      <c r="J33" s="433"/>
      <c r="K33" s="432" t="str">
        <f>$V$1</f>
        <v>Đợt 8</v>
      </c>
      <c r="L33" s="433"/>
      <c r="M33" s="432" t="str">
        <f>$X$1</f>
        <v>Đợt 9</v>
      </c>
      <c r="N33" s="433"/>
      <c r="O33" s="432" t="str">
        <f>$Z$1</f>
        <v>Đợt 10</v>
      </c>
      <c r="P33" s="433"/>
    </row>
    <row r="34" spans="1:16" ht="18.600000000000001" customHeight="1" x14ac:dyDescent="0.2">
      <c r="A34" s="436"/>
      <c r="B34" s="436"/>
      <c r="C34" s="436"/>
      <c r="D34" s="436"/>
      <c r="E34" s="31" t="s">
        <v>381</v>
      </c>
      <c r="F34" s="31" t="s">
        <v>382</v>
      </c>
      <c r="G34" s="31" t="s">
        <v>381</v>
      </c>
      <c r="H34" s="31" t="s">
        <v>382</v>
      </c>
      <c r="I34" s="80" t="s">
        <v>381</v>
      </c>
      <c r="J34" s="31" t="s">
        <v>382</v>
      </c>
      <c r="K34" s="80" t="s">
        <v>381</v>
      </c>
      <c r="L34" s="31" t="s">
        <v>382</v>
      </c>
      <c r="M34" s="31" t="s">
        <v>381</v>
      </c>
      <c r="N34" s="31" t="s">
        <v>382</v>
      </c>
      <c r="O34" s="31" t="s">
        <v>381</v>
      </c>
      <c r="P34" s="31" t="s">
        <v>382</v>
      </c>
    </row>
    <row r="35" spans="1:16" ht="18.600000000000001" customHeight="1" x14ac:dyDescent="0.2">
      <c r="A35" s="32">
        <v>1</v>
      </c>
      <c r="B35" s="26"/>
      <c r="C35" s="26"/>
      <c r="D35" s="22"/>
      <c r="E35" s="32"/>
      <c r="F35" s="34"/>
      <c r="G35" s="32"/>
      <c r="H35" s="93"/>
      <c r="I35" s="81"/>
      <c r="J35" s="34"/>
      <c r="K35" s="34"/>
      <c r="L35" s="34"/>
      <c r="M35" s="32"/>
      <c r="N35" s="34"/>
      <c r="O35" s="32"/>
      <c r="P35" s="34"/>
    </row>
    <row r="36" spans="1:16" ht="18.600000000000001" customHeight="1" x14ac:dyDescent="0.2">
      <c r="A36" s="7">
        <f t="shared" ref="A36:A59" si="6">A35+1</f>
        <v>2</v>
      </c>
      <c r="B36" s="26"/>
      <c r="C36" s="26"/>
      <c r="D36" s="22"/>
      <c r="E36" s="7"/>
      <c r="F36" s="7"/>
      <c r="G36" s="7"/>
      <c r="H36" s="7"/>
      <c r="I36" s="82"/>
      <c r="J36" s="7"/>
      <c r="K36" s="7"/>
      <c r="L36" s="7"/>
      <c r="M36" s="7"/>
      <c r="N36" s="7"/>
      <c r="O36" s="7"/>
      <c r="P36" s="7"/>
    </row>
    <row r="37" spans="1:16" ht="18.600000000000001" customHeight="1" x14ac:dyDescent="0.2">
      <c r="A37" s="7">
        <f t="shared" si="6"/>
        <v>3</v>
      </c>
      <c r="B37" s="26"/>
      <c r="C37" s="26"/>
      <c r="D37" s="22"/>
      <c r="E37" s="7"/>
      <c r="F37" s="7"/>
      <c r="G37" s="7"/>
      <c r="H37" s="7"/>
      <c r="I37" s="82"/>
      <c r="J37" s="7"/>
      <c r="K37" s="7"/>
      <c r="L37" s="7"/>
      <c r="M37" s="7"/>
      <c r="N37" s="7"/>
      <c r="O37" s="7"/>
      <c r="P37" s="7"/>
    </row>
    <row r="38" spans="1:16" ht="18.600000000000001" customHeight="1" x14ac:dyDescent="0.2">
      <c r="A38" s="7">
        <f t="shared" si="6"/>
        <v>4</v>
      </c>
      <c r="B38" s="26"/>
      <c r="C38" s="26"/>
      <c r="D38" s="22"/>
      <c r="E38" s="7"/>
      <c r="F38" s="7"/>
      <c r="G38" s="7"/>
      <c r="H38" s="7"/>
      <c r="I38" s="82"/>
      <c r="J38" s="7"/>
      <c r="K38" s="7"/>
      <c r="L38" s="7"/>
      <c r="M38" s="7"/>
      <c r="N38" s="7"/>
      <c r="O38" s="7"/>
      <c r="P38" s="7"/>
    </row>
    <row r="39" spans="1:16" ht="18.600000000000001" customHeight="1" x14ac:dyDescent="0.2">
      <c r="A39" s="6">
        <f t="shared" si="6"/>
        <v>5</v>
      </c>
      <c r="B39" s="58"/>
      <c r="C39" s="58"/>
      <c r="D39" s="59"/>
      <c r="E39" s="16"/>
      <c r="F39" s="16"/>
      <c r="G39" s="16"/>
      <c r="H39" s="16"/>
      <c r="I39" s="83"/>
      <c r="J39" s="16"/>
      <c r="K39" s="16"/>
      <c r="L39" s="16"/>
      <c r="M39" s="16"/>
      <c r="N39" s="16"/>
      <c r="O39" s="16"/>
      <c r="P39" s="16"/>
    </row>
    <row r="40" spans="1:16" ht="18.600000000000001" customHeight="1" x14ac:dyDescent="0.2">
      <c r="A40" s="56">
        <f t="shared" si="6"/>
        <v>6</v>
      </c>
      <c r="B40" s="57"/>
      <c r="C40" s="57"/>
      <c r="D40" s="21"/>
      <c r="E40" s="2"/>
      <c r="F40" s="2"/>
      <c r="G40" s="2"/>
      <c r="H40" s="2"/>
      <c r="I40" s="84"/>
      <c r="J40" s="2"/>
      <c r="K40" s="2"/>
      <c r="L40" s="2"/>
      <c r="M40" s="2"/>
      <c r="N40" s="2"/>
      <c r="O40" s="2"/>
      <c r="P40" s="2"/>
    </row>
    <row r="41" spans="1:16" ht="18.600000000000001" customHeight="1" x14ac:dyDescent="0.2">
      <c r="A41" s="6">
        <f t="shared" si="6"/>
        <v>7</v>
      </c>
      <c r="B41" s="26"/>
      <c r="C41" s="26"/>
      <c r="D41" s="22"/>
      <c r="E41" s="4"/>
      <c r="F41" s="4"/>
      <c r="G41" s="4"/>
      <c r="H41" s="4"/>
      <c r="I41" s="85"/>
      <c r="J41" s="4"/>
      <c r="K41" s="4"/>
      <c r="L41" s="4"/>
      <c r="M41" s="4"/>
      <c r="N41" s="4"/>
      <c r="O41" s="4"/>
      <c r="P41" s="4"/>
    </row>
    <row r="42" spans="1:16" ht="18.600000000000001" customHeight="1" x14ac:dyDescent="0.2">
      <c r="A42" s="6">
        <f t="shared" si="6"/>
        <v>8</v>
      </c>
      <c r="B42" s="26"/>
      <c r="C42" s="26"/>
      <c r="D42" s="22"/>
      <c r="E42" s="4"/>
      <c r="F42" s="4"/>
      <c r="G42" s="4"/>
      <c r="H42" s="4"/>
      <c r="I42" s="85"/>
      <c r="J42" s="4"/>
      <c r="K42" s="4"/>
      <c r="L42" s="4"/>
      <c r="M42" s="4"/>
      <c r="N42" s="4"/>
      <c r="O42" s="4"/>
      <c r="P42" s="4"/>
    </row>
    <row r="43" spans="1:16" ht="18.600000000000001" customHeight="1" x14ac:dyDescent="0.2">
      <c r="A43" s="6">
        <f t="shared" si="6"/>
        <v>9</v>
      </c>
      <c r="B43" s="26"/>
      <c r="C43" s="26"/>
      <c r="D43" s="22"/>
      <c r="E43" s="4"/>
      <c r="F43" s="4"/>
      <c r="G43" s="4"/>
      <c r="H43" s="4"/>
      <c r="I43" s="85"/>
      <c r="J43" s="4"/>
      <c r="K43" s="4"/>
      <c r="L43" s="4"/>
      <c r="M43" s="4"/>
      <c r="N43" s="4"/>
      <c r="O43" s="4"/>
      <c r="P43" s="4"/>
    </row>
    <row r="44" spans="1:16" ht="18.600000000000001" customHeight="1" x14ac:dyDescent="0.2">
      <c r="A44" s="10">
        <f t="shared" si="6"/>
        <v>10</v>
      </c>
      <c r="B44" s="62"/>
      <c r="C44" s="62"/>
      <c r="D44" s="23"/>
      <c r="E44" s="12"/>
      <c r="F44" s="12"/>
      <c r="G44" s="12"/>
      <c r="H44" s="12"/>
      <c r="I44" s="86"/>
      <c r="J44" s="12"/>
      <c r="K44" s="12"/>
      <c r="L44" s="12"/>
      <c r="M44" s="12"/>
      <c r="N44" s="12"/>
      <c r="O44" s="12"/>
      <c r="P44" s="12"/>
    </row>
    <row r="45" spans="1:16" ht="18.600000000000001" customHeight="1" x14ac:dyDescent="0.2">
      <c r="A45" s="35">
        <f t="shared" si="6"/>
        <v>11</v>
      </c>
      <c r="B45" s="60"/>
      <c r="C45" s="60"/>
      <c r="D45" s="61"/>
      <c r="E45" s="14"/>
      <c r="F45" s="14"/>
      <c r="G45" s="14"/>
      <c r="H45" s="14"/>
      <c r="I45" s="87"/>
      <c r="J45" s="14"/>
      <c r="K45" s="14"/>
      <c r="L45" s="14"/>
      <c r="M45" s="14"/>
      <c r="N45" s="14"/>
      <c r="O45" s="14"/>
      <c r="P45" s="14"/>
    </row>
    <row r="46" spans="1:16" ht="18.600000000000001" customHeight="1" x14ac:dyDescent="0.2">
      <c r="A46" s="7">
        <f t="shared" si="6"/>
        <v>12</v>
      </c>
      <c r="B46" s="26"/>
      <c r="C46" s="26"/>
      <c r="D46" s="22"/>
      <c r="E46" s="4"/>
      <c r="F46" s="4"/>
      <c r="G46" s="4"/>
      <c r="H46" s="4"/>
      <c r="I46" s="85"/>
      <c r="J46" s="4"/>
      <c r="K46" s="4"/>
      <c r="L46" s="4"/>
      <c r="M46" s="4"/>
      <c r="N46" s="4"/>
      <c r="O46" s="4"/>
      <c r="P46" s="4"/>
    </row>
    <row r="47" spans="1:16" ht="18.600000000000001" customHeight="1" x14ac:dyDescent="0.2">
      <c r="A47" s="7">
        <f t="shared" si="6"/>
        <v>13</v>
      </c>
      <c r="B47" s="26"/>
      <c r="C47" s="26"/>
      <c r="D47" s="22"/>
      <c r="E47" s="4"/>
      <c r="F47" s="4"/>
      <c r="G47" s="4"/>
      <c r="H47" s="4"/>
      <c r="I47" s="85"/>
      <c r="J47" s="4"/>
      <c r="K47" s="4"/>
      <c r="L47" s="4"/>
      <c r="M47" s="4"/>
      <c r="N47" s="4"/>
      <c r="O47" s="4"/>
      <c r="P47" s="4"/>
    </row>
    <row r="48" spans="1:16" ht="18.600000000000001" customHeight="1" x14ac:dyDescent="0.2">
      <c r="A48" s="7">
        <f t="shared" si="6"/>
        <v>14</v>
      </c>
      <c r="B48" s="3"/>
      <c r="C48" s="4"/>
      <c r="D48" s="8"/>
      <c r="E48" s="4"/>
      <c r="F48" s="4"/>
      <c r="G48" s="4"/>
      <c r="H48" s="4"/>
      <c r="I48" s="85"/>
      <c r="J48" s="4"/>
      <c r="K48" s="4"/>
      <c r="L48" s="4"/>
      <c r="M48" s="4"/>
      <c r="N48" s="4"/>
      <c r="O48" s="4"/>
      <c r="P48" s="4"/>
    </row>
    <row r="49" spans="1:16" ht="18.600000000000001" customHeight="1" x14ac:dyDescent="0.2">
      <c r="A49" s="6">
        <f t="shared" si="6"/>
        <v>15</v>
      </c>
      <c r="B49" s="15"/>
      <c r="C49" s="16"/>
      <c r="D49" s="5"/>
      <c r="E49" s="16"/>
      <c r="F49" s="16"/>
      <c r="G49" s="16"/>
      <c r="H49" s="16"/>
      <c r="I49" s="83"/>
      <c r="J49" s="16"/>
      <c r="K49" s="16"/>
      <c r="L49" s="16"/>
      <c r="M49" s="16"/>
      <c r="N49" s="16"/>
      <c r="O49" s="16"/>
      <c r="P49" s="16"/>
    </row>
    <row r="50" spans="1:16" ht="18.600000000000001" customHeight="1" x14ac:dyDescent="0.2">
      <c r="A50" s="32">
        <f t="shared" si="6"/>
        <v>16</v>
      </c>
      <c r="B50" s="1"/>
      <c r="C50" s="2"/>
      <c r="D50" s="33"/>
      <c r="E50" s="2"/>
      <c r="F50" s="2"/>
      <c r="G50" s="2"/>
      <c r="H50" s="2"/>
      <c r="I50" s="84"/>
      <c r="J50" s="2"/>
      <c r="K50" s="2"/>
      <c r="L50" s="2"/>
      <c r="M50" s="2"/>
      <c r="N50" s="2"/>
      <c r="O50" s="2"/>
      <c r="P50" s="2"/>
    </row>
    <row r="51" spans="1:16" ht="18.600000000000001" customHeight="1" x14ac:dyDescent="0.2">
      <c r="A51" s="7">
        <f t="shared" si="6"/>
        <v>17</v>
      </c>
      <c r="B51" s="3"/>
      <c r="C51" s="4"/>
      <c r="D51" s="8"/>
      <c r="E51" s="4"/>
      <c r="F51" s="4"/>
      <c r="G51" s="4"/>
      <c r="H51" s="4"/>
      <c r="I51" s="85"/>
      <c r="J51" s="4"/>
      <c r="K51" s="4"/>
      <c r="L51" s="4"/>
      <c r="M51" s="4"/>
      <c r="N51" s="4"/>
      <c r="O51" s="4"/>
      <c r="P51" s="4"/>
    </row>
    <row r="52" spans="1:16" ht="18.600000000000001" customHeight="1" x14ac:dyDescent="0.2">
      <c r="A52" s="7">
        <f t="shared" si="6"/>
        <v>18</v>
      </c>
      <c r="B52" s="3"/>
      <c r="C52" s="4"/>
      <c r="D52" s="8"/>
      <c r="E52" s="4"/>
      <c r="F52" s="4"/>
      <c r="G52" s="4"/>
      <c r="H52" s="4"/>
      <c r="I52" s="85"/>
      <c r="J52" s="4"/>
      <c r="K52" s="4"/>
      <c r="L52" s="4"/>
      <c r="M52" s="4"/>
      <c r="N52" s="4"/>
      <c r="O52" s="4"/>
      <c r="P52" s="4"/>
    </row>
    <row r="53" spans="1:16" ht="18.600000000000001" customHeight="1" x14ac:dyDescent="0.2">
      <c r="A53" s="7">
        <f t="shared" si="6"/>
        <v>19</v>
      </c>
      <c r="B53" s="3"/>
      <c r="C53" s="4"/>
      <c r="D53" s="8"/>
      <c r="E53" s="4"/>
      <c r="F53" s="4"/>
      <c r="G53" s="4"/>
      <c r="H53" s="4"/>
      <c r="I53" s="85"/>
      <c r="J53" s="4"/>
      <c r="K53" s="4"/>
      <c r="L53" s="4"/>
      <c r="M53" s="4"/>
      <c r="N53" s="4"/>
      <c r="O53" s="4"/>
      <c r="P53" s="4"/>
    </row>
    <row r="54" spans="1:16" ht="18.600000000000001" customHeight="1" x14ac:dyDescent="0.2">
      <c r="A54" s="10">
        <f t="shared" si="6"/>
        <v>20</v>
      </c>
      <c r="B54" s="11"/>
      <c r="C54" s="12"/>
      <c r="D54" s="9"/>
      <c r="E54" s="12"/>
      <c r="F54" s="12"/>
      <c r="G54" s="12"/>
      <c r="H54" s="12"/>
      <c r="I54" s="86"/>
      <c r="J54" s="12"/>
      <c r="K54" s="12"/>
      <c r="L54" s="12"/>
      <c r="M54" s="12"/>
      <c r="N54" s="12"/>
      <c r="O54" s="12"/>
      <c r="P54" s="12"/>
    </row>
    <row r="55" spans="1:16" ht="18.600000000000001" customHeight="1" x14ac:dyDescent="0.2">
      <c r="A55" s="35">
        <f t="shared" si="6"/>
        <v>21</v>
      </c>
      <c r="B55" s="13"/>
      <c r="C55" s="14"/>
      <c r="D55" s="37"/>
      <c r="E55" s="14"/>
      <c r="F55" s="14"/>
      <c r="G55" s="14"/>
      <c r="H55" s="14"/>
      <c r="I55" s="87"/>
      <c r="J55" s="14"/>
      <c r="K55" s="14"/>
      <c r="L55" s="14"/>
      <c r="M55" s="14"/>
      <c r="N55" s="14"/>
      <c r="O55" s="14"/>
      <c r="P55" s="14"/>
    </row>
    <row r="56" spans="1:16" ht="18.600000000000001" customHeight="1" x14ac:dyDescent="0.2">
      <c r="A56" s="7">
        <f t="shared" si="6"/>
        <v>22</v>
      </c>
      <c r="B56" s="3"/>
      <c r="C56" s="4"/>
      <c r="D56" s="8"/>
      <c r="E56" s="4"/>
      <c r="F56" s="4"/>
      <c r="G56" s="4"/>
      <c r="H56" s="4"/>
      <c r="I56" s="85"/>
      <c r="J56" s="4"/>
      <c r="K56" s="4"/>
      <c r="L56" s="4"/>
      <c r="M56" s="4"/>
      <c r="N56" s="4"/>
      <c r="O56" s="4"/>
      <c r="P56" s="4"/>
    </row>
    <row r="57" spans="1:16" ht="18.600000000000001" customHeight="1" x14ac:dyDescent="0.2">
      <c r="A57" s="35">
        <f t="shared" si="6"/>
        <v>23</v>
      </c>
      <c r="B57" s="3"/>
      <c r="C57" s="4"/>
      <c r="D57" s="8"/>
      <c r="E57" s="4"/>
      <c r="F57" s="4"/>
      <c r="G57" s="4"/>
      <c r="H57" s="4"/>
      <c r="I57" s="85"/>
      <c r="J57" s="4"/>
      <c r="K57" s="4"/>
      <c r="L57" s="4"/>
      <c r="M57" s="4"/>
      <c r="N57" s="4"/>
      <c r="O57" s="4"/>
      <c r="P57" s="4"/>
    </row>
    <row r="58" spans="1:16" ht="18.600000000000001" customHeight="1" x14ac:dyDescent="0.2">
      <c r="A58" s="7">
        <f t="shared" si="6"/>
        <v>24</v>
      </c>
      <c r="B58" s="3"/>
      <c r="C58" s="4"/>
      <c r="D58" s="8"/>
      <c r="E58" s="4"/>
      <c r="F58" s="4"/>
      <c r="G58" s="4"/>
      <c r="H58" s="4"/>
      <c r="I58" s="85"/>
      <c r="J58" s="4"/>
      <c r="K58" s="4"/>
      <c r="L58" s="4"/>
      <c r="M58" s="4"/>
      <c r="N58" s="4"/>
      <c r="O58" s="4"/>
      <c r="P58" s="4"/>
    </row>
    <row r="59" spans="1:16" ht="18.600000000000001" customHeight="1" x14ac:dyDescent="0.2">
      <c r="A59" s="35">
        <f t="shared" si="6"/>
        <v>25</v>
      </c>
      <c r="B59" s="11"/>
      <c r="C59" s="12"/>
      <c r="D59" s="9"/>
      <c r="E59" s="12"/>
      <c r="F59" s="12"/>
      <c r="G59" s="12"/>
      <c r="H59" s="12"/>
      <c r="I59" s="86"/>
      <c r="J59" s="12"/>
      <c r="K59" s="12"/>
      <c r="L59" s="12"/>
      <c r="M59" s="12"/>
      <c r="N59" s="12"/>
      <c r="O59" s="12"/>
      <c r="P59" s="12"/>
    </row>
    <row r="60" spans="1:16" ht="18.600000000000001" customHeight="1" x14ac:dyDescent="0.3">
      <c r="A60" s="147"/>
      <c r="B60" s="148"/>
      <c r="C60" s="147"/>
      <c r="D60" s="149"/>
      <c r="E60" s="150">
        <f>SUBTOTAL(9,E35:E59)</f>
        <v>0</v>
      </c>
      <c r="F60" s="152"/>
      <c r="G60" s="150">
        <f t="shared" ref="G60" si="7">SUBTOTAL(9,G35:G59)</f>
        <v>0</v>
      </c>
      <c r="H60" s="152"/>
      <c r="I60" s="150">
        <f t="shared" ref="I60" si="8">SUBTOTAL(9,I35:I59)</f>
        <v>0</v>
      </c>
      <c r="J60" s="152"/>
      <c r="K60" s="152"/>
      <c r="L60" s="152"/>
      <c r="M60" s="150">
        <f t="shared" ref="M60" si="9">SUBTOTAL(9,M35:M59)</f>
        <v>0</v>
      </c>
      <c r="N60" s="152"/>
      <c r="O60" s="150">
        <f t="shared" ref="O60" si="10">SUBTOTAL(9,O35:O59)</f>
        <v>0</v>
      </c>
      <c r="P60" s="152"/>
    </row>
    <row r="61" spans="1:16" ht="18.600000000000001" customHeight="1" x14ac:dyDescent="0.2">
      <c r="A61" s="434" t="str">
        <f>A31</f>
        <v>DANH SÁCH HÓA</v>
      </c>
      <c r="B61" s="434"/>
      <c r="C61" s="434"/>
      <c r="D61" s="434"/>
      <c r="E61" s="434"/>
      <c r="F61" s="434"/>
      <c r="G61" s="434"/>
      <c r="H61" s="434"/>
      <c r="I61" s="92">
        <v>9</v>
      </c>
      <c r="J61" s="48"/>
      <c r="K61" s="48"/>
      <c r="L61" s="48"/>
      <c r="M61" s="41"/>
      <c r="N61" s="41"/>
      <c r="O61" s="41"/>
      <c r="P61" s="41"/>
    </row>
    <row r="62" spans="1:16" ht="18.600000000000001" customHeight="1" x14ac:dyDescent="0.2">
      <c r="A62" s="28"/>
      <c r="B62" s="29"/>
      <c r="C62" s="30"/>
      <c r="D62" s="36"/>
      <c r="E62" s="28"/>
      <c r="F62" s="28"/>
      <c r="G62" s="28"/>
      <c r="H62" s="28"/>
      <c r="I62" s="79"/>
      <c r="J62" s="28"/>
      <c r="K62" s="28"/>
      <c r="L62" s="28"/>
      <c r="M62" s="28"/>
      <c r="N62" s="28"/>
      <c r="O62" s="28"/>
      <c r="P62" s="28"/>
    </row>
    <row r="63" spans="1:16" ht="18.600000000000001" customHeight="1" x14ac:dyDescent="0.2">
      <c r="A63" s="435" t="s">
        <v>374</v>
      </c>
      <c r="B63" s="435" t="s">
        <v>380</v>
      </c>
      <c r="C63" s="435" t="s">
        <v>383</v>
      </c>
      <c r="D63" s="437" t="s">
        <v>384</v>
      </c>
      <c r="E63" s="438" t="s">
        <v>385</v>
      </c>
      <c r="F63" s="439"/>
      <c r="G63" s="432" t="str">
        <f>$R$1</f>
        <v>Đợt 6</v>
      </c>
      <c r="H63" s="433"/>
      <c r="I63" s="432" t="str">
        <f>$T$1</f>
        <v>Đợt 7</v>
      </c>
      <c r="J63" s="433"/>
      <c r="K63" s="432" t="str">
        <f>$V$1</f>
        <v>Đợt 8</v>
      </c>
      <c r="L63" s="433"/>
      <c r="M63" s="432" t="str">
        <f>$X$1</f>
        <v>Đợt 9</v>
      </c>
      <c r="N63" s="433"/>
      <c r="O63" s="432" t="str">
        <f>$Z$1</f>
        <v>Đợt 10</v>
      </c>
      <c r="P63" s="433"/>
    </row>
    <row r="64" spans="1:16" ht="18.600000000000001" customHeight="1" x14ac:dyDescent="0.2">
      <c r="A64" s="436"/>
      <c r="B64" s="436"/>
      <c r="C64" s="436"/>
      <c r="D64" s="436"/>
      <c r="E64" s="31" t="s">
        <v>381</v>
      </c>
      <c r="F64" s="31" t="s">
        <v>382</v>
      </c>
      <c r="G64" s="31" t="s">
        <v>381</v>
      </c>
      <c r="H64" s="31" t="s">
        <v>382</v>
      </c>
      <c r="I64" s="80" t="s">
        <v>381</v>
      </c>
      <c r="J64" s="31" t="s">
        <v>382</v>
      </c>
      <c r="K64" s="80" t="s">
        <v>381</v>
      </c>
      <c r="L64" s="31" t="s">
        <v>382</v>
      </c>
      <c r="M64" s="31" t="s">
        <v>381</v>
      </c>
      <c r="N64" s="31" t="s">
        <v>382</v>
      </c>
      <c r="O64" s="31" t="s">
        <v>381</v>
      </c>
      <c r="P64" s="31" t="s">
        <v>382</v>
      </c>
    </row>
    <row r="65" spans="1:16" ht="18.600000000000001" customHeight="1" x14ac:dyDescent="0.2">
      <c r="A65" s="32">
        <v>1</v>
      </c>
      <c r="B65" s="26"/>
      <c r="C65" s="26"/>
      <c r="D65" s="22"/>
      <c r="E65" s="32"/>
      <c r="F65" s="34"/>
      <c r="G65" s="32"/>
      <c r="H65" s="93"/>
      <c r="I65" s="81"/>
      <c r="J65" s="34"/>
      <c r="K65" s="34"/>
      <c r="L65" s="34"/>
      <c r="M65" s="32"/>
      <c r="N65" s="34"/>
      <c r="O65" s="32"/>
      <c r="P65" s="34"/>
    </row>
    <row r="66" spans="1:16" ht="18.600000000000001" customHeight="1" x14ac:dyDescent="0.2">
      <c r="A66" s="7">
        <f t="shared" ref="A66:A89" si="11">A65+1</f>
        <v>2</v>
      </c>
      <c r="B66" s="26"/>
      <c r="C66" s="26"/>
      <c r="D66" s="22"/>
      <c r="E66" s="7"/>
      <c r="F66" s="7"/>
      <c r="G66" s="7"/>
      <c r="H66" s="7"/>
      <c r="I66" s="82"/>
      <c r="J66" s="7"/>
      <c r="K66" s="7"/>
      <c r="L66" s="7"/>
      <c r="M66" s="7"/>
      <c r="N66" s="7"/>
      <c r="O66" s="7"/>
      <c r="P66" s="7"/>
    </row>
    <row r="67" spans="1:16" ht="18.600000000000001" customHeight="1" x14ac:dyDescent="0.2">
      <c r="A67" s="7">
        <f t="shared" si="11"/>
        <v>3</v>
      </c>
      <c r="B67" s="26"/>
      <c r="C67" s="26"/>
      <c r="D67" s="22"/>
      <c r="E67" s="7"/>
      <c r="F67" s="7"/>
      <c r="G67" s="7"/>
      <c r="H67" s="7"/>
      <c r="I67" s="82"/>
      <c r="J67" s="7"/>
      <c r="K67" s="7"/>
      <c r="L67" s="7"/>
      <c r="M67" s="7"/>
      <c r="N67" s="7"/>
      <c r="O67" s="7"/>
      <c r="P67" s="7"/>
    </row>
    <row r="68" spans="1:16" ht="18.600000000000001" customHeight="1" x14ac:dyDescent="0.2">
      <c r="A68" s="7">
        <f t="shared" si="11"/>
        <v>4</v>
      </c>
      <c r="B68" s="26"/>
      <c r="C68" s="26"/>
      <c r="D68" s="22"/>
      <c r="E68" s="7"/>
      <c r="F68" s="7"/>
      <c r="G68" s="7"/>
      <c r="H68" s="7"/>
      <c r="I68" s="82"/>
      <c r="J68" s="7"/>
      <c r="K68" s="7"/>
      <c r="L68" s="7"/>
      <c r="M68" s="7"/>
      <c r="N68" s="7"/>
      <c r="O68" s="7"/>
      <c r="P68" s="7"/>
    </row>
    <row r="69" spans="1:16" ht="18.600000000000001" customHeight="1" x14ac:dyDescent="0.2">
      <c r="A69" s="6">
        <f t="shared" si="11"/>
        <v>5</v>
      </c>
      <c r="B69" s="58"/>
      <c r="C69" s="58"/>
      <c r="D69" s="59"/>
      <c r="E69" s="16"/>
      <c r="F69" s="16"/>
      <c r="G69" s="16"/>
      <c r="H69" s="16"/>
      <c r="I69" s="83"/>
      <c r="J69" s="16"/>
      <c r="K69" s="16"/>
      <c r="L69" s="16"/>
      <c r="M69" s="16"/>
      <c r="N69" s="16"/>
      <c r="O69" s="16"/>
      <c r="P69" s="16"/>
    </row>
    <row r="70" spans="1:16" ht="18.600000000000001" customHeight="1" x14ac:dyDescent="0.2">
      <c r="A70" s="56">
        <f t="shared" si="11"/>
        <v>6</v>
      </c>
      <c r="B70" s="57"/>
      <c r="C70" s="57"/>
      <c r="D70" s="21"/>
      <c r="E70" s="2"/>
      <c r="F70" s="2"/>
      <c r="G70" s="2"/>
      <c r="H70" s="2"/>
      <c r="I70" s="84"/>
      <c r="J70" s="2"/>
      <c r="K70" s="2"/>
      <c r="L70" s="2"/>
      <c r="M70" s="2"/>
      <c r="N70" s="2"/>
      <c r="O70" s="2"/>
      <c r="P70" s="2"/>
    </row>
    <row r="71" spans="1:16" ht="18.600000000000001" customHeight="1" x14ac:dyDescent="0.2">
      <c r="A71" s="6">
        <f t="shared" si="11"/>
        <v>7</v>
      </c>
      <c r="B71" s="26"/>
      <c r="C71" s="26"/>
      <c r="D71" s="22"/>
      <c r="E71" s="4"/>
      <c r="F71" s="4"/>
      <c r="G71" s="4"/>
      <c r="H71" s="4"/>
      <c r="I71" s="85"/>
      <c r="J71" s="4"/>
      <c r="K71" s="4"/>
      <c r="L71" s="4"/>
      <c r="M71" s="4"/>
      <c r="N71" s="4"/>
      <c r="O71" s="4"/>
      <c r="P71" s="4"/>
    </row>
    <row r="72" spans="1:16" ht="18.600000000000001" customHeight="1" x14ac:dyDescent="0.2">
      <c r="A72" s="6">
        <f t="shared" si="11"/>
        <v>8</v>
      </c>
      <c r="B72" s="26"/>
      <c r="C72" s="26"/>
      <c r="D72" s="22"/>
      <c r="E72" s="4"/>
      <c r="F72" s="4"/>
      <c r="G72" s="4"/>
      <c r="H72" s="4"/>
      <c r="I72" s="85"/>
      <c r="J72" s="4"/>
      <c r="K72" s="4"/>
      <c r="L72" s="4"/>
      <c r="M72" s="4"/>
      <c r="N72" s="4"/>
      <c r="O72" s="4"/>
      <c r="P72" s="4"/>
    </row>
    <row r="73" spans="1:16" ht="18.600000000000001" customHeight="1" x14ac:dyDescent="0.2">
      <c r="A73" s="6">
        <f t="shared" si="11"/>
        <v>9</v>
      </c>
      <c r="B73" s="26"/>
      <c r="C73" s="26"/>
      <c r="D73" s="22"/>
      <c r="E73" s="4"/>
      <c r="F73" s="4"/>
      <c r="G73" s="4"/>
      <c r="H73" s="4"/>
      <c r="I73" s="85"/>
      <c r="J73" s="4"/>
      <c r="K73" s="4"/>
      <c r="L73" s="4"/>
      <c r="M73" s="4"/>
      <c r="N73" s="4"/>
      <c r="O73" s="4"/>
      <c r="P73" s="4"/>
    </row>
    <row r="74" spans="1:16" ht="18.600000000000001" customHeight="1" x14ac:dyDescent="0.2">
      <c r="A74" s="10">
        <f t="shared" si="11"/>
        <v>10</v>
      </c>
      <c r="B74" s="62"/>
      <c r="C74" s="62"/>
      <c r="D74" s="23"/>
      <c r="E74" s="12"/>
      <c r="F74" s="12"/>
      <c r="G74" s="12"/>
      <c r="H74" s="12"/>
      <c r="I74" s="86"/>
      <c r="J74" s="12"/>
      <c r="K74" s="12"/>
      <c r="L74" s="12"/>
      <c r="M74" s="12"/>
      <c r="N74" s="12"/>
      <c r="O74" s="12"/>
      <c r="P74" s="12"/>
    </row>
    <row r="75" spans="1:16" ht="18.600000000000001" customHeight="1" x14ac:dyDescent="0.2">
      <c r="A75" s="35">
        <f t="shared" si="11"/>
        <v>11</v>
      </c>
      <c r="B75" s="60"/>
      <c r="C75" s="60"/>
      <c r="D75" s="61"/>
      <c r="E75" s="14"/>
      <c r="F75" s="14"/>
      <c r="G75" s="14"/>
      <c r="H75" s="14"/>
      <c r="I75" s="87"/>
      <c r="J75" s="14"/>
      <c r="K75" s="14"/>
      <c r="L75" s="14"/>
      <c r="M75" s="14"/>
      <c r="N75" s="14"/>
      <c r="O75" s="14"/>
      <c r="P75" s="14"/>
    </row>
    <row r="76" spans="1:16" ht="18.600000000000001" customHeight="1" x14ac:dyDescent="0.2">
      <c r="A76" s="7">
        <f t="shared" si="11"/>
        <v>12</v>
      </c>
      <c r="B76" s="26"/>
      <c r="C76" s="26"/>
      <c r="D76" s="22"/>
      <c r="E76" s="4"/>
      <c r="F76" s="4"/>
      <c r="G76" s="4"/>
      <c r="H76" s="4"/>
      <c r="I76" s="85"/>
      <c r="J76" s="4"/>
      <c r="K76" s="4"/>
      <c r="L76" s="4"/>
      <c r="M76" s="4"/>
      <c r="N76" s="4"/>
      <c r="O76" s="4"/>
      <c r="P76" s="4"/>
    </row>
    <row r="77" spans="1:16" ht="18.600000000000001" customHeight="1" x14ac:dyDescent="0.2">
      <c r="A77" s="7">
        <f t="shared" si="11"/>
        <v>13</v>
      </c>
      <c r="B77" s="26"/>
      <c r="C77" s="26"/>
      <c r="D77" s="22"/>
      <c r="E77" s="4"/>
      <c r="F77" s="4"/>
      <c r="G77" s="4"/>
      <c r="H77" s="4"/>
      <c r="I77" s="85"/>
      <c r="J77" s="4"/>
      <c r="K77" s="4"/>
      <c r="L77" s="4"/>
      <c r="M77" s="4"/>
      <c r="N77" s="4"/>
      <c r="O77" s="4"/>
      <c r="P77" s="4"/>
    </row>
    <row r="78" spans="1:16" ht="18.600000000000001" customHeight="1" x14ac:dyDescent="0.2">
      <c r="A78" s="7">
        <f t="shared" si="11"/>
        <v>14</v>
      </c>
      <c r="B78" s="3"/>
      <c r="C78" s="4"/>
      <c r="D78" s="8"/>
      <c r="E78" s="4"/>
      <c r="F78" s="4"/>
      <c r="G78" s="4"/>
      <c r="H78" s="4"/>
      <c r="I78" s="85"/>
      <c r="J78" s="4"/>
      <c r="K78" s="4"/>
      <c r="L78" s="4"/>
      <c r="M78" s="4"/>
      <c r="N78" s="4"/>
      <c r="O78" s="4"/>
      <c r="P78" s="4"/>
    </row>
    <row r="79" spans="1:16" ht="18.600000000000001" customHeight="1" x14ac:dyDescent="0.2">
      <c r="A79" s="6">
        <f t="shared" si="11"/>
        <v>15</v>
      </c>
      <c r="B79" s="15"/>
      <c r="C79" s="16"/>
      <c r="D79" s="5"/>
      <c r="E79" s="16"/>
      <c r="F79" s="16"/>
      <c r="G79" s="16"/>
      <c r="H79" s="16"/>
      <c r="I79" s="83"/>
      <c r="J79" s="16"/>
      <c r="K79" s="16"/>
      <c r="L79" s="16"/>
      <c r="M79" s="16"/>
      <c r="N79" s="16"/>
      <c r="O79" s="16"/>
      <c r="P79" s="16"/>
    </row>
    <row r="80" spans="1:16" ht="18.600000000000001" customHeight="1" x14ac:dyDescent="0.2">
      <c r="A80" s="32">
        <f t="shared" si="11"/>
        <v>16</v>
      </c>
      <c r="B80" s="1"/>
      <c r="C80" s="2"/>
      <c r="D80" s="33"/>
      <c r="E80" s="2"/>
      <c r="F80" s="2"/>
      <c r="G80" s="2"/>
      <c r="H80" s="2"/>
      <c r="I80" s="84"/>
      <c r="J80" s="2"/>
      <c r="K80" s="2"/>
      <c r="L80" s="2"/>
      <c r="M80" s="2"/>
      <c r="N80" s="2"/>
      <c r="O80" s="2"/>
      <c r="P80" s="2"/>
    </row>
    <row r="81" spans="1:16" ht="18.600000000000001" customHeight="1" x14ac:dyDescent="0.2">
      <c r="A81" s="7">
        <f t="shared" si="11"/>
        <v>17</v>
      </c>
      <c r="B81" s="3"/>
      <c r="C81" s="4"/>
      <c r="D81" s="8"/>
      <c r="E81" s="4"/>
      <c r="F81" s="4"/>
      <c r="G81" s="4"/>
      <c r="H81" s="4"/>
      <c r="I81" s="85"/>
      <c r="J81" s="4"/>
      <c r="K81" s="4"/>
      <c r="L81" s="4"/>
      <c r="M81" s="4"/>
      <c r="N81" s="4"/>
      <c r="O81" s="4"/>
      <c r="P81" s="4"/>
    </row>
    <row r="82" spans="1:16" ht="18.600000000000001" customHeight="1" x14ac:dyDescent="0.2">
      <c r="A82" s="7">
        <f t="shared" si="11"/>
        <v>18</v>
      </c>
      <c r="B82" s="3"/>
      <c r="C82" s="4"/>
      <c r="D82" s="8"/>
      <c r="E82" s="4"/>
      <c r="F82" s="4"/>
      <c r="G82" s="4"/>
      <c r="H82" s="4"/>
      <c r="I82" s="85"/>
      <c r="J82" s="4"/>
      <c r="K82" s="4"/>
      <c r="L82" s="4"/>
      <c r="M82" s="4"/>
      <c r="N82" s="4"/>
      <c r="O82" s="4"/>
      <c r="P82" s="4"/>
    </row>
    <row r="83" spans="1:16" ht="18.600000000000001" customHeight="1" x14ac:dyDescent="0.2">
      <c r="A83" s="7">
        <f t="shared" si="11"/>
        <v>19</v>
      </c>
      <c r="B83" s="3"/>
      <c r="C83" s="4"/>
      <c r="D83" s="8"/>
      <c r="E83" s="4"/>
      <c r="F83" s="4"/>
      <c r="G83" s="4"/>
      <c r="H83" s="4"/>
      <c r="I83" s="85"/>
      <c r="J83" s="4"/>
      <c r="K83" s="4"/>
      <c r="L83" s="4"/>
      <c r="M83" s="4"/>
      <c r="N83" s="4"/>
      <c r="O83" s="4"/>
      <c r="P83" s="4"/>
    </row>
    <row r="84" spans="1:16" ht="18.600000000000001" customHeight="1" x14ac:dyDescent="0.2">
      <c r="A84" s="10">
        <f t="shared" si="11"/>
        <v>20</v>
      </c>
      <c r="B84" s="11"/>
      <c r="C84" s="12"/>
      <c r="D84" s="9"/>
      <c r="E84" s="12"/>
      <c r="F84" s="12"/>
      <c r="G84" s="12"/>
      <c r="H84" s="12"/>
      <c r="I84" s="86"/>
      <c r="J84" s="12"/>
      <c r="K84" s="12"/>
      <c r="L84" s="12"/>
      <c r="M84" s="12"/>
      <c r="N84" s="12"/>
      <c r="O84" s="12"/>
      <c r="P84" s="12"/>
    </row>
    <row r="85" spans="1:16" ht="18.600000000000001" customHeight="1" x14ac:dyDescent="0.2">
      <c r="A85" s="35">
        <f t="shared" si="11"/>
        <v>21</v>
      </c>
      <c r="B85" s="13"/>
      <c r="C85" s="14"/>
      <c r="D85" s="37"/>
      <c r="E85" s="14"/>
      <c r="F85" s="14"/>
      <c r="G85" s="14"/>
      <c r="H85" s="14"/>
      <c r="I85" s="87"/>
      <c r="J85" s="14"/>
      <c r="K85" s="14"/>
      <c r="L85" s="14"/>
      <c r="M85" s="14"/>
      <c r="N85" s="14"/>
      <c r="O85" s="14"/>
      <c r="P85" s="14"/>
    </row>
    <row r="86" spans="1:16" ht="18.600000000000001" customHeight="1" x14ac:dyDescent="0.2">
      <c r="A86" s="7">
        <f t="shared" si="11"/>
        <v>22</v>
      </c>
      <c r="B86" s="3"/>
      <c r="C86" s="4"/>
      <c r="D86" s="8"/>
      <c r="E86" s="4"/>
      <c r="F86" s="4"/>
      <c r="G86" s="4"/>
      <c r="H86" s="4"/>
      <c r="I86" s="85"/>
      <c r="J86" s="4"/>
      <c r="K86" s="4"/>
      <c r="L86" s="4"/>
      <c r="M86" s="4"/>
      <c r="N86" s="4"/>
      <c r="O86" s="4"/>
      <c r="P86" s="4"/>
    </row>
    <row r="87" spans="1:16" ht="18.600000000000001" customHeight="1" x14ac:dyDescent="0.2">
      <c r="A87" s="35">
        <f t="shared" si="11"/>
        <v>23</v>
      </c>
      <c r="B87" s="3"/>
      <c r="C87" s="4"/>
      <c r="D87" s="8"/>
      <c r="E87" s="4"/>
      <c r="F87" s="4"/>
      <c r="G87" s="4"/>
      <c r="H87" s="4"/>
      <c r="I87" s="85"/>
      <c r="J87" s="4"/>
      <c r="K87" s="4"/>
      <c r="L87" s="4"/>
      <c r="M87" s="4"/>
      <c r="N87" s="4"/>
      <c r="O87" s="4"/>
      <c r="P87" s="4"/>
    </row>
    <row r="88" spans="1:16" ht="18.600000000000001" customHeight="1" x14ac:dyDescent="0.2">
      <c r="A88" s="7">
        <f t="shared" si="11"/>
        <v>24</v>
      </c>
      <c r="B88" s="3"/>
      <c r="C88" s="4"/>
      <c r="D88" s="8"/>
      <c r="E88" s="4"/>
      <c r="F88" s="4"/>
      <c r="G88" s="4"/>
      <c r="H88" s="4"/>
      <c r="I88" s="85"/>
      <c r="J88" s="4"/>
      <c r="K88" s="4"/>
      <c r="L88" s="4"/>
      <c r="M88" s="4"/>
      <c r="N88" s="4"/>
      <c r="O88" s="4"/>
      <c r="P88" s="4"/>
    </row>
    <row r="89" spans="1:16" ht="18.600000000000001" customHeight="1" x14ac:dyDescent="0.2">
      <c r="A89" s="35">
        <f t="shared" si="11"/>
        <v>25</v>
      </c>
      <c r="B89" s="11"/>
      <c r="C89" s="12"/>
      <c r="D89" s="9"/>
      <c r="E89" s="12"/>
      <c r="F89" s="12"/>
      <c r="G89" s="12"/>
      <c r="H89" s="12"/>
      <c r="I89" s="86"/>
      <c r="J89" s="12"/>
      <c r="K89" s="12"/>
      <c r="L89" s="12"/>
      <c r="M89" s="12"/>
      <c r="N89" s="12"/>
      <c r="O89" s="12"/>
      <c r="P89" s="12"/>
    </row>
    <row r="90" spans="1:16" ht="18.600000000000001" customHeight="1" x14ac:dyDescent="0.3">
      <c r="A90" s="147"/>
      <c r="B90" s="148"/>
      <c r="C90" s="147"/>
      <c r="D90" s="149"/>
      <c r="E90" s="150">
        <f>SUBTOTAL(9,E65:E89)</f>
        <v>0</v>
      </c>
      <c r="F90" s="152"/>
      <c r="G90" s="150">
        <f t="shared" ref="G90" si="12">SUBTOTAL(9,G65:G89)</f>
        <v>0</v>
      </c>
      <c r="H90" s="152"/>
      <c r="I90" s="150">
        <f t="shared" ref="I90" si="13">SUBTOTAL(9,I65:I89)</f>
        <v>0</v>
      </c>
      <c r="J90" s="152"/>
      <c r="K90" s="152"/>
      <c r="L90" s="152"/>
      <c r="M90" s="150">
        <f t="shared" ref="M90" si="14">SUBTOTAL(9,M65:M89)</f>
        <v>0</v>
      </c>
      <c r="N90" s="152"/>
      <c r="O90" s="150">
        <f t="shared" ref="O90" si="15">SUBTOTAL(9,O65:O89)</f>
        <v>0</v>
      </c>
      <c r="P90" s="152"/>
    </row>
    <row r="91" spans="1:16" ht="18.600000000000001" customHeight="1" x14ac:dyDescent="0.2">
      <c r="A91" s="434" t="str">
        <f>A61</f>
        <v>DANH SÁCH HÓA</v>
      </c>
      <c r="B91" s="434"/>
      <c r="C91" s="434"/>
      <c r="D91" s="434"/>
      <c r="E91" s="434"/>
      <c r="F91" s="434"/>
      <c r="G91" s="434"/>
      <c r="H91" s="434"/>
      <c r="I91" s="92">
        <v>4</v>
      </c>
      <c r="J91" s="48"/>
      <c r="K91" s="48"/>
      <c r="L91" s="48"/>
      <c r="M91" s="41"/>
      <c r="N91" s="41"/>
      <c r="O91" s="41"/>
      <c r="P91" s="41"/>
    </row>
    <row r="92" spans="1:16" ht="18.600000000000001" customHeight="1" x14ac:dyDescent="0.2">
      <c r="A92" s="28"/>
      <c r="B92" s="29"/>
      <c r="C92" s="30"/>
      <c r="D92" s="36"/>
      <c r="E92" s="28"/>
      <c r="F92" s="28"/>
      <c r="G92" s="28"/>
      <c r="H92" s="28"/>
      <c r="I92" s="79"/>
      <c r="J92" s="28"/>
      <c r="K92" s="28"/>
      <c r="L92" s="28"/>
      <c r="M92" s="28"/>
      <c r="N92" s="28"/>
      <c r="O92" s="28"/>
      <c r="P92" s="28"/>
    </row>
    <row r="93" spans="1:16" ht="18.600000000000001" customHeight="1" x14ac:dyDescent="0.2">
      <c r="A93" s="435" t="s">
        <v>374</v>
      </c>
      <c r="B93" s="435" t="s">
        <v>380</v>
      </c>
      <c r="C93" s="435" t="s">
        <v>383</v>
      </c>
      <c r="D93" s="437" t="s">
        <v>384</v>
      </c>
      <c r="E93" s="438" t="s">
        <v>385</v>
      </c>
      <c r="F93" s="439"/>
      <c r="G93" s="432" t="str">
        <f>$R$1</f>
        <v>Đợt 6</v>
      </c>
      <c r="H93" s="433"/>
      <c r="I93" s="432" t="str">
        <f>$T$1</f>
        <v>Đợt 7</v>
      </c>
      <c r="J93" s="433"/>
      <c r="K93" s="432" t="str">
        <f>$V$1</f>
        <v>Đợt 8</v>
      </c>
      <c r="L93" s="433"/>
      <c r="M93" s="432" t="str">
        <f>$X$1</f>
        <v>Đợt 9</v>
      </c>
      <c r="N93" s="433"/>
      <c r="O93" s="432" t="str">
        <f>$Z$1</f>
        <v>Đợt 10</v>
      </c>
      <c r="P93" s="433"/>
    </row>
    <row r="94" spans="1:16" ht="18.600000000000001" customHeight="1" x14ac:dyDescent="0.2">
      <c r="A94" s="436"/>
      <c r="B94" s="436"/>
      <c r="C94" s="436"/>
      <c r="D94" s="436"/>
      <c r="E94" s="31" t="s">
        <v>381</v>
      </c>
      <c r="F94" s="31" t="s">
        <v>382</v>
      </c>
      <c r="G94" s="31" t="s">
        <v>381</v>
      </c>
      <c r="H94" s="31" t="s">
        <v>382</v>
      </c>
      <c r="I94" s="80" t="s">
        <v>381</v>
      </c>
      <c r="J94" s="31" t="s">
        <v>382</v>
      </c>
      <c r="K94" s="80" t="s">
        <v>381</v>
      </c>
      <c r="L94" s="31" t="s">
        <v>382</v>
      </c>
      <c r="M94" s="31" t="s">
        <v>381</v>
      </c>
      <c r="N94" s="31" t="s">
        <v>382</v>
      </c>
      <c r="O94" s="31" t="s">
        <v>381</v>
      </c>
      <c r="P94" s="31" t="s">
        <v>382</v>
      </c>
    </row>
    <row r="95" spans="1:16" ht="18.600000000000001" customHeight="1" x14ac:dyDescent="0.2">
      <c r="A95" s="32">
        <v>1</v>
      </c>
      <c r="B95" s="26"/>
      <c r="C95" s="26"/>
      <c r="D95" s="22"/>
      <c r="E95" s="32"/>
      <c r="F95" s="34"/>
      <c r="G95" s="32"/>
      <c r="H95" s="93"/>
      <c r="I95" s="81"/>
      <c r="J95" s="34"/>
      <c r="K95" s="34"/>
      <c r="L95" s="34"/>
      <c r="M95" s="32"/>
      <c r="N95" s="34"/>
      <c r="O95" s="32"/>
      <c r="P95" s="34"/>
    </row>
    <row r="96" spans="1:16" ht="18.600000000000001" customHeight="1" x14ac:dyDescent="0.2">
      <c r="A96" s="7">
        <f t="shared" ref="A96:A119" si="16">A95+1</f>
        <v>2</v>
      </c>
      <c r="B96" s="26"/>
      <c r="C96" s="26"/>
      <c r="D96" s="22"/>
      <c r="E96" s="7"/>
      <c r="F96" s="7"/>
      <c r="G96" s="7"/>
      <c r="H96" s="7"/>
      <c r="I96" s="82"/>
      <c r="J96" s="7"/>
      <c r="K96" s="7"/>
      <c r="L96" s="7"/>
      <c r="M96" s="7"/>
      <c r="N96" s="7"/>
      <c r="O96" s="7"/>
      <c r="P96" s="7"/>
    </row>
    <row r="97" spans="1:16" ht="18.600000000000001" customHeight="1" x14ac:dyDescent="0.2">
      <c r="A97" s="7">
        <f t="shared" si="16"/>
        <v>3</v>
      </c>
      <c r="B97" s="26"/>
      <c r="C97" s="26"/>
      <c r="D97" s="22"/>
      <c r="E97" s="7"/>
      <c r="F97" s="7"/>
      <c r="G97" s="7"/>
      <c r="H97" s="7"/>
      <c r="I97" s="82"/>
      <c r="J97" s="7"/>
      <c r="K97" s="7"/>
      <c r="L97" s="7"/>
      <c r="M97" s="7"/>
      <c r="N97" s="7"/>
      <c r="O97" s="7"/>
      <c r="P97" s="7"/>
    </row>
    <row r="98" spans="1:16" ht="18.600000000000001" customHeight="1" x14ac:dyDescent="0.2">
      <c r="A98" s="7">
        <f t="shared" si="16"/>
        <v>4</v>
      </c>
      <c r="B98" s="26"/>
      <c r="C98" s="26"/>
      <c r="D98" s="22"/>
      <c r="E98" s="7"/>
      <c r="F98" s="7"/>
      <c r="G98" s="7"/>
      <c r="H98" s="7"/>
      <c r="I98" s="82"/>
      <c r="J98" s="7"/>
      <c r="K98" s="7"/>
      <c r="L98" s="7"/>
      <c r="M98" s="7"/>
      <c r="N98" s="7"/>
      <c r="O98" s="7"/>
      <c r="P98" s="7"/>
    </row>
    <row r="99" spans="1:16" ht="18.600000000000001" customHeight="1" x14ac:dyDescent="0.2">
      <c r="A99" s="6">
        <f t="shared" si="16"/>
        <v>5</v>
      </c>
      <c r="B99" s="58"/>
      <c r="C99" s="58"/>
      <c r="D99" s="59"/>
      <c r="E99" s="16"/>
      <c r="F99" s="16"/>
      <c r="G99" s="16"/>
      <c r="H99" s="16"/>
      <c r="I99" s="83"/>
      <c r="J99" s="16"/>
      <c r="K99" s="16"/>
      <c r="L99" s="16"/>
      <c r="M99" s="16"/>
      <c r="N99" s="16"/>
      <c r="O99" s="16"/>
      <c r="P99" s="16"/>
    </row>
    <row r="100" spans="1:16" ht="18.600000000000001" customHeight="1" x14ac:dyDescent="0.2">
      <c r="A100" s="56">
        <f t="shared" si="16"/>
        <v>6</v>
      </c>
      <c r="B100" s="57"/>
      <c r="C100" s="57"/>
      <c r="D100" s="21"/>
      <c r="E100" s="2"/>
      <c r="F100" s="2"/>
      <c r="G100" s="2"/>
      <c r="H100" s="2"/>
      <c r="I100" s="84"/>
      <c r="J100" s="2"/>
      <c r="K100" s="2"/>
      <c r="L100" s="2"/>
      <c r="M100" s="2"/>
      <c r="N100" s="2"/>
      <c r="O100" s="2"/>
      <c r="P100" s="2"/>
    </row>
    <row r="101" spans="1:16" ht="18.600000000000001" customHeight="1" x14ac:dyDescent="0.2">
      <c r="A101" s="6">
        <f t="shared" si="16"/>
        <v>7</v>
      </c>
      <c r="B101" s="26"/>
      <c r="C101" s="26"/>
      <c r="D101" s="22"/>
      <c r="E101" s="4"/>
      <c r="F101" s="4"/>
      <c r="G101" s="4"/>
      <c r="H101" s="4"/>
      <c r="I101" s="85"/>
      <c r="J101" s="4"/>
      <c r="K101" s="4"/>
      <c r="L101" s="4"/>
      <c r="M101" s="4"/>
      <c r="N101" s="4"/>
      <c r="O101" s="4"/>
      <c r="P101" s="4"/>
    </row>
    <row r="102" spans="1:16" ht="18.600000000000001" customHeight="1" x14ac:dyDescent="0.2">
      <c r="A102" s="6">
        <f t="shared" si="16"/>
        <v>8</v>
      </c>
      <c r="B102" s="26"/>
      <c r="C102" s="26"/>
      <c r="D102" s="22"/>
      <c r="E102" s="4"/>
      <c r="F102" s="4"/>
      <c r="G102" s="4"/>
      <c r="H102" s="4"/>
      <c r="I102" s="85"/>
      <c r="J102" s="4"/>
      <c r="K102" s="4"/>
      <c r="L102" s="4"/>
      <c r="M102" s="4"/>
      <c r="N102" s="4"/>
      <c r="O102" s="4"/>
      <c r="P102" s="4"/>
    </row>
    <row r="103" spans="1:16" ht="18.600000000000001" customHeight="1" x14ac:dyDescent="0.2">
      <c r="A103" s="6">
        <f t="shared" si="16"/>
        <v>9</v>
      </c>
      <c r="B103" s="26"/>
      <c r="C103" s="26"/>
      <c r="D103" s="22"/>
      <c r="E103" s="4"/>
      <c r="F103" s="4"/>
      <c r="G103" s="4"/>
      <c r="H103" s="4"/>
      <c r="I103" s="85"/>
      <c r="J103" s="4"/>
      <c r="K103" s="4"/>
      <c r="L103" s="4"/>
      <c r="M103" s="4"/>
      <c r="N103" s="4"/>
      <c r="O103" s="4"/>
      <c r="P103" s="4"/>
    </row>
    <row r="104" spans="1:16" ht="18.600000000000001" customHeight="1" x14ac:dyDescent="0.2">
      <c r="A104" s="10">
        <f t="shared" si="16"/>
        <v>10</v>
      </c>
      <c r="B104" s="62"/>
      <c r="C104" s="62"/>
      <c r="D104" s="23"/>
      <c r="E104" s="12"/>
      <c r="F104" s="12"/>
      <c r="G104" s="12"/>
      <c r="H104" s="12"/>
      <c r="I104" s="86"/>
      <c r="J104" s="12"/>
      <c r="K104" s="12"/>
      <c r="L104" s="12"/>
      <c r="M104" s="12"/>
      <c r="N104" s="12"/>
      <c r="O104" s="12"/>
      <c r="P104" s="12"/>
    </row>
    <row r="105" spans="1:16" ht="18.600000000000001" customHeight="1" x14ac:dyDescent="0.2">
      <c r="A105" s="35">
        <f t="shared" si="16"/>
        <v>11</v>
      </c>
      <c r="B105" s="60"/>
      <c r="C105" s="60"/>
      <c r="D105" s="61"/>
      <c r="E105" s="14"/>
      <c r="F105" s="14"/>
      <c r="G105" s="14"/>
      <c r="H105" s="14"/>
      <c r="I105" s="87"/>
      <c r="J105" s="14"/>
      <c r="K105" s="14"/>
      <c r="L105" s="14"/>
      <c r="M105" s="14"/>
      <c r="N105" s="14"/>
      <c r="O105" s="14"/>
      <c r="P105" s="14"/>
    </row>
    <row r="106" spans="1:16" ht="18.600000000000001" customHeight="1" x14ac:dyDescent="0.2">
      <c r="A106" s="7">
        <f t="shared" si="16"/>
        <v>12</v>
      </c>
      <c r="B106" s="26"/>
      <c r="C106" s="26"/>
      <c r="D106" s="22"/>
      <c r="E106" s="4"/>
      <c r="F106" s="4"/>
      <c r="G106" s="4"/>
      <c r="H106" s="4"/>
      <c r="I106" s="85"/>
      <c r="J106" s="4"/>
      <c r="K106" s="4"/>
      <c r="L106" s="4"/>
      <c r="M106" s="4"/>
      <c r="N106" s="4"/>
      <c r="O106" s="4"/>
      <c r="P106" s="4"/>
    </row>
    <row r="107" spans="1:16" ht="18.600000000000001" customHeight="1" x14ac:dyDescent="0.2">
      <c r="A107" s="7">
        <f t="shared" si="16"/>
        <v>13</v>
      </c>
      <c r="B107" s="26"/>
      <c r="C107" s="26"/>
      <c r="D107" s="22"/>
      <c r="E107" s="4"/>
      <c r="F107" s="4"/>
      <c r="G107" s="4"/>
      <c r="H107" s="4"/>
      <c r="I107" s="85"/>
      <c r="J107" s="4"/>
      <c r="K107" s="4"/>
      <c r="L107" s="4"/>
      <c r="M107" s="4"/>
      <c r="N107" s="4"/>
      <c r="O107" s="4"/>
      <c r="P107" s="4"/>
    </row>
    <row r="108" spans="1:16" ht="18.600000000000001" customHeight="1" x14ac:dyDescent="0.2">
      <c r="A108" s="7">
        <f t="shared" si="16"/>
        <v>14</v>
      </c>
      <c r="B108" s="3"/>
      <c r="C108" s="4"/>
      <c r="D108" s="8"/>
      <c r="E108" s="4"/>
      <c r="F108" s="4"/>
      <c r="G108" s="4"/>
      <c r="H108" s="4"/>
      <c r="I108" s="85"/>
      <c r="J108" s="4"/>
      <c r="K108" s="4"/>
      <c r="L108" s="4"/>
      <c r="M108" s="4"/>
      <c r="N108" s="4"/>
      <c r="O108" s="4"/>
      <c r="P108" s="4"/>
    </row>
    <row r="109" spans="1:16" ht="18.600000000000001" customHeight="1" x14ac:dyDescent="0.2">
      <c r="A109" s="6">
        <f t="shared" si="16"/>
        <v>15</v>
      </c>
      <c r="B109" s="15"/>
      <c r="C109" s="16"/>
      <c r="D109" s="5"/>
      <c r="E109" s="16"/>
      <c r="F109" s="16"/>
      <c r="G109" s="16"/>
      <c r="H109" s="16"/>
      <c r="I109" s="83"/>
      <c r="J109" s="16"/>
      <c r="K109" s="16"/>
      <c r="L109" s="16"/>
      <c r="M109" s="16"/>
      <c r="N109" s="16"/>
      <c r="O109" s="16"/>
      <c r="P109" s="16"/>
    </row>
    <row r="110" spans="1:16" ht="18.600000000000001" customHeight="1" x14ac:dyDescent="0.2">
      <c r="A110" s="32">
        <f t="shared" si="16"/>
        <v>16</v>
      </c>
      <c r="B110" s="1"/>
      <c r="C110" s="2"/>
      <c r="D110" s="33"/>
      <c r="E110" s="2"/>
      <c r="F110" s="2"/>
      <c r="G110" s="2"/>
      <c r="H110" s="2"/>
      <c r="I110" s="84"/>
      <c r="J110" s="2"/>
      <c r="K110" s="2"/>
      <c r="L110" s="2"/>
      <c r="M110" s="2"/>
      <c r="N110" s="2"/>
      <c r="O110" s="2"/>
      <c r="P110" s="2"/>
    </row>
    <row r="111" spans="1:16" ht="18.600000000000001" customHeight="1" x14ac:dyDescent="0.2">
      <c r="A111" s="7">
        <f t="shared" si="16"/>
        <v>17</v>
      </c>
      <c r="B111" s="3"/>
      <c r="C111" s="4"/>
      <c r="D111" s="8"/>
      <c r="E111" s="4"/>
      <c r="F111" s="4"/>
      <c r="G111" s="4"/>
      <c r="H111" s="4"/>
      <c r="I111" s="85"/>
      <c r="J111" s="4"/>
      <c r="K111" s="4"/>
      <c r="L111" s="4"/>
      <c r="M111" s="4"/>
      <c r="N111" s="4"/>
      <c r="O111" s="4"/>
      <c r="P111" s="4"/>
    </row>
    <row r="112" spans="1:16" ht="18.600000000000001" customHeight="1" x14ac:dyDescent="0.2">
      <c r="A112" s="7">
        <f t="shared" si="16"/>
        <v>18</v>
      </c>
      <c r="B112" s="3"/>
      <c r="C112" s="4"/>
      <c r="D112" s="8"/>
      <c r="E112" s="4"/>
      <c r="F112" s="4"/>
      <c r="G112" s="4"/>
      <c r="H112" s="4"/>
      <c r="I112" s="85"/>
      <c r="J112" s="4"/>
      <c r="K112" s="4"/>
      <c r="L112" s="4"/>
      <c r="M112" s="4"/>
      <c r="N112" s="4"/>
      <c r="O112" s="4"/>
      <c r="P112" s="4"/>
    </row>
    <row r="113" spans="1:16" ht="18.600000000000001" customHeight="1" x14ac:dyDescent="0.2">
      <c r="A113" s="7">
        <f t="shared" si="16"/>
        <v>19</v>
      </c>
      <c r="B113" s="3"/>
      <c r="C113" s="4"/>
      <c r="D113" s="8"/>
      <c r="E113" s="4"/>
      <c r="F113" s="4"/>
      <c r="G113" s="4"/>
      <c r="H113" s="4"/>
      <c r="I113" s="85"/>
      <c r="J113" s="4"/>
      <c r="K113" s="4"/>
      <c r="L113" s="4"/>
      <c r="M113" s="4"/>
      <c r="N113" s="4"/>
      <c r="O113" s="4"/>
      <c r="P113" s="4"/>
    </row>
    <row r="114" spans="1:16" ht="18.600000000000001" customHeight="1" x14ac:dyDescent="0.2">
      <c r="A114" s="10">
        <f t="shared" si="16"/>
        <v>20</v>
      </c>
      <c r="B114" s="11"/>
      <c r="C114" s="12"/>
      <c r="D114" s="9"/>
      <c r="E114" s="12"/>
      <c r="F114" s="12"/>
      <c r="G114" s="12"/>
      <c r="H114" s="12"/>
      <c r="I114" s="86"/>
      <c r="J114" s="12"/>
      <c r="K114" s="12"/>
      <c r="L114" s="12"/>
      <c r="M114" s="12"/>
      <c r="N114" s="12"/>
      <c r="O114" s="12"/>
      <c r="P114" s="12"/>
    </row>
    <row r="115" spans="1:16" ht="18.600000000000001" customHeight="1" x14ac:dyDescent="0.2">
      <c r="A115" s="35">
        <f t="shared" si="16"/>
        <v>21</v>
      </c>
      <c r="B115" s="13"/>
      <c r="C115" s="14"/>
      <c r="D115" s="37"/>
      <c r="E115" s="14"/>
      <c r="F115" s="14"/>
      <c r="G115" s="14"/>
      <c r="H115" s="14"/>
      <c r="I115" s="87"/>
      <c r="J115" s="14"/>
      <c r="K115" s="14"/>
      <c r="L115" s="14"/>
      <c r="M115" s="14"/>
      <c r="N115" s="14"/>
      <c r="O115" s="14"/>
      <c r="P115" s="14"/>
    </row>
    <row r="116" spans="1:16" ht="18.600000000000001" customHeight="1" x14ac:dyDescent="0.2">
      <c r="A116" s="7">
        <f t="shared" si="16"/>
        <v>22</v>
      </c>
      <c r="B116" s="3"/>
      <c r="C116" s="4"/>
      <c r="D116" s="8"/>
      <c r="E116" s="4"/>
      <c r="F116" s="4"/>
      <c r="G116" s="4"/>
      <c r="H116" s="4"/>
      <c r="I116" s="85"/>
      <c r="J116" s="4"/>
      <c r="K116" s="4"/>
      <c r="L116" s="4"/>
      <c r="M116" s="4"/>
      <c r="N116" s="4"/>
      <c r="O116" s="4"/>
      <c r="P116" s="4"/>
    </row>
    <row r="117" spans="1:16" ht="18.600000000000001" customHeight="1" x14ac:dyDescent="0.2">
      <c r="A117" s="35">
        <f t="shared" si="16"/>
        <v>23</v>
      </c>
      <c r="B117" s="3"/>
      <c r="C117" s="4"/>
      <c r="D117" s="8"/>
      <c r="E117" s="4"/>
      <c r="F117" s="4"/>
      <c r="G117" s="4"/>
      <c r="H117" s="4"/>
      <c r="I117" s="85"/>
      <c r="J117" s="4"/>
      <c r="K117" s="4"/>
      <c r="L117" s="4"/>
      <c r="M117" s="4"/>
      <c r="N117" s="4"/>
      <c r="O117" s="4"/>
      <c r="P117" s="4"/>
    </row>
    <row r="118" spans="1:16" ht="18.600000000000001" customHeight="1" x14ac:dyDescent="0.2">
      <c r="A118" s="7">
        <f t="shared" si="16"/>
        <v>24</v>
      </c>
      <c r="B118" s="3"/>
      <c r="C118" s="4"/>
      <c r="D118" s="8"/>
      <c r="E118" s="4"/>
      <c r="F118" s="4"/>
      <c r="G118" s="4"/>
      <c r="H118" s="4"/>
      <c r="I118" s="85"/>
      <c r="J118" s="4"/>
      <c r="K118" s="4"/>
      <c r="L118" s="4"/>
      <c r="M118" s="4"/>
      <c r="N118" s="4"/>
      <c r="O118" s="4"/>
      <c r="P118" s="4"/>
    </row>
    <row r="119" spans="1:16" ht="18.600000000000001" customHeight="1" x14ac:dyDescent="0.2">
      <c r="A119" s="35">
        <f t="shared" si="16"/>
        <v>25</v>
      </c>
      <c r="B119" s="11"/>
      <c r="C119" s="12"/>
      <c r="D119" s="9"/>
      <c r="E119" s="12"/>
      <c r="F119" s="12"/>
      <c r="G119" s="12"/>
      <c r="H119" s="12"/>
      <c r="I119" s="86"/>
      <c r="J119" s="12"/>
      <c r="K119" s="12"/>
      <c r="L119" s="12"/>
      <c r="M119" s="12"/>
      <c r="N119" s="12"/>
      <c r="O119" s="12"/>
      <c r="P119" s="12"/>
    </row>
    <row r="120" spans="1:16" ht="18.600000000000001" customHeight="1" x14ac:dyDescent="0.3">
      <c r="A120" s="147"/>
      <c r="B120" s="148"/>
      <c r="C120" s="147"/>
      <c r="D120" s="149"/>
      <c r="E120" s="150">
        <f>SUBTOTAL(9,E95:E119)</f>
        <v>0</v>
      </c>
      <c r="F120" s="152"/>
      <c r="G120" s="150">
        <f t="shared" ref="G120" si="17">SUBTOTAL(9,G95:G119)</f>
        <v>0</v>
      </c>
      <c r="H120" s="152"/>
      <c r="I120" s="150">
        <f t="shared" ref="I120" si="18">SUBTOTAL(9,I95:I119)</f>
        <v>0</v>
      </c>
      <c r="J120" s="152"/>
      <c r="K120" s="152"/>
      <c r="L120" s="152"/>
      <c r="M120" s="150">
        <f t="shared" ref="M120" si="19">SUBTOTAL(9,M95:M119)</f>
        <v>0</v>
      </c>
      <c r="N120" s="152"/>
      <c r="O120" s="150">
        <f t="shared" ref="O120" si="20">SUBTOTAL(9,O95:O119)</f>
        <v>0</v>
      </c>
      <c r="P120" s="152"/>
    </row>
    <row r="121" spans="1:16" ht="18.600000000000001" customHeight="1" x14ac:dyDescent="0.2">
      <c r="A121" s="434" t="str">
        <f>A91</f>
        <v>DANH SÁCH HÓA</v>
      </c>
      <c r="B121" s="434"/>
      <c r="C121" s="434"/>
      <c r="D121" s="434"/>
      <c r="E121" s="434"/>
      <c r="F121" s="434"/>
      <c r="G121" s="434"/>
      <c r="H121" s="434"/>
      <c r="I121" s="92">
        <v>5</v>
      </c>
      <c r="J121" s="48"/>
      <c r="K121" s="48"/>
      <c r="L121" s="48"/>
      <c r="M121" s="41"/>
      <c r="N121" s="41"/>
      <c r="O121" s="41"/>
      <c r="P121" s="41"/>
    </row>
    <row r="122" spans="1:16" ht="18.600000000000001" customHeight="1" x14ac:dyDescent="0.2">
      <c r="A122" s="28"/>
      <c r="B122" s="29"/>
      <c r="C122" s="30"/>
      <c r="D122" s="36"/>
      <c r="E122" s="28"/>
      <c r="F122" s="28"/>
      <c r="G122" s="28"/>
      <c r="H122" s="28"/>
      <c r="I122" s="79"/>
      <c r="J122" s="28"/>
      <c r="K122" s="28"/>
      <c r="L122" s="28"/>
      <c r="M122" s="28"/>
      <c r="N122" s="28"/>
      <c r="O122" s="28"/>
      <c r="P122" s="28"/>
    </row>
    <row r="123" spans="1:16" ht="18.600000000000001" customHeight="1" x14ac:dyDescent="0.2">
      <c r="A123" s="435" t="s">
        <v>374</v>
      </c>
      <c r="B123" s="435" t="s">
        <v>380</v>
      </c>
      <c r="C123" s="435" t="s">
        <v>383</v>
      </c>
      <c r="D123" s="437" t="s">
        <v>384</v>
      </c>
      <c r="E123" s="438" t="s">
        <v>385</v>
      </c>
      <c r="F123" s="439"/>
      <c r="G123" s="432" t="str">
        <f>$R$1</f>
        <v>Đợt 6</v>
      </c>
      <c r="H123" s="433"/>
      <c r="I123" s="432" t="str">
        <f>$T$1</f>
        <v>Đợt 7</v>
      </c>
      <c r="J123" s="433"/>
      <c r="K123" s="432" t="str">
        <f>$V$1</f>
        <v>Đợt 8</v>
      </c>
      <c r="L123" s="433"/>
      <c r="M123" s="432" t="str">
        <f>$X$1</f>
        <v>Đợt 9</v>
      </c>
      <c r="N123" s="433"/>
      <c r="O123" s="432" t="str">
        <f>$Z$1</f>
        <v>Đợt 10</v>
      </c>
      <c r="P123" s="433"/>
    </row>
    <row r="124" spans="1:16" ht="18.600000000000001" customHeight="1" x14ac:dyDescent="0.2">
      <c r="A124" s="436"/>
      <c r="B124" s="436"/>
      <c r="C124" s="436"/>
      <c r="D124" s="436"/>
      <c r="E124" s="31" t="s">
        <v>381</v>
      </c>
      <c r="F124" s="31" t="s">
        <v>382</v>
      </c>
      <c r="G124" s="31" t="s">
        <v>381</v>
      </c>
      <c r="H124" s="31" t="s">
        <v>382</v>
      </c>
      <c r="I124" s="80" t="s">
        <v>381</v>
      </c>
      <c r="J124" s="31" t="s">
        <v>382</v>
      </c>
      <c r="K124" s="80" t="s">
        <v>381</v>
      </c>
      <c r="L124" s="31" t="s">
        <v>382</v>
      </c>
      <c r="M124" s="31" t="s">
        <v>381</v>
      </c>
      <c r="N124" s="31" t="s">
        <v>382</v>
      </c>
      <c r="O124" s="31" t="s">
        <v>381</v>
      </c>
      <c r="P124" s="31" t="s">
        <v>382</v>
      </c>
    </row>
    <row r="125" spans="1:16" ht="18.600000000000001" customHeight="1" x14ac:dyDescent="0.2">
      <c r="A125" s="32">
        <v>1</v>
      </c>
      <c r="B125" s="26"/>
      <c r="C125" s="26"/>
      <c r="D125" s="22"/>
      <c r="E125" s="32"/>
      <c r="F125" s="34"/>
      <c r="G125" s="32"/>
      <c r="H125" s="93"/>
      <c r="I125" s="81"/>
      <c r="J125" s="34"/>
      <c r="K125" s="34"/>
      <c r="L125" s="34"/>
      <c r="M125" s="32"/>
      <c r="N125" s="34"/>
      <c r="O125" s="32"/>
      <c r="P125" s="34"/>
    </row>
    <row r="126" spans="1:16" ht="18.600000000000001" customHeight="1" x14ac:dyDescent="0.2">
      <c r="A126" s="7">
        <f t="shared" ref="A126:A149" si="21">A125+1</f>
        <v>2</v>
      </c>
      <c r="B126" s="26"/>
      <c r="C126" s="26"/>
      <c r="D126" s="22"/>
      <c r="E126" s="7"/>
      <c r="F126" s="7"/>
      <c r="G126" s="7"/>
      <c r="H126" s="7"/>
      <c r="I126" s="82"/>
      <c r="J126" s="7"/>
      <c r="K126" s="7"/>
      <c r="L126" s="7"/>
      <c r="M126" s="7"/>
      <c r="N126" s="7"/>
      <c r="O126" s="7"/>
      <c r="P126" s="7"/>
    </row>
    <row r="127" spans="1:16" ht="18.600000000000001" customHeight="1" x14ac:dyDescent="0.2">
      <c r="A127" s="7">
        <f t="shared" si="21"/>
        <v>3</v>
      </c>
      <c r="B127" s="26"/>
      <c r="C127" s="26"/>
      <c r="D127" s="22"/>
      <c r="E127" s="7"/>
      <c r="F127" s="7"/>
      <c r="G127" s="7"/>
      <c r="H127" s="7"/>
      <c r="I127" s="82"/>
      <c r="J127" s="7"/>
      <c r="K127" s="7"/>
      <c r="L127" s="7"/>
      <c r="M127" s="7"/>
      <c r="N127" s="7"/>
      <c r="O127" s="7"/>
      <c r="P127" s="7"/>
    </row>
    <row r="128" spans="1:16" ht="18.600000000000001" customHeight="1" x14ac:dyDescent="0.2">
      <c r="A128" s="7">
        <f t="shared" si="21"/>
        <v>4</v>
      </c>
      <c r="B128" s="26"/>
      <c r="C128" s="26"/>
      <c r="D128" s="22"/>
      <c r="E128" s="7"/>
      <c r="F128" s="7"/>
      <c r="G128" s="7"/>
      <c r="H128" s="7"/>
      <c r="I128" s="82"/>
      <c r="J128" s="7"/>
      <c r="K128" s="7"/>
      <c r="L128" s="7"/>
      <c r="M128" s="7"/>
      <c r="N128" s="7"/>
      <c r="O128" s="7"/>
      <c r="P128" s="7"/>
    </row>
    <row r="129" spans="1:16" ht="18.600000000000001" customHeight="1" x14ac:dyDescent="0.2">
      <c r="A129" s="6">
        <f t="shared" si="21"/>
        <v>5</v>
      </c>
      <c r="B129" s="58"/>
      <c r="C129" s="58"/>
      <c r="D129" s="59"/>
      <c r="E129" s="16"/>
      <c r="F129" s="16"/>
      <c r="G129" s="16"/>
      <c r="H129" s="16"/>
      <c r="I129" s="83"/>
      <c r="J129" s="16"/>
      <c r="K129" s="16"/>
      <c r="L129" s="16"/>
      <c r="M129" s="16"/>
      <c r="N129" s="16"/>
      <c r="O129" s="16"/>
      <c r="P129" s="16"/>
    </row>
    <row r="130" spans="1:16" ht="18.600000000000001" customHeight="1" x14ac:dyDescent="0.2">
      <c r="A130" s="56">
        <f t="shared" si="21"/>
        <v>6</v>
      </c>
      <c r="B130" s="57"/>
      <c r="C130" s="57"/>
      <c r="D130" s="21"/>
      <c r="E130" s="2"/>
      <c r="F130" s="2"/>
      <c r="G130" s="2"/>
      <c r="H130" s="2"/>
      <c r="I130" s="84"/>
      <c r="J130" s="2"/>
      <c r="K130" s="2"/>
      <c r="L130" s="2"/>
      <c r="M130" s="2"/>
      <c r="N130" s="2"/>
      <c r="O130" s="2"/>
      <c r="P130" s="2"/>
    </row>
    <row r="131" spans="1:16" ht="18.600000000000001" customHeight="1" x14ac:dyDescent="0.2">
      <c r="A131" s="6">
        <f t="shared" si="21"/>
        <v>7</v>
      </c>
      <c r="B131" s="26"/>
      <c r="C131" s="26"/>
      <c r="D131" s="22"/>
      <c r="E131" s="4"/>
      <c r="F131" s="4"/>
      <c r="G131" s="4"/>
      <c r="H131" s="4"/>
      <c r="I131" s="85"/>
      <c r="J131" s="4"/>
      <c r="K131" s="4"/>
      <c r="L131" s="4"/>
      <c r="M131" s="4"/>
      <c r="N131" s="4"/>
      <c r="O131" s="4"/>
      <c r="P131" s="4"/>
    </row>
    <row r="132" spans="1:16" ht="18.600000000000001" customHeight="1" x14ac:dyDescent="0.2">
      <c r="A132" s="6">
        <f t="shared" si="21"/>
        <v>8</v>
      </c>
      <c r="B132" s="26"/>
      <c r="C132" s="26"/>
      <c r="D132" s="22"/>
      <c r="E132" s="4"/>
      <c r="F132" s="4"/>
      <c r="G132" s="4"/>
      <c r="H132" s="4"/>
      <c r="I132" s="85"/>
      <c r="J132" s="4"/>
      <c r="K132" s="4"/>
      <c r="L132" s="4"/>
      <c r="M132" s="4"/>
      <c r="N132" s="4"/>
      <c r="O132" s="4"/>
      <c r="P132" s="4"/>
    </row>
    <row r="133" spans="1:16" ht="18.600000000000001" customHeight="1" x14ac:dyDescent="0.2">
      <c r="A133" s="6">
        <f t="shared" si="21"/>
        <v>9</v>
      </c>
      <c r="B133" s="26"/>
      <c r="C133" s="26"/>
      <c r="D133" s="22"/>
      <c r="E133" s="4"/>
      <c r="F133" s="4"/>
      <c r="G133" s="4"/>
      <c r="H133" s="4"/>
      <c r="I133" s="85"/>
      <c r="J133" s="4"/>
      <c r="K133" s="4"/>
      <c r="L133" s="4"/>
      <c r="M133" s="4"/>
      <c r="N133" s="4"/>
      <c r="O133" s="4"/>
      <c r="P133" s="4"/>
    </row>
    <row r="134" spans="1:16" ht="18.600000000000001" customHeight="1" x14ac:dyDescent="0.2">
      <c r="A134" s="10">
        <f t="shared" si="21"/>
        <v>10</v>
      </c>
      <c r="B134" s="62"/>
      <c r="C134" s="62"/>
      <c r="D134" s="23"/>
      <c r="E134" s="12"/>
      <c r="F134" s="12"/>
      <c r="G134" s="12"/>
      <c r="H134" s="12"/>
      <c r="I134" s="86"/>
      <c r="J134" s="12"/>
      <c r="K134" s="12"/>
      <c r="L134" s="12"/>
      <c r="M134" s="12"/>
      <c r="N134" s="12"/>
      <c r="O134" s="12"/>
      <c r="P134" s="12"/>
    </row>
    <row r="135" spans="1:16" ht="18.600000000000001" customHeight="1" x14ac:dyDescent="0.2">
      <c r="A135" s="35">
        <f t="shared" si="21"/>
        <v>11</v>
      </c>
      <c r="B135" s="60"/>
      <c r="C135" s="60"/>
      <c r="D135" s="61"/>
      <c r="E135" s="14"/>
      <c r="F135" s="14"/>
      <c r="G135" s="14"/>
      <c r="H135" s="14"/>
      <c r="I135" s="87"/>
      <c r="J135" s="14"/>
      <c r="K135" s="14"/>
      <c r="L135" s="14"/>
      <c r="M135" s="14"/>
      <c r="N135" s="14"/>
      <c r="O135" s="14"/>
      <c r="P135" s="14"/>
    </row>
    <row r="136" spans="1:16" ht="18.600000000000001" customHeight="1" x14ac:dyDescent="0.2">
      <c r="A136" s="7">
        <f t="shared" si="21"/>
        <v>12</v>
      </c>
      <c r="B136" s="26"/>
      <c r="C136" s="26"/>
      <c r="D136" s="22"/>
      <c r="E136" s="4"/>
      <c r="F136" s="4"/>
      <c r="G136" s="4"/>
      <c r="H136" s="4"/>
      <c r="I136" s="85"/>
      <c r="J136" s="4"/>
      <c r="K136" s="4"/>
      <c r="L136" s="4"/>
      <c r="M136" s="4"/>
      <c r="N136" s="4"/>
      <c r="O136" s="4"/>
      <c r="P136" s="4"/>
    </row>
    <row r="137" spans="1:16" ht="18.600000000000001" customHeight="1" x14ac:dyDescent="0.2">
      <c r="A137" s="7">
        <f t="shared" si="21"/>
        <v>13</v>
      </c>
      <c r="B137" s="26"/>
      <c r="C137" s="26"/>
      <c r="D137" s="22"/>
      <c r="E137" s="4"/>
      <c r="F137" s="4"/>
      <c r="G137" s="4"/>
      <c r="H137" s="4"/>
      <c r="I137" s="85"/>
      <c r="J137" s="4"/>
      <c r="K137" s="4"/>
      <c r="L137" s="4"/>
      <c r="M137" s="4"/>
      <c r="N137" s="4"/>
      <c r="O137" s="4"/>
      <c r="P137" s="4"/>
    </row>
    <row r="138" spans="1:16" ht="18.600000000000001" customHeight="1" x14ac:dyDescent="0.2">
      <c r="A138" s="7">
        <f t="shared" si="21"/>
        <v>14</v>
      </c>
      <c r="B138" s="3"/>
      <c r="C138" s="4"/>
      <c r="D138" s="8"/>
      <c r="E138" s="4"/>
      <c r="F138" s="4"/>
      <c r="G138" s="4"/>
      <c r="H138" s="4"/>
      <c r="I138" s="85"/>
      <c r="J138" s="4"/>
      <c r="K138" s="4"/>
      <c r="L138" s="4"/>
      <c r="M138" s="4"/>
      <c r="N138" s="4"/>
      <c r="O138" s="4"/>
      <c r="P138" s="4"/>
    </row>
    <row r="139" spans="1:16" ht="18.600000000000001" customHeight="1" x14ac:dyDescent="0.2">
      <c r="A139" s="6">
        <f t="shared" si="21"/>
        <v>15</v>
      </c>
      <c r="B139" s="15"/>
      <c r="C139" s="16"/>
      <c r="D139" s="5"/>
      <c r="E139" s="16"/>
      <c r="F139" s="16"/>
      <c r="G139" s="16"/>
      <c r="H139" s="16"/>
      <c r="I139" s="83"/>
      <c r="J139" s="16"/>
      <c r="K139" s="16"/>
      <c r="L139" s="16"/>
      <c r="M139" s="16"/>
      <c r="N139" s="16"/>
      <c r="O139" s="16"/>
      <c r="P139" s="16"/>
    </row>
    <row r="140" spans="1:16" ht="18.600000000000001" customHeight="1" x14ac:dyDescent="0.2">
      <c r="A140" s="32">
        <f t="shared" si="21"/>
        <v>16</v>
      </c>
      <c r="B140" s="1"/>
      <c r="C140" s="2"/>
      <c r="D140" s="33"/>
      <c r="E140" s="2"/>
      <c r="F140" s="2"/>
      <c r="G140" s="2"/>
      <c r="H140" s="2"/>
      <c r="I140" s="84"/>
      <c r="J140" s="2"/>
      <c r="K140" s="2"/>
      <c r="L140" s="2"/>
      <c r="M140" s="2"/>
      <c r="N140" s="2"/>
      <c r="O140" s="2"/>
      <c r="P140" s="2"/>
    </row>
    <row r="141" spans="1:16" ht="18.600000000000001" customHeight="1" x14ac:dyDescent="0.2">
      <c r="A141" s="7">
        <f t="shared" si="21"/>
        <v>17</v>
      </c>
      <c r="B141" s="3"/>
      <c r="C141" s="4"/>
      <c r="D141" s="8"/>
      <c r="E141" s="4"/>
      <c r="F141" s="4"/>
      <c r="G141" s="4"/>
      <c r="H141" s="4"/>
      <c r="I141" s="85"/>
      <c r="J141" s="4"/>
      <c r="K141" s="4"/>
      <c r="L141" s="4"/>
      <c r="M141" s="4"/>
      <c r="N141" s="4"/>
      <c r="O141" s="4"/>
      <c r="P141" s="4"/>
    </row>
    <row r="142" spans="1:16" ht="18.600000000000001" customHeight="1" x14ac:dyDescent="0.2">
      <c r="A142" s="7">
        <f t="shared" si="21"/>
        <v>18</v>
      </c>
      <c r="B142" s="3"/>
      <c r="C142" s="4"/>
      <c r="D142" s="8"/>
      <c r="E142" s="4"/>
      <c r="F142" s="4"/>
      <c r="G142" s="4"/>
      <c r="H142" s="4"/>
      <c r="I142" s="85"/>
      <c r="J142" s="4"/>
      <c r="K142" s="4"/>
      <c r="L142" s="4"/>
      <c r="M142" s="4"/>
      <c r="N142" s="4"/>
      <c r="O142" s="4"/>
      <c r="P142" s="4"/>
    </row>
    <row r="143" spans="1:16" ht="18.600000000000001" customHeight="1" x14ac:dyDescent="0.2">
      <c r="A143" s="7">
        <f t="shared" si="21"/>
        <v>19</v>
      </c>
      <c r="B143" s="3"/>
      <c r="C143" s="4"/>
      <c r="D143" s="8"/>
      <c r="E143" s="4"/>
      <c r="F143" s="4"/>
      <c r="G143" s="4"/>
      <c r="H143" s="4"/>
      <c r="I143" s="85"/>
      <c r="J143" s="4"/>
      <c r="K143" s="4"/>
      <c r="L143" s="4"/>
      <c r="M143" s="4"/>
      <c r="N143" s="4"/>
      <c r="O143" s="4"/>
      <c r="P143" s="4"/>
    </row>
    <row r="144" spans="1:16" ht="18.600000000000001" customHeight="1" x14ac:dyDescent="0.2">
      <c r="A144" s="10">
        <f t="shared" si="21"/>
        <v>20</v>
      </c>
      <c r="B144" s="11"/>
      <c r="C144" s="12"/>
      <c r="D144" s="9"/>
      <c r="E144" s="12"/>
      <c r="F144" s="12"/>
      <c r="G144" s="12"/>
      <c r="H144" s="12"/>
      <c r="I144" s="86"/>
      <c r="J144" s="12"/>
      <c r="K144" s="12"/>
      <c r="L144" s="12"/>
      <c r="M144" s="12"/>
      <c r="N144" s="12"/>
      <c r="O144" s="12"/>
      <c r="P144" s="12"/>
    </row>
    <row r="145" spans="1:16" ht="18.600000000000001" customHeight="1" x14ac:dyDescent="0.2">
      <c r="A145" s="35">
        <f t="shared" si="21"/>
        <v>21</v>
      </c>
      <c r="B145" s="13"/>
      <c r="C145" s="14"/>
      <c r="D145" s="37"/>
      <c r="E145" s="14"/>
      <c r="F145" s="14"/>
      <c r="G145" s="14"/>
      <c r="H145" s="14"/>
      <c r="I145" s="87"/>
      <c r="J145" s="14"/>
      <c r="K145" s="14"/>
      <c r="L145" s="14"/>
      <c r="M145" s="14"/>
      <c r="N145" s="14"/>
      <c r="O145" s="14"/>
      <c r="P145" s="14"/>
    </row>
    <row r="146" spans="1:16" ht="18.600000000000001" customHeight="1" x14ac:dyDescent="0.2">
      <c r="A146" s="7">
        <f t="shared" si="21"/>
        <v>22</v>
      </c>
      <c r="B146" s="3"/>
      <c r="C146" s="4"/>
      <c r="D146" s="8"/>
      <c r="E146" s="4"/>
      <c r="F146" s="4"/>
      <c r="G146" s="4"/>
      <c r="H146" s="4"/>
      <c r="I146" s="85"/>
      <c r="J146" s="4"/>
      <c r="K146" s="4"/>
      <c r="L146" s="4"/>
      <c r="M146" s="4"/>
      <c r="N146" s="4"/>
      <c r="O146" s="4"/>
      <c r="P146" s="4"/>
    </row>
    <row r="147" spans="1:16" ht="18.600000000000001" customHeight="1" x14ac:dyDescent="0.2">
      <c r="A147" s="35">
        <f t="shared" si="21"/>
        <v>23</v>
      </c>
      <c r="B147" s="3"/>
      <c r="C147" s="4"/>
      <c r="D147" s="8"/>
      <c r="E147" s="4"/>
      <c r="F147" s="4"/>
      <c r="G147" s="4"/>
      <c r="H147" s="4"/>
      <c r="I147" s="85"/>
      <c r="J147" s="4"/>
      <c r="K147" s="4"/>
      <c r="L147" s="4"/>
      <c r="M147" s="4"/>
      <c r="N147" s="4"/>
      <c r="O147" s="4"/>
      <c r="P147" s="4"/>
    </row>
    <row r="148" spans="1:16" ht="18.600000000000001" customHeight="1" x14ac:dyDescent="0.2">
      <c r="A148" s="7">
        <f t="shared" si="21"/>
        <v>24</v>
      </c>
      <c r="B148" s="3"/>
      <c r="C148" s="4"/>
      <c r="D148" s="8"/>
      <c r="E148" s="4"/>
      <c r="F148" s="4"/>
      <c r="G148" s="4"/>
      <c r="H148" s="4"/>
      <c r="I148" s="85"/>
      <c r="J148" s="4"/>
      <c r="K148" s="4"/>
      <c r="L148" s="4"/>
      <c r="M148" s="4"/>
      <c r="N148" s="4"/>
      <c r="O148" s="4"/>
      <c r="P148" s="4"/>
    </row>
    <row r="149" spans="1:16" ht="18.600000000000001" customHeight="1" x14ac:dyDescent="0.2">
      <c r="A149" s="35">
        <f t="shared" si="21"/>
        <v>25</v>
      </c>
      <c r="B149" s="11"/>
      <c r="C149" s="12"/>
      <c r="D149" s="9"/>
      <c r="E149" s="12"/>
      <c r="F149" s="12"/>
      <c r="G149" s="12"/>
      <c r="H149" s="12"/>
      <c r="I149" s="86"/>
      <c r="J149" s="12"/>
      <c r="K149" s="12"/>
      <c r="L149" s="12"/>
      <c r="M149" s="12"/>
      <c r="N149" s="12"/>
      <c r="O149" s="12"/>
      <c r="P149" s="12"/>
    </row>
    <row r="150" spans="1:16" ht="18.600000000000001" customHeight="1" x14ac:dyDescent="0.3">
      <c r="A150" s="147"/>
      <c r="B150" s="148"/>
      <c r="C150" s="147"/>
      <c r="D150" s="149"/>
      <c r="E150" s="150">
        <f>SUBTOTAL(9,E125:E149)</f>
        <v>0</v>
      </c>
      <c r="F150" s="152"/>
      <c r="G150" s="150">
        <f t="shared" ref="G150" si="22">SUBTOTAL(9,G125:G149)</f>
        <v>0</v>
      </c>
      <c r="H150" s="152"/>
      <c r="I150" s="150">
        <f t="shared" ref="I150" si="23">SUBTOTAL(9,I125:I149)</f>
        <v>0</v>
      </c>
      <c r="J150" s="152"/>
      <c r="K150" s="152"/>
      <c r="L150" s="152"/>
      <c r="M150" s="150">
        <f t="shared" ref="M150" si="24">SUBTOTAL(9,M125:M149)</f>
        <v>0</v>
      </c>
      <c r="N150" s="152"/>
      <c r="O150" s="150">
        <f t="shared" ref="O150" si="25">SUBTOTAL(9,O125:O149)</f>
        <v>0</v>
      </c>
      <c r="P150" s="152"/>
    </row>
    <row r="151" spans="1:16" ht="18.600000000000001" customHeight="1" x14ac:dyDescent="0.2">
      <c r="A151" s="434" t="str">
        <f>A121</f>
        <v>DANH SÁCH HÓA</v>
      </c>
      <c r="B151" s="434"/>
      <c r="C151" s="434"/>
      <c r="D151" s="434"/>
      <c r="E151" s="434"/>
      <c r="F151" s="434"/>
      <c r="G151" s="434"/>
      <c r="H151" s="434"/>
      <c r="I151" s="92">
        <v>6</v>
      </c>
      <c r="J151" s="48"/>
      <c r="K151" s="48"/>
      <c r="L151" s="48"/>
      <c r="M151" s="41"/>
      <c r="N151" s="41"/>
      <c r="O151" s="41"/>
      <c r="P151" s="41"/>
    </row>
    <row r="152" spans="1:16" ht="18.600000000000001" customHeight="1" x14ac:dyDescent="0.2">
      <c r="A152" s="28"/>
      <c r="B152" s="29"/>
      <c r="C152" s="30"/>
      <c r="D152" s="36"/>
      <c r="E152" s="28"/>
      <c r="F152" s="28"/>
      <c r="G152" s="28"/>
      <c r="H152" s="28"/>
      <c r="I152" s="79"/>
      <c r="J152" s="28"/>
      <c r="K152" s="28"/>
      <c r="L152" s="28"/>
      <c r="M152" s="28"/>
      <c r="N152" s="28"/>
      <c r="O152" s="28"/>
      <c r="P152" s="28"/>
    </row>
    <row r="153" spans="1:16" ht="18.600000000000001" customHeight="1" x14ac:dyDescent="0.2">
      <c r="A153" s="435" t="s">
        <v>374</v>
      </c>
      <c r="B153" s="435" t="s">
        <v>380</v>
      </c>
      <c r="C153" s="435" t="s">
        <v>383</v>
      </c>
      <c r="D153" s="437" t="s">
        <v>384</v>
      </c>
      <c r="E153" s="438" t="s">
        <v>385</v>
      </c>
      <c r="F153" s="439"/>
      <c r="G153" s="432" t="str">
        <f>$R$1</f>
        <v>Đợt 6</v>
      </c>
      <c r="H153" s="433"/>
      <c r="I153" s="432" t="str">
        <f>$T$1</f>
        <v>Đợt 7</v>
      </c>
      <c r="J153" s="433"/>
      <c r="K153" s="432" t="str">
        <f>$V$1</f>
        <v>Đợt 8</v>
      </c>
      <c r="L153" s="433"/>
      <c r="M153" s="432" t="str">
        <f>$X$1</f>
        <v>Đợt 9</v>
      </c>
      <c r="N153" s="433"/>
      <c r="O153" s="432" t="str">
        <f>$Z$1</f>
        <v>Đợt 10</v>
      </c>
      <c r="P153" s="433"/>
    </row>
    <row r="154" spans="1:16" ht="18.600000000000001" customHeight="1" x14ac:dyDescent="0.2">
      <c r="A154" s="436"/>
      <c r="B154" s="436"/>
      <c r="C154" s="436"/>
      <c r="D154" s="436"/>
      <c r="E154" s="31" t="s">
        <v>381</v>
      </c>
      <c r="F154" s="31" t="s">
        <v>382</v>
      </c>
      <c r="G154" s="31" t="s">
        <v>381</v>
      </c>
      <c r="H154" s="31" t="s">
        <v>382</v>
      </c>
      <c r="I154" s="80" t="s">
        <v>381</v>
      </c>
      <c r="J154" s="31" t="s">
        <v>382</v>
      </c>
      <c r="K154" s="80" t="s">
        <v>381</v>
      </c>
      <c r="L154" s="31" t="s">
        <v>382</v>
      </c>
      <c r="M154" s="31" t="s">
        <v>381</v>
      </c>
      <c r="N154" s="31" t="s">
        <v>382</v>
      </c>
      <c r="O154" s="31" t="s">
        <v>381</v>
      </c>
      <c r="P154" s="31" t="s">
        <v>382</v>
      </c>
    </row>
    <row r="155" spans="1:16" ht="18.600000000000001" customHeight="1" x14ac:dyDescent="0.2">
      <c r="A155" s="32">
        <v>1</v>
      </c>
      <c r="B155" s="26"/>
      <c r="C155" s="26"/>
      <c r="D155" s="22"/>
      <c r="E155" s="32"/>
      <c r="F155" s="34"/>
      <c r="G155" s="32"/>
      <c r="H155" s="93"/>
      <c r="I155" s="81"/>
      <c r="J155" s="34"/>
      <c r="K155" s="34"/>
      <c r="L155" s="34"/>
      <c r="M155" s="32"/>
      <c r="N155" s="34"/>
      <c r="O155" s="32"/>
      <c r="P155" s="34"/>
    </row>
    <row r="156" spans="1:16" ht="18.600000000000001" customHeight="1" x14ac:dyDescent="0.2">
      <c r="A156" s="7">
        <f t="shared" ref="A156:A179" si="26">A155+1</f>
        <v>2</v>
      </c>
      <c r="B156" s="26"/>
      <c r="C156" s="26"/>
      <c r="D156" s="22"/>
      <c r="E156" s="7"/>
      <c r="F156" s="7"/>
      <c r="G156" s="7"/>
      <c r="H156" s="7"/>
      <c r="I156" s="82"/>
      <c r="J156" s="7"/>
      <c r="K156" s="7"/>
      <c r="L156" s="7"/>
      <c r="M156" s="7"/>
      <c r="N156" s="7"/>
      <c r="O156" s="7"/>
      <c r="P156" s="7"/>
    </row>
    <row r="157" spans="1:16" ht="18.600000000000001" customHeight="1" x14ac:dyDescent="0.2">
      <c r="A157" s="7">
        <f t="shared" si="26"/>
        <v>3</v>
      </c>
      <c r="B157" s="26"/>
      <c r="C157" s="26"/>
      <c r="D157" s="22"/>
      <c r="E157" s="7"/>
      <c r="F157" s="7"/>
      <c r="G157" s="7"/>
      <c r="H157" s="7"/>
      <c r="I157" s="82"/>
      <c r="J157" s="7"/>
      <c r="K157" s="7"/>
      <c r="L157" s="7"/>
      <c r="M157" s="7"/>
      <c r="N157" s="7"/>
      <c r="O157" s="7"/>
      <c r="P157" s="7"/>
    </row>
    <row r="158" spans="1:16" ht="18.600000000000001" customHeight="1" x14ac:dyDescent="0.2">
      <c r="A158" s="7">
        <f t="shared" si="26"/>
        <v>4</v>
      </c>
      <c r="B158" s="26"/>
      <c r="C158" s="26"/>
      <c r="D158" s="22"/>
      <c r="E158" s="7"/>
      <c r="F158" s="7"/>
      <c r="G158" s="7"/>
      <c r="H158" s="7"/>
      <c r="I158" s="82"/>
      <c r="J158" s="7"/>
      <c r="K158" s="7"/>
      <c r="L158" s="7"/>
      <c r="M158" s="7"/>
      <c r="N158" s="7"/>
      <c r="O158" s="7"/>
      <c r="P158" s="7"/>
    </row>
    <row r="159" spans="1:16" ht="18.600000000000001" customHeight="1" x14ac:dyDescent="0.2">
      <c r="A159" s="6">
        <f t="shared" si="26"/>
        <v>5</v>
      </c>
      <c r="B159" s="58"/>
      <c r="C159" s="58"/>
      <c r="D159" s="59"/>
      <c r="E159" s="16"/>
      <c r="F159" s="16"/>
      <c r="G159" s="16"/>
      <c r="H159" s="16"/>
      <c r="I159" s="83"/>
      <c r="J159" s="16"/>
      <c r="K159" s="16"/>
      <c r="L159" s="16"/>
      <c r="M159" s="16"/>
      <c r="N159" s="16"/>
      <c r="O159" s="16"/>
      <c r="P159" s="16"/>
    </row>
    <row r="160" spans="1:16" ht="18.600000000000001" customHeight="1" x14ac:dyDescent="0.2">
      <c r="A160" s="56">
        <f t="shared" si="26"/>
        <v>6</v>
      </c>
      <c r="B160" s="57"/>
      <c r="C160" s="57"/>
      <c r="D160" s="21"/>
      <c r="E160" s="2"/>
      <c r="F160" s="2"/>
      <c r="G160" s="2"/>
      <c r="H160" s="2"/>
      <c r="I160" s="84"/>
      <c r="J160" s="2"/>
      <c r="K160" s="2"/>
      <c r="L160" s="2"/>
      <c r="M160" s="2"/>
      <c r="N160" s="2"/>
      <c r="O160" s="2"/>
      <c r="P160" s="2"/>
    </row>
    <row r="161" spans="1:16" ht="18.600000000000001" customHeight="1" x14ac:dyDescent="0.2">
      <c r="A161" s="6">
        <f t="shared" si="26"/>
        <v>7</v>
      </c>
      <c r="B161" s="26"/>
      <c r="C161" s="26"/>
      <c r="D161" s="22"/>
      <c r="E161" s="4"/>
      <c r="F161" s="4"/>
      <c r="G161" s="4"/>
      <c r="H161" s="4"/>
      <c r="I161" s="85"/>
      <c r="J161" s="4"/>
      <c r="K161" s="4"/>
      <c r="L161" s="4"/>
      <c r="M161" s="4"/>
      <c r="N161" s="4"/>
      <c r="O161" s="4"/>
      <c r="P161" s="4"/>
    </row>
    <row r="162" spans="1:16" ht="18.600000000000001" customHeight="1" x14ac:dyDescent="0.2">
      <c r="A162" s="6">
        <f t="shared" si="26"/>
        <v>8</v>
      </c>
      <c r="B162" s="26"/>
      <c r="C162" s="26"/>
      <c r="D162" s="22"/>
      <c r="E162" s="4"/>
      <c r="F162" s="4"/>
      <c r="G162" s="4"/>
      <c r="H162" s="4"/>
      <c r="I162" s="85"/>
      <c r="J162" s="4"/>
      <c r="K162" s="4"/>
      <c r="L162" s="4"/>
      <c r="M162" s="4"/>
      <c r="N162" s="4"/>
      <c r="O162" s="4"/>
      <c r="P162" s="4"/>
    </row>
    <row r="163" spans="1:16" ht="18.600000000000001" customHeight="1" x14ac:dyDescent="0.2">
      <c r="A163" s="6">
        <f t="shared" si="26"/>
        <v>9</v>
      </c>
      <c r="B163" s="26"/>
      <c r="C163" s="26"/>
      <c r="D163" s="22"/>
      <c r="E163" s="4"/>
      <c r="F163" s="4"/>
      <c r="G163" s="4"/>
      <c r="H163" s="4"/>
      <c r="I163" s="85"/>
      <c r="J163" s="4"/>
      <c r="K163" s="4"/>
      <c r="L163" s="4"/>
      <c r="M163" s="4"/>
      <c r="N163" s="4"/>
      <c r="O163" s="4"/>
      <c r="P163" s="4"/>
    </row>
    <row r="164" spans="1:16" ht="18.600000000000001" customHeight="1" x14ac:dyDescent="0.2">
      <c r="A164" s="10">
        <f t="shared" si="26"/>
        <v>10</v>
      </c>
      <c r="B164" s="62"/>
      <c r="C164" s="62"/>
      <c r="D164" s="23"/>
      <c r="E164" s="12"/>
      <c r="F164" s="12"/>
      <c r="G164" s="12"/>
      <c r="H164" s="12"/>
      <c r="I164" s="86"/>
      <c r="J164" s="12"/>
      <c r="K164" s="12"/>
      <c r="L164" s="12"/>
      <c r="M164" s="12"/>
      <c r="N164" s="12"/>
      <c r="O164" s="12"/>
      <c r="P164" s="12"/>
    </row>
    <row r="165" spans="1:16" ht="18.600000000000001" customHeight="1" x14ac:dyDescent="0.2">
      <c r="A165" s="35">
        <f t="shared" si="26"/>
        <v>11</v>
      </c>
      <c r="B165" s="60"/>
      <c r="C165" s="60"/>
      <c r="D165" s="61"/>
      <c r="E165" s="14"/>
      <c r="F165" s="14"/>
      <c r="G165" s="14"/>
      <c r="H165" s="14"/>
      <c r="I165" s="87"/>
      <c r="J165" s="14"/>
      <c r="K165" s="14"/>
      <c r="L165" s="14"/>
      <c r="M165" s="14"/>
      <c r="N165" s="14"/>
      <c r="O165" s="14"/>
      <c r="P165" s="14"/>
    </row>
    <row r="166" spans="1:16" ht="18.600000000000001" customHeight="1" x14ac:dyDescent="0.2">
      <c r="A166" s="7">
        <f t="shared" si="26"/>
        <v>12</v>
      </c>
      <c r="B166" s="26"/>
      <c r="C166" s="26"/>
      <c r="D166" s="22"/>
      <c r="E166" s="4"/>
      <c r="F166" s="4"/>
      <c r="G166" s="4"/>
      <c r="H166" s="4"/>
      <c r="I166" s="85"/>
      <c r="J166" s="4"/>
      <c r="K166" s="4"/>
      <c r="L166" s="4"/>
      <c r="M166" s="4"/>
      <c r="N166" s="4"/>
      <c r="O166" s="4"/>
      <c r="P166" s="4"/>
    </row>
    <row r="167" spans="1:16" ht="18.600000000000001" customHeight="1" x14ac:dyDescent="0.2">
      <c r="A167" s="7">
        <f t="shared" si="26"/>
        <v>13</v>
      </c>
      <c r="B167" s="26"/>
      <c r="C167" s="26"/>
      <c r="D167" s="22"/>
      <c r="E167" s="4"/>
      <c r="F167" s="4"/>
      <c r="G167" s="4"/>
      <c r="H167" s="4"/>
      <c r="I167" s="85"/>
      <c r="J167" s="4"/>
      <c r="K167" s="4"/>
      <c r="L167" s="4"/>
      <c r="M167" s="4"/>
      <c r="N167" s="4"/>
      <c r="O167" s="4"/>
      <c r="P167" s="4"/>
    </row>
    <row r="168" spans="1:16" ht="18.600000000000001" customHeight="1" x14ac:dyDescent="0.2">
      <c r="A168" s="7">
        <f t="shared" si="26"/>
        <v>14</v>
      </c>
      <c r="B168" s="3"/>
      <c r="C168" s="4"/>
      <c r="D168" s="8"/>
      <c r="E168" s="4"/>
      <c r="F168" s="4"/>
      <c r="G168" s="4"/>
      <c r="H168" s="4"/>
      <c r="I168" s="85"/>
      <c r="J168" s="4"/>
      <c r="K168" s="4"/>
      <c r="L168" s="4"/>
      <c r="M168" s="4"/>
      <c r="N168" s="4"/>
      <c r="O168" s="4"/>
      <c r="P168" s="4"/>
    </row>
    <row r="169" spans="1:16" ht="18.600000000000001" customHeight="1" x14ac:dyDescent="0.2">
      <c r="A169" s="6">
        <f t="shared" si="26"/>
        <v>15</v>
      </c>
      <c r="B169" s="15"/>
      <c r="C169" s="16"/>
      <c r="D169" s="5"/>
      <c r="E169" s="16"/>
      <c r="F169" s="16"/>
      <c r="G169" s="16"/>
      <c r="H169" s="16"/>
      <c r="I169" s="83"/>
      <c r="J169" s="16"/>
      <c r="K169" s="16"/>
      <c r="L169" s="16"/>
      <c r="M169" s="16"/>
      <c r="N169" s="16"/>
      <c r="O169" s="16"/>
      <c r="P169" s="16"/>
    </row>
    <row r="170" spans="1:16" ht="18.600000000000001" customHeight="1" x14ac:dyDescent="0.2">
      <c r="A170" s="32">
        <f t="shared" si="26"/>
        <v>16</v>
      </c>
      <c r="B170" s="1"/>
      <c r="C170" s="2"/>
      <c r="D170" s="33"/>
      <c r="E170" s="2"/>
      <c r="F170" s="2"/>
      <c r="G170" s="2"/>
      <c r="H170" s="2"/>
      <c r="I170" s="84"/>
      <c r="J170" s="2"/>
      <c r="K170" s="2"/>
      <c r="L170" s="2"/>
      <c r="M170" s="2"/>
      <c r="N170" s="2"/>
      <c r="O170" s="2"/>
      <c r="P170" s="2"/>
    </row>
    <row r="171" spans="1:16" ht="18.600000000000001" customHeight="1" x14ac:dyDescent="0.2">
      <c r="A171" s="7">
        <f t="shared" si="26"/>
        <v>17</v>
      </c>
      <c r="B171" s="3"/>
      <c r="C171" s="4"/>
      <c r="D171" s="8"/>
      <c r="E171" s="4"/>
      <c r="F171" s="4"/>
      <c r="G171" s="4"/>
      <c r="H171" s="4"/>
      <c r="I171" s="85"/>
      <c r="J171" s="4"/>
      <c r="K171" s="4"/>
      <c r="L171" s="4"/>
      <c r="M171" s="4"/>
      <c r="N171" s="4"/>
      <c r="O171" s="4"/>
      <c r="P171" s="4"/>
    </row>
    <row r="172" spans="1:16" ht="18.600000000000001" customHeight="1" x14ac:dyDescent="0.2">
      <c r="A172" s="7">
        <f t="shared" si="26"/>
        <v>18</v>
      </c>
      <c r="B172" s="3"/>
      <c r="C172" s="4"/>
      <c r="D172" s="8"/>
      <c r="E172" s="4"/>
      <c r="F172" s="4"/>
      <c r="G172" s="4"/>
      <c r="H172" s="4"/>
      <c r="I172" s="85"/>
      <c r="J172" s="4"/>
      <c r="K172" s="4"/>
      <c r="L172" s="4"/>
      <c r="M172" s="4"/>
      <c r="N172" s="4"/>
      <c r="O172" s="4"/>
      <c r="P172" s="4"/>
    </row>
    <row r="173" spans="1:16" ht="18.600000000000001" customHeight="1" x14ac:dyDescent="0.2">
      <c r="A173" s="7">
        <f t="shared" si="26"/>
        <v>19</v>
      </c>
      <c r="B173" s="3"/>
      <c r="C173" s="4"/>
      <c r="D173" s="8"/>
      <c r="E173" s="4"/>
      <c r="F173" s="4"/>
      <c r="G173" s="4"/>
      <c r="H173" s="4"/>
      <c r="I173" s="85"/>
      <c r="J173" s="4"/>
      <c r="K173" s="4"/>
      <c r="L173" s="4"/>
      <c r="M173" s="4"/>
      <c r="N173" s="4"/>
      <c r="O173" s="4"/>
      <c r="P173" s="4"/>
    </row>
    <row r="174" spans="1:16" ht="18.600000000000001" customHeight="1" x14ac:dyDescent="0.2">
      <c r="A174" s="10">
        <f t="shared" si="26"/>
        <v>20</v>
      </c>
      <c r="B174" s="11"/>
      <c r="C174" s="12"/>
      <c r="D174" s="9"/>
      <c r="E174" s="12"/>
      <c r="F174" s="12"/>
      <c r="G174" s="12"/>
      <c r="H174" s="12"/>
      <c r="I174" s="86"/>
      <c r="J174" s="12"/>
      <c r="K174" s="12"/>
      <c r="L174" s="12"/>
      <c r="M174" s="12"/>
      <c r="N174" s="12"/>
      <c r="O174" s="12"/>
      <c r="P174" s="12"/>
    </row>
    <row r="175" spans="1:16" ht="18.600000000000001" customHeight="1" x14ac:dyDescent="0.2">
      <c r="A175" s="35">
        <f t="shared" si="26"/>
        <v>21</v>
      </c>
      <c r="B175" s="13"/>
      <c r="C175" s="14"/>
      <c r="D175" s="37"/>
      <c r="E175" s="14"/>
      <c r="F175" s="14"/>
      <c r="G175" s="14"/>
      <c r="H175" s="14"/>
      <c r="I175" s="87"/>
      <c r="J175" s="14"/>
      <c r="K175" s="14"/>
      <c r="L175" s="14"/>
      <c r="M175" s="14"/>
      <c r="N175" s="14"/>
      <c r="O175" s="14"/>
      <c r="P175" s="14"/>
    </row>
    <row r="176" spans="1:16" ht="18.600000000000001" customHeight="1" x14ac:dyDescent="0.2">
      <c r="A176" s="7">
        <f t="shared" si="26"/>
        <v>22</v>
      </c>
      <c r="B176" s="3"/>
      <c r="C176" s="4"/>
      <c r="D176" s="8"/>
      <c r="E176" s="4"/>
      <c r="F176" s="4"/>
      <c r="G176" s="4"/>
      <c r="H176" s="4"/>
      <c r="I176" s="85"/>
      <c r="J176" s="4"/>
      <c r="K176" s="4"/>
      <c r="L176" s="4"/>
      <c r="M176" s="4"/>
      <c r="N176" s="4"/>
      <c r="O176" s="4"/>
      <c r="P176" s="4"/>
    </row>
    <row r="177" spans="1:16" ht="18.600000000000001" customHeight="1" x14ac:dyDescent="0.2">
      <c r="A177" s="35">
        <f t="shared" si="26"/>
        <v>23</v>
      </c>
      <c r="B177" s="3"/>
      <c r="C177" s="4"/>
      <c r="D177" s="8"/>
      <c r="E177" s="4"/>
      <c r="F177" s="4"/>
      <c r="G177" s="4"/>
      <c r="H177" s="4"/>
      <c r="I177" s="85"/>
      <c r="J177" s="4"/>
      <c r="K177" s="4"/>
      <c r="L177" s="4"/>
      <c r="M177" s="4"/>
      <c r="N177" s="4"/>
      <c r="O177" s="4"/>
      <c r="P177" s="4"/>
    </row>
    <row r="178" spans="1:16" ht="18.600000000000001" customHeight="1" x14ac:dyDescent="0.2">
      <c r="A178" s="7">
        <f t="shared" si="26"/>
        <v>24</v>
      </c>
      <c r="B178" s="3"/>
      <c r="C178" s="4"/>
      <c r="D178" s="8"/>
      <c r="E178" s="4"/>
      <c r="F178" s="4"/>
      <c r="G178" s="4"/>
      <c r="H178" s="4"/>
      <c r="I178" s="85"/>
      <c r="J178" s="4"/>
      <c r="K178" s="4"/>
      <c r="L178" s="4"/>
      <c r="M178" s="4"/>
      <c r="N178" s="4"/>
      <c r="O178" s="4"/>
      <c r="P178" s="4"/>
    </row>
    <row r="179" spans="1:16" ht="18.600000000000001" customHeight="1" x14ac:dyDescent="0.2">
      <c r="A179" s="35">
        <f t="shared" si="26"/>
        <v>25</v>
      </c>
      <c r="B179" s="11"/>
      <c r="C179" s="12"/>
      <c r="D179" s="9"/>
      <c r="E179" s="12"/>
      <c r="F179" s="12"/>
      <c r="G179" s="12"/>
      <c r="H179" s="12"/>
      <c r="I179" s="86"/>
      <c r="J179" s="12"/>
      <c r="K179" s="12"/>
      <c r="L179" s="12"/>
      <c r="M179" s="12"/>
      <c r="N179" s="12"/>
      <c r="O179" s="12"/>
      <c r="P179" s="12"/>
    </row>
    <row r="180" spans="1:16" ht="18.600000000000001" customHeight="1" x14ac:dyDescent="0.3">
      <c r="A180" s="147"/>
      <c r="B180" s="148"/>
      <c r="C180" s="147"/>
      <c r="D180" s="149"/>
      <c r="E180" s="150">
        <f>SUBTOTAL(9,E155:E179)</f>
        <v>0</v>
      </c>
      <c r="F180" s="152"/>
      <c r="G180" s="150">
        <f t="shared" ref="G180" si="27">SUBTOTAL(9,G155:G179)</f>
        <v>0</v>
      </c>
      <c r="H180" s="152"/>
      <c r="I180" s="150">
        <f t="shared" ref="I180" si="28">SUBTOTAL(9,I155:I179)</f>
        <v>0</v>
      </c>
      <c r="J180" s="152"/>
      <c r="K180" s="152"/>
      <c r="L180" s="152"/>
      <c r="M180" s="150">
        <f t="shared" ref="M180" si="29">SUBTOTAL(9,M155:M179)</f>
        <v>0</v>
      </c>
      <c r="N180" s="152"/>
      <c r="O180" s="150">
        <f t="shared" ref="O180" si="30">SUBTOTAL(9,O155:O179)</f>
        <v>0</v>
      </c>
      <c r="P180" s="152"/>
    </row>
    <row r="181" spans="1:16" ht="18.600000000000001" customHeight="1" x14ac:dyDescent="0.2">
      <c r="A181" s="434" t="str">
        <f>A151</f>
        <v>DANH SÁCH HÓA</v>
      </c>
      <c r="B181" s="434"/>
      <c r="C181" s="434"/>
      <c r="D181" s="434"/>
      <c r="E181" s="434"/>
      <c r="F181" s="434"/>
      <c r="G181" s="434"/>
      <c r="H181" s="434"/>
      <c r="I181" s="92">
        <v>7</v>
      </c>
      <c r="J181" s="48"/>
      <c r="K181" s="48"/>
      <c r="L181" s="48"/>
      <c r="M181" s="41"/>
      <c r="N181" s="41"/>
      <c r="O181" s="41"/>
      <c r="P181" s="41"/>
    </row>
    <row r="182" spans="1:16" ht="18.600000000000001" customHeight="1" x14ac:dyDescent="0.2">
      <c r="A182" s="28"/>
      <c r="B182" s="29"/>
      <c r="C182" s="30"/>
      <c r="D182" s="36"/>
      <c r="E182" s="28"/>
      <c r="F182" s="28"/>
      <c r="G182" s="28"/>
      <c r="H182" s="28"/>
      <c r="I182" s="79"/>
      <c r="J182" s="28"/>
      <c r="K182" s="28"/>
      <c r="L182" s="28"/>
      <c r="M182" s="28"/>
      <c r="N182" s="28"/>
      <c r="O182" s="28"/>
      <c r="P182" s="28"/>
    </row>
    <row r="183" spans="1:16" ht="18.600000000000001" customHeight="1" x14ac:dyDescent="0.2">
      <c r="A183" s="435" t="s">
        <v>374</v>
      </c>
      <c r="B183" s="435" t="s">
        <v>380</v>
      </c>
      <c r="C183" s="435" t="s">
        <v>383</v>
      </c>
      <c r="D183" s="437" t="s">
        <v>384</v>
      </c>
      <c r="E183" s="438" t="s">
        <v>385</v>
      </c>
      <c r="F183" s="439"/>
      <c r="G183" s="432" t="str">
        <f>$R$1</f>
        <v>Đợt 6</v>
      </c>
      <c r="H183" s="433"/>
      <c r="I183" s="432" t="str">
        <f>$T$1</f>
        <v>Đợt 7</v>
      </c>
      <c r="J183" s="433"/>
      <c r="K183" s="432" t="str">
        <f>$V$1</f>
        <v>Đợt 8</v>
      </c>
      <c r="L183" s="433"/>
      <c r="M183" s="432" t="str">
        <f>$X$1</f>
        <v>Đợt 9</v>
      </c>
      <c r="N183" s="433"/>
      <c r="O183" s="432" t="str">
        <f>$Z$1</f>
        <v>Đợt 10</v>
      </c>
      <c r="P183" s="433"/>
    </row>
    <row r="184" spans="1:16" ht="18.600000000000001" customHeight="1" x14ac:dyDescent="0.2">
      <c r="A184" s="436"/>
      <c r="B184" s="436"/>
      <c r="C184" s="436"/>
      <c r="D184" s="436"/>
      <c r="E184" s="31" t="s">
        <v>381</v>
      </c>
      <c r="F184" s="31" t="s">
        <v>382</v>
      </c>
      <c r="G184" s="31" t="s">
        <v>381</v>
      </c>
      <c r="H184" s="31" t="s">
        <v>382</v>
      </c>
      <c r="I184" s="80" t="s">
        <v>381</v>
      </c>
      <c r="J184" s="31" t="s">
        <v>382</v>
      </c>
      <c r="K184" s="80" t="s">
        <v>381</v>
      </c>
      <c r="L184" s="31" t="s">
        <v>382</v>
      </c>
      <c r="M184" s="31" t="s">
        <v>381</v>
      </c>
      <c r="N184" s="31" t="s">
        <v>382</v>
      </c>
      <c r="O184" s="31" t="s">
        <v>381</v>
      </c>
      <c r="P184" s="31" t="s">
        <v>382</v>
      </c>
    </row>
    <row r="185" spans="1:16" ht="18.600000000000001" customHeight="1" x14ac:dyDescent="0.2">
      <c r="A185" s="32">
        <v>1</v>
      </c>
      <c r="B185" s="26"/>
      <c r="C185" s="26"/>
      <c r="D185" s="22"/>
      <c r="E185" s="32"/>
      <c r="F185" s="34"/>
      <c r="G185" s="32"/>
      <c r="H185" s="93"/>
      <c r="I185" s="81"/>
      <c r="J185" s="34"/>
      <c r="K185" s="34"/>
      <c r="L185" s="34"/>
      <c r="M185" s="32"/>
      <c r="N185" s="34"/>
      <c r="O185" s="32"/>
      <c r="P185" s="34"/>
    </row>
    <row r="186" spans="1:16" ht="18.600000000000001" customHeight="1" x14ac:dyDescent="0.2">
      <c r="A186" s="7">
        <f t="shared" ref="A186:A209" si="31">A185+1</f>
        <v>2</v>
      </c>
      <c r="B186" s="26"/>
      <c r="C186" s="26"/>
      <c r="D186" s="22"/>
      <c r="E186" s="7"/>
      <c r="F186" s="7"/>
      <c r="G186" s="7"/>
      <c r="H186" s="7"/>
      <c r="I186" s="82"/>
      <c r="J186" s="7"/>
      <c r="K186" s="7"/>
      <c r="L186" s="7"/>
      <c r="M186" s="7"/>
      <c r="N186" s="7"/>
      <c r="O186" s="7"/>
      <c r="P186" s="7"/>
    </row>
    <row r="187" spans="1:16" ht="18.600000000000001" customHeight="1" x14ac:dyDescent="0.2">
      <c r="A187" s="7">
        <f t="shared" si="31"/>
        <v>3</v>
      </c>
      <c r="B187" s="26"/>
      <c r="C187" s="26"/>
      <c r="D187" s="22"/>
      <c r="E187" s="7"/>
      <c r="F187" s="7"/>
      <c r="G187" s="7"/>
      <c r="H187" s="7"/>
      <c r="I187" s="82"/>
      <c r="J187" s="7"/>
      <c r="K187" s="7"/>
      <c r="L187" s="7"/>
      <c r="M187" s="7"/>
      <c r="N187" s="7"/>
      <c r="O187" s="7"/>
      <c r="P187" s="7"/>
    </row>
    <row r="188" spans="1:16" ht="18.600000000000001" customHeight="1" x14ac:dyDescent="0.2">
      <c r="A188" s="7">
        <f t="shared" si="31"/>
        <v>4</v>
      </c>
      <c r="B188" s="26"/>
      <c r="C188" s="26"/>
      <c r="D188" s="22"/>
      <c r="E188" s="7"/>
      <c r="F188" s="7"/>
      <c r="G188" s="7"/>
      <c r="H188" s="7"/>
      <c r="I188" s="82"/>
      <c r="J188" s="7"/>
      <c r="K188" s="7"/>
      <c r="L188" s="7"/>
      <c r="M188" s="7"/>
      <c r="N188" s="7"/>
      <c r="O188" s="7"/>
      <c r="P188" s="7"/>
    </row>
    <row r="189" spans="1:16" ht="18.600000000000001" customHeight="1" x14ac:dyDescent="0.2">
      <c r="A189" s="6">
        <f t="shared" si="31"/>
        <v>5</v>
      </c>
      <c r="B189" s="58"/>
      <c r="C189" s="58"/>
      <c r="D189" s="59"/>
      <c r="E189" s="16"/>
      <c r="F189" s="16"/>
      <c r="G189" s="16"/>
      <c r="H189" s="16"/>
      <c r="I189" s="83"/>
      <c r="J189" s="16"/>
      <c r="K189" s="16"/>
      <c r="L189" s="16"/>
      <c r="M189" s="16"/>
      <c r="N189" s="16"/>
      <c r="O189" s="16"/>
      <c r="P189" s="16"/>
    </row>
    <row r="190" spans="1:16" ht="18.600000000000001" customHeight="1" x14ac:dyDescent="0.2">
      <c r="A190" s="56">
        <f t="shared" si="31"/>
        <v>6</v>
      </c>
      <c r="B190" s="57"/>
      <c r="C190" s="57"/>
      <c r="D190" s="21"/>
      <c r="E190" s="2"/>
      <c r="F190" s="2"/>
      <c r="G190" s="2"/>
      <c r="H190" s="2"/>
      <c r="I190" s="84"/>
      <c r="J190" s="2"/>
      <c r="K190" s="2"/>
      <c r="L190" s="2"/>
      <c r="M190" s="2"/>
      <c r="N190" s="2"/>
      <c r="O190" s="2"/>
      <c r="P190" s="2"/>
    </row>
    <row r="191" spans="1:16" ht="18.600000000000001" customHeight="1" x14ac:dyDescent="0.2">
      <c r="A191" s="6">
        <f t="shared" si="31"/>
        <v>7</v>
      </c>
      <c r="B191" s="26"/>
      <c r="C191" s="26"/>
      <c r="D191" s="22"/>
      <c r="E191" s="4"/>
      <c r="F191" s="4"/>
      <c r="G191" s="4"/>
      <c r="H191" s="4"/>
      <c r="I191" s="85"/>
      <c r="J191" s="4"/>
      <c r="K191" s="4"/>
      <c r="L191" s="4"/>
      <c r="M191" s="4"/>
      <c r="N191" s="4"/>
      <c r="O191" s="4"/>
      <c r="P191" s="4"/>
    </row>
    <row r="192" spans="1:16" ht="18.600000000000001" customHeight="1" x14ac:dyDescent="0.2">
      <c r="A192" s="6">
        <f t="shared" si="31"/>
        <v>8</v>
      </c>
      <c r="B192" s="26"/>
      <c r="C192" s="26"/>
      <c r="D192" s="22"/>
      <c r="E192" s="4"/>
      <c r="F192" s="4"/>
      <c r="G192" s="4"/>
      <c r="H192" s="4"/>
      <c r="I192" s="85"/>
      <c r="J192" s="4"/>
      <c r="K192" s="4"/>
      <c r="L192" s="4"/>
      <c r="M192" s="4"/>
      <c r="N192" s="4"/>
      <c r="O192" s="4"/>
      <c r="P192" s="4"/>
    </row>
    <row r="193" spans="1:16" ht="18.600000000000001" customHeight="1" x14ac:dyDescent="0.2">
      <c r="A193" s="6">
        <f t="shared" si="31"/>
        <v>9</v>
      </c>
      <c r="B193" s="26"/>
      <c r="C193" s="26"/>
      <c r="D193" s="22"/>
      <c r="E193" s="4"/>
      <c r="F193" s="4"/>
      <c r="G193" s="4"/>
      <c r="H193" s="4"/>
      <c r="I193" s="85"/>
      <c r="J193" s="4"/>
      <c r="K193" s="4"/>
      <c r="L193" s="4"/>
      <c r="M193" s="4"/>
      <c r="N193" s="4"/>
      <c r="O193" s="4"/>
      <c r="P193" s="4"/>
    </row>
    <row r="194" spans="1:16" ht="18.600000000000001" customHeight="1" x14ac:dyDescent="0.2">
      <c r="A194" s="10">
        <f t="shared" si="31"/>
        <v>10</v>
      </c>
      <c r="B194" s="62"/>
      <c r="C194" s="62"/>
      <c r="D194" s="23"/>
      <c r="E194" s="12"/>
      <c r="F194" s="12"/>
      <c r="G194" s="12"/>
      <c r="H194" s="12"/>
      <c r="I194" s="86"/>
      <c r="J194" s="12"/>
      <c r="K194" s="12"/>
      <c r="L194" s="12"/>
      <c r="M194" s="12"/>
      <c r="N194" s="12"/>
      <c r="O194" s="12"/>
      <c r="P194" s="12"/>
    </row>
    <row r="195" spans="1:16" ht="18.600000000000001" customHeight="1" x14ac:dyDescent="0.2">
      <c r="A195" s="35">
        <f t="shared" si="31"/>
        <v>11</v>
      </c>
      <c r="B195" s="60"/>
      <c r="C195" s="60"/>
      <c r="D195" s="61"/>
      <c r="E195" s="14"/>
      <c r="F195" s="14"/>
      <c r="G195" s="14"/>
      <c r="H195" s="14"/>
      <c r="I195" s="87"/>
      <c r="J195" s="14"/>
      <c r="K195" s="14"/>
      <c r="L195" s="14"/>
      <c r="M195" s="14"/>
      <c r="N195" s="14"/>
      <c r="O195" s="14"/>
      <c r="P195" s="14"/>
    </row>
    <row r="196" spans="1:16" ht="18.600000000000001" customHeight="1" x14ac:dyDescent="0.2">
      <c r="A196" s="7">
        <f t="shared" si="31"/>
        <v>12</v>
      </c>
      <c r="B196" s="26"/>
      <c r="C196" s="26"/>
      <c r="D196" s="22"/>
      <c r="E196" s="4"/>
      <c r="F196" s="4"/>
      <c r="G196" s="4"/>
      <c r="H196" s="4"/>
      <c r="I196" s="85"/>
      <c r="J196" s="4"/>
      <c r="K196" s="4"/>
      <c r="L196" s="4"/>
      <c r="M196" s="4"/>
      <c r="N196" s="4"/>
      <c r="O196" s="4"/>
      <c r="P196" s="4"/>
    </row>
    <row r="197" spans="1:16" ht="18.600000000000001" customHeight="1" x14ac:dyDescent="0.2">
      <c r="A197" s="7">
        <f t="shared" si="31"/>
        <v>13</v>
      </c>
      <c r="B197" s="26"/>
      <c r="C197" s="26"/>
      <c r="D197" s="22"/>
      <c r="E197" s="4"/>
      <c r="F197" s="4"/>
      <c r="G197" s="4"/>
      <c r="H197" s="4"/>
      <c r="I197" s="85"/>
      <c r="J197" s="4"/>
      <c r="K197" s="4"/>
      <c r="L197" s="4"/>
      <c r="M197" s="4"/>
      <c r="N197" s="4"/>
      <c r="O197" s="4"/>
      <c r="P197" s="4"/>
    </row>
    <row r="198" spans="1:16" ht="18.600000000000001" customHeight="1" x14ac:dyDescent="0.2">
      <c r="A198" s="7">
        <f t="shared" si="31"/>
        <v>14</v>
      </c>
      <c r="B198" s="3"/>
      <c r="C198" s="4"/>
      <c r="D198" s="8"/>
      <c r="E198" s="4"/>
      <c r="F198" s="4"/>
      <c r="G198" s="4"/>
      <c r="H198" s="4"/>
      <c r="I198" s="85"/>
      <c r="J198" s="4"/>
      <c r="K198" s="4"/>
      <c r="L198" s="4"/>
      <c r="M198" s="4"/>
      <c r="N198" s="4"/>
      <c r="O198" s="4"/>
      <c r="P198" s="4"/>
    </row>
    <row r="199" spans="1:16" ht="18.600000000000001" customHeight="1" x14ac:dyDescent="0.2">
      <c r="A199" s="6">
        <f t="shared" si="31"/>
        <v>15</v>
      </c>
      <c r="B199" s="15"/>
      <c r="C199" s="16"/>
      <c r="D199" s="5"/>
      <c r="E199" s="16"/>
      <c r="F199" s="16"/>
      <c r="G199" s="16"/>
      <c r="H199" s="16"/>
      <c r="I199" s="83"/>
      <c r="J199" s="16"/>
      <c r="K199" s="16"/>
      <c r="L199" s="16"/>
      <c r="M199" s="16"/>
      <c r="N199" s="16"/>
      <c r="O199" s="16"/>
      <c r="P199" s="16"/>
    </row>
    <row r="200" spans="1:16" ht="18.600000000000001" customHeight="1" x14ac:dyDescent="0.2">
      <c r="A200" s="32">
        <f t="shared" si="31"/>
        <v>16</v>
      </c>
      <c r="B200" s="1"/>
      <c r="C200" s="2"/>
      <c r="D200" s="33"/>
      <c r="E200" s="2"/>
      <c r="F200" s="2"/>
      <c r="G200" s="2"/>
      <c r="H200" s="2"/>
      <c r="I200" s="84"/>
      <c r="J200" s="2"/>
      <c r="K200" s="2"/>
      <c r="L200" s="2"/>
      <c r="M200" s="2"/>
      <c r="N200" s="2"/>
      <c r="O200" s="2"/>
      <c r="P200" s="2"/>
    </row>
    <row r="201" spans="1:16" ht="18.600000000000001" customHeight="1" x14ac:dyDescent="0.2">
      <c r="A201" s="7">
        <f t="shared" si="31"/>
        <v>17</v>
      </c>
      <c r="B201" s="3"/>
      <c r="C201" s="4"/>
      <c r="D201" s="8"/>
      <c r="E201" s="4"/>
      <c r="F201" s="4"/>
      <c r="G201" s="4"/>
      <c r="H201" s="4"/>
      <c r="I201" s="85"/>
      <c r="J201" s="4"/>
      <c r="K201" s="4"/>
      <c r="L201" s="4"/>
      <c r="M201" s="4"/>
      <c r="N201" s="4"/>
      <c r="O201" s="4"/>
      <c r="P201" s="4"/>
    </row>
    <row r="202" spans="1:16" ht="18.600000000000001" customHeight="1" x14ac:dyDescent="0.2">
      <c r="A202" s="7">
        <f t="shared" si="31"/>
        <v>18</v>
      </c>
      <c r="B202" s="3"/>
      <c r="C202" s="4"/>
      <c r="D202" s="8"/>
      <c r="E202" s="4"/>
      <c r="F202" s="4"/>
      <c r="G202" s="4"/>
      <c r="H202" s="4"/>
      <c r="I202" s="85"/>
      <c r="J202" s="4"/>
      <c r="K202" s="4"/>
      <c r="L202" s="4"/>
      <c r="M202" s="4"/>
      <c r="N202" s="4"/>
      <c r="O202" s="4"/>
      <c r="P202" s="4"/>
    </row>
    <row r="203" spans="1:16" ht="18.600000000000001" customHeight="1" x14ac:dyDescent="0.2">
      <c r="A203" s="7">
        <f t="shared" si="31"/>
        <v>19</v>
      </c>
      <c r="B203" s="3"/>
      <c r="C203" s="4"/>
      <c r="D203" s="8"/>
      <c r="E203" s="4"/>
      <c r="F203" s="4"/>
      <c r="G203" s="4"/>
      <c r="H203" s="4"/>
      <c r="I203" s="85"/>
      <c r="J203" s="4"/>
      <c r="K203" s="4"/>
      <c r="L203" s="4"/>
      <c r="M203" s="4"/>
      <c r="N203" s="4"/>
      <c r="O203" s="4"/>
      <c r="P203" s="4"/>
    </row>
    <row r="204" spans="1:16" ht="18.600000000000001" customHeight="1" x14ac:dyDescent="0.2">
      <c r="A204" s="10">
        <f t="shared" si="31"/>
        <v>20</v>
      </c>
      <c r="B204" s="11"/>
      <c r="C204" s="12"/>
      <c r="D204" s="9"/>
      <c r="E204" s="12"/>
      <c r="F204" s="12"/>
      <c r="G204" s="12"/>
      <c r="H204" s="12"/>
      <c r="I204" s="86"/>
      <c r="J204" s="12"/>
      <c r="K204" s="12"/>
      <c r="L204" s="12"/>
      <c r="M204" s="12"/>
      <c r="N204" s="12"/>
      <c r="O204" s="12"/>
      <c r="P204" s="12"/>
    </row>
    <row r="205" spans="1:16" ht="18.600000000000001" customHeight="1" x14ac:dyDescent="0.2">
      <c r="A205" s="35">
        <f t="shared" si="31"/>
        <v>21</v>
      </c>
      <c r="B205" s="13"/>
      <c r="C205" s="14"/>
      <c r="D205" s="37"/>
      <c r="E205" s="14"/>
      <c r="F205" s="14"/>
      <c r="G205" s="14"/>
      <c r="H205" s="14"/>
      <c r="I205" s="87"/>
      <c r="J205" s="14"/>
      <c r="K205" s="14"/>
      <c r="L205" s="14"/>
      <c r="M205" s="14"/>
      <c r="N205" s="14"/>
      <c r="O205" s="14"/>
      <c r="P205" s="14"/>
    </row>
    <row r="206" spans="1:16" ht="18.600000000000001" customHeight="1" x14ac:dyDescent="0.2">
      <c r="A206" s="7">
        <f t="shared" si="31"/>
        <v>22</v>
      </c>
      <c r="B206" s="3"/>
      <c r="C206" s="4"/>
      <c r="D206" s="8"/>
      <c r="E206" s="4"/>
      <c r="F206" s="4"/>
      <c r="G206" s="4"/>
      <c r="H206" s="4"/>
      <c r="I206" s="85"/>
      <c r="J206" s="4"/>
      <c r="K206" s="4"/>
      <c r="L206" s="4"/>
      <c r="M206" s="4"/>
      <c r="N206" s="4"/>
      <c r="O206" s="4"/>
      <c r="P206" s="4"/>
    </row>
    <row r="207" spans="1:16" ht="18.600000000000001" customHeight="1" x14ac:dyDescent="0.2">
      <c r="A207" s="35">
        <f t="shared" si="31"/>
        <v>23</v>
      </c>
      <c r="B207" s="3"/>
      <c r="C207" s="4"/>
      <c r="D207" s="8"/>
      <c r="E207" s="4"/>
      <c r="F207" s="4"/>
      <c r="G207" s="4"/>
      <c r="H207" s="4"/>
      <c r="I207" s="85"/>
      <c r="J207" s="4"/>
      <c r="K207" s="4"/>
      <c r="L207" s="4"/>
      <c r="M207" s="4"/>
      <c r="N207" s="4"/>
      <c r="O207" s="4"/>
      <c r="P207" s="4"/>
    </row>
    <row r="208" spans="1:16" ht="18.600000000000001" customHeight="1" x14ac:dyDescent="0.2">
      <c r="A208" s="7">
        <f t="shared" si="31"/>
        <v>24</v>
      </c>
      <c r="B208" s="3"/>
      <c r="C208" s="4"/>
      <c r="D208" s="8"/>
      <c r="E208" s="4"/>
      <c r="F208" s="4"/>
      <c r="G208" s="4"/>
      <c r="H208" s="4"/>
      <c r="I208" s="85"/>
      <c r="J208" s="4"/>
      <c r="K208" s="4"/>
      <c r="L208" s="4"/>
      <c r="M208" s="4"/>
      <c r="N208" s="4"/>
      <c r="O208" s="4"/>
      <c r="P208" s="4"/>
    </row>
    <row r="209" spans="1:16" ht="18.600000000000001" customHeight="1" x14ac:dyDescent="0.2">
      <c r="A209" s="35">
        <f t="shared" si="31"/>
        <v>25</v>
      </c>
      <c r="B209" s="11"/>
      <c r="C209" s="12"/>
      <c r="D209" s="9"/>
      <c r="E209" s="12"/>
      <c r="F209" s="12"/>
      <c r="G209" s="12"/>
      <c r="H209" s="12"/>
      <c r="I209" s="86"/>
      <c r="J209" s="12"/>
      <c r="K209" s="12"/>
      <c r="L209" s="12"/>
      <c r="M209" s="12"/>
      <c r="N209" s="12"/>
      <c r="O209" s="12"/>
      <c r="P209" s="12"/>
    </row>
    <row r="210" spans="1:16" ht="18.600000000000001" customHeight="1" x14ac:dyDescent="0.3">
      <c r="A210" s="147"/>
      <c r="B210" s="148"/>
      <c r="C210" s="147"/>
      <c r="D210" s="149"/>
      <c r="E210" s="150">
        <f>SUBTOTAL(9,E185:E209)</f>
        <v>0</v>
      </c>
      <c r="F210" s="152"/>
      <c r="G210" s="150">
        <f t="shared" ref="G210" si="32">SUBTOTAL(9,G185:G209)</f>
        <v>0</v>
      </c>
      <c r="H210" s="152"/>
      <c r="I210" s="150">
        <f t="shared" ref="I210" si="33">SUBTOTAL(9,I185:I209)</f>
        <v>0</v>
      </c>
      <c r="J210" s="152"/>
      <c r="K210" s="152"/>
      <c r="L210" s="152"/>
      <c r="M210" s="150">
        <f t="shared" ref="M210" si="34">SUBTOTAL(9,M185:M209)</f>
        <v>0</v>
      </c>
      <c r="N210" s="152"/>
      <c r="O210" s="150">
        <f t="shared" ref="O210" si="35">SUBTOTAL(9,O185:O209)</f>
        <v>0</v>
      </c>
      <c r="P210" s="152"/>
    </row>
    <row r="211" spans="1:16" ht="18.600000000000001" customHeight="1" x14ac:dyDescent="0.2">
      <c r="A211" s="434" t="str">
        <f>A181</f>
        <v>DANH SÁCH HÓA</v>
      </c>
      <c r="B211" s="434"/>
      <c r="C211" s="434"/>
      <c r="D211" s="434"/>
      <c r="E211" s="434"/>
      <c r="F211" s="434"/>
      <c r="G211" s="434"/>
      <c r="H211" s="434"/>
      <c r="I211" s="92">
        <v>8</v>
      </c>
      <c r="J211" s="48"/>
      <c r="K211" s="48"/>
      <c r="L211" s="48"/>
      <c r="M211" s="41"/>
      <c r="N211" s="41"/>
      <c r="O211" s="41"/>
      <c r="P211" s="41"/>
    </row>
    <row r="212" spans="1:16" ht="18.600000000000001" customHeight="1" x14ac:dyDescent="0.2">
      <c r="A212" s="28"/>
      <c r="B212" s="29"/>
      <c r="C212" s="30"/>
      <c r="D212" s="36"/>
      <c r="E212" s="28"/>
      <c r="F212" s="28"/>
      <c r="G212" s="28"/>
      <c r="H212" s="28"/>
      <c r="I212" s="79"/>
      <c r="J212" s="28"/>
      <c r="K212" s="28"/>
      <c r="L212" s="28"/>
      <c r="M212" s="28"/>
      <c r="N212" s="28"/>
      <c r="O212" s="28"/>
      <c r="P212" s="28"/>
    </row>
    <row r="213" spans="1:16" ht="18.600000000000001" customHeight="1" x14ac:dyDescent="0.2">
      <c r="A213" s="435" t="s">
        <v>374</v>
      </c>
      <c r="B213" s="435" t="s">
        <v>380</v>
      </c>
      <c r="C213" s="435" t="s">
        <v>383</v>
      </c>
      <c r="D213" s="437" t="s">
        <v>384</v>
      </c>
      <c r="E213" s="438" t="s">
        <v>385</v>
      </c>
      <c r="F213" s="439"/>
      <c r="G213" s="432" t="str">
        <f>$R$1</f>
        <v>Đợt 6</v>
      </c>
      <c r="H213" s="433"/>
      <c r="I213" s="432" t="str">
        <f>$T$1</f>
        <v>Đợt 7</v>
      </c>
      <c r="J213" s="433"/>
      <c r="K213" s="432" t="str">
        <f>$V$1</f>
        <v>Đợt 8</v>
      </c>
      <c r="L213" s="433"/>
      <c r="M213" s="432" t="str">
        <f>$X$1</f>
        <v>Đợt 9</v>
      </c>
      <c r="N213" s="433"/>
      <c r="O213" s="432" t="str">
        <f>$Z$1</f>
        <v>Đợt 10</v>
      </c>
      <c r="P213" s="433"/>
    </row>
    <row r="214" spans="1:16" ht="18.600000000000001" customHeight="1" x14ac:dyDescent="0.2">
      <c r="A214" s="436"/>
      <c r="B214" s="436"/>
      <c r="C214" s="436"/>
      <c r="D214" s="436"/>
      <c r="E214" s="31" t="s">
        <v>381</v>
      </c>
      <c r="F214" s="31" t="s">
        <v>382</v>
      </c>
      <c r="G214" s="31" t="s">
        <v>381</v>
      </c>
      <c r="H214" s="31" t="s">
        <v>382</v>
      </c>
      <c r="I214" s="80" t="s">
        <v>381</v>
      </c>
      <c r="J214" s="31" t="s">
        <v>382</v>
      </c>
      <c r="K214" s="80" t="s">
        <v>381</v>
      </c>
      <c r="L214" s="31" t="s">
        <v>382</v>
      </c>
      <c r="M214" s="31" t="s">
        <v>381</v>
      </c>
      <c r="N214" s="31" t="s">
        <v>382</v>
      </c>
      <c r="O214" s="31" t="s">
        <v>381</v>
      </c>
      <c r="P214" s="31" t="s">
        <v>382</v>
      </c>
    </row>
    <row r="215" spans="1:16" ht="18.600000000000001" customHeight="1" x14ac:dyDescent="0.2">
      <c r="A215" s="32">
        <v>1</v>
      </c>
      <c r="B215" s="26"/>
      <c r="C215" s="26"/>
      <c r="D215" s="22"/>
      <c r="E215" s="32"/>
      <c r="F215" s="34"/>
      <c r="G215" s="32"/>
      <c r="H215" s="93"/>
      <c r="I215" s="81"/>
      <c r="J215" s="34"/>
      <c r="K215" s="34"/>
      <c r="L215" s="34"/>
      <c r="M215" s="32"/>
      <c r="N215" s="34"/>
      <c r="O215" s="32"/>
      <c r="P215" s="34"/>
    </row>
    <row r="216" spans="1:16" ht="18.600000000000001" customHeight="1" x14ac:dyDescent="0.2">
      <c r="A216" s="7">
        <f t="shared" ref="A216:A239" si="36">A215+1</f>
        <v>2</v>
      </c>
      <c r="B216" s="26"/>
      <c r="C216" s="26"/>
      <c r="D216" s="22"/>
      <c r="E216" s="7"/>
      <c r="F216" s="7"/>
      <c r="G216" s="7"/>
      <c r="H216" s="7"/>
      <c r="I216" s="82"/>
      <c r="J216" s="7"/>
      <c r="K216" s="7"/>
      <c r="L216" s="7"/>
      <c r="M216" s="7"/>
      <c r="N216" s="7"/>
      <c r="O216" s="7"/>
      <c r="P216" s="7"/>
    </row>
    <row r="217" spans="1:16" ht="18.600000000000001" customHeight="1" x14ac:dyDescent="0.2">
      <c r="A217" s="7">
        <f t="shared" si="36"/>
        <v>3</v>
      </c>
      <c r="B217" s="26"/>
      <c r="C217" s="26"/>
      <c r="D217" s="22"/>
      <c r="E217" s="7"/>
      <c r="F217" s="7"/>
      <c r="G217" s="7"/>
      <c r="H217" s="7"/>
      <c r="I217" s="82"/>
      <c r="J217" s="7"/>
      <c r="K217" s="7"/>
      <c r="L217" s="7"/>
      <c r="M217" s="7"/>
      <c r="N217" s="7"/>
      <c r="O217" s="7"/>
      <c r="P217" s="7"/>
    </row>
    <row r="218" spans="1:16" ht="18.600000000000001" customHeight="1" x14ac:dyDescent="0.2">
      <c r="A218" s="7">
        <f t="shared" si="36"/>
        <v>4</v>
      </c>
      <c r="B218" s="26"/>
      <c r="C218" s="26"/>
      <c r="D218" s="22"/>
      <c r="E218" s="7"/>
      <c r="F218" s="7"/>
      <c r="G218" s="7"/>
      <c r="H218" s="7"/>
      <c r="I218" s="82"/>
      <c r="J218" s="7"/>
      <c r="K218" s="7"/>
      <c r="L218" s="7"/>
      <c r="M218" s="7"/>
      <c r="N218" s="7"/>
      <c r="O218" s="7"/>
      <c r="P218" s="7"/>
    </row>
    <row r="219" spans="1:16" ht="18.600000000000001" customHeight="1" x14ac:dyDescent="0.2">
      <c r="A219" s="6">
        <f t="shared" si="36"/>
        <v>5</v>
      </c>
      <c r="B219" s="58"/>
      <c r="C219" s="58"/>
      <c r="D219" s="59"/>
      <c r="E219" s="16"/>
      <c r="F219" s="16"/>
      <c r="G219" s="16"/>
      <c r="H219" s="16"/>
      <c r="I219" s="83"/>
      <c r="J219" s="16"/>
      <c r="K219" s="16"/>
      <c r="L219" s="16"/>
      <c r="M219" s="16"/>
      <c r="N219" s="16"/>
      <c r="O219" s="16"/>
      <c r="P219" s="16"/>
    </row>
    <row r="220" spans="1:16" ht="18.600000000000001" customHeight="1" x14ac:dyDescent="0.2">
      <c r="A220" s="56">
        <f t="shared" si="36"/>
        <v>6</v>
      </c>
      <c r="B220" s="57"/>
      <c r="C220" s="57"/>
      <c r="D220" s="21"/>
      <c r="E220" s="2"/>
      <c r="F220" s="2"/>
      <c r="G220" s="2"/>
      <c r="H220" s="2"/>
      <c r="I220" s="84"/>
      <c r="J220" s="2"/>
      <c r="K220" s="2"/>
      <c r="L220" s="2"/>
      <c r="M220" s="2"/>
      <c r="N220" s="2"/>
      <c r="O220" s="2"/>
      <c r="P220" s="2"/>
    </row>
    <row r="221" spans="1:16" ht="18.600000000000001" customHeight="1" x14ac:dyDescent="0.2">
      <c r="A221" s="6">
        <f t="shared" si="36"/>
        <v>7</v>
      </c>
      <c r="B221" s="26"/>
      <c r="C221" s="26"/>
      <c r="D221" s="22"/>
      <c r="E221" s="4"/>
      <c r="F221" s="4"/>
      <c r="G221" s="4"/>
      <c r="H221" s="4"/>
      <c r="I221" s="85"/>
      <c r="J221" s="4"/>
      <c r="K221" s="4"/>
      <c r="L221" s="4"/>
      <c r="M221" s="4"/>
      <c r="N221" s="4"/>
      <c r="O221" s="4"/>
      <c r="P221" s="4"/>
    </row>
    <row r="222" spans="1:16" ht="18.600000000000001" customHeight="1" x14ac:dyDescent="0.2">
      <c r="A222" s="6">
        <f t="shared" si="36"/>
        <v>8</v>
      </c>
      <c r="B222" s="26"/>
      <c r="C222" s="26"/>
      <c r="D222" s="22"/>
      <c r="E222" s="4"/>
      <c r="F222" s="4"/>
      <c r="G222" s="4"/>
      <c r="H222" s="4"/>
      <c r="I222" s="85"/>
      <c r="J222" s="4"/>
      <c r="K222" s="4"/>
      <c r="L222" s="4"/>
      <c r="M222" s="4"/>
      <c r="N222" s="4"/>
      <c r="O222" s="4"/>
      <c r="P222" s="4"/>
    </row>
    <row r="223" spans="1:16" ht="18.600000000000001" customHeight="1" x14ac:dyDescent="0.2">
      <c r="A223" s="6">
        <f t="shared" si="36"/>
        <v>9</v>
      </c>
      <c r="B223" s="26"/>
      <c r="C223" s="26"/>
      <c r="D223" s="22"/>
      <c r="E223" s="4"/>
      <c r="F223" s="4"/>
      <c r="G223" s="4"/>
      <c r="H223" s="4"/>
      <c r="I223" s="85"/>
      <c r="J223" s="4"/>
      <c r="K223" s="4"/>
      <c r="L223" s="4"/>
      <c r="M223" s="4"/>
      <c r="N223" s="4"/>
      <c r="O223" s="4"/>
      <c r="P223" s="4"/>
    </row>
    <row r="224" spans="1:16" ht="18.600000000000001" customHeight="1" x14ac:dyDescent="0.2">
      <c r="A224" s="10">
        <f t="shared" si="36"/>
        <v>10</v>
      </c>
      <c r="B224" s="62"/>
      <c r="C224" s="62"/>
      <c r="D224" s="23"/>
      <c r="E224" s="12"/>
      <c r="F224" s="12"/>
      <c r="G224" s="12"/>
      <c r="H224" s="12"/>
      <c r="I224" s="86"/>
      <c r="J224" s="12"/>
      <c r="K224" s="12"/>
      <c r="L224" s="12"/>
      <c r="M224" s="12"/>
      <c r="N224" s="12"/>
      <c r="O224" s="12"/>
      <c r="P224" s="12"/>
    </row>
    <row r="225" spans="1:16" ht="18.600000000000001" customHeight="1" x14ac:dyDescent="0.2">
      <c r="A225" s="35">
        <f t="shared" si="36"/>
        <v>11</v>
      </c>
      <c r="B225" s="60"/>
      <c r="C225" s="60"/>
      <c r="D225" s="61"/>
      <c r="E225" s="14"/>
      <c r="F225" s="14"/>
      <c r="G225" s="14"/>
      <c r="H225" s="14"/>
      <c r="I225" s="87"/>
      <c r="J225" s="14"/>
      <c r="K225" s="14"/>
      <c r="L225" s="14"/>
      <c r="M225" s="14"/>
      <c r="N225" s="14"/>
      <c r="O225" s="14"/>
      <c r="P225" s="14"/>
    </row>
    <row r="226" spans="1:16" ht="18.600000000000001" customHeight="1" x14ac:dyDescent="0.2">
      <c r="A226" s="7">
        <f t="shared" si="36"/>
        <v>12</v>
      </c>
      <c r="B226" s="26"/>
      <c r="C226" s="26"/>
      <c r="D226" s="22"/>
      <c r="E226" s="4"/>
      <c r="F226" s="4"/>
      <c r="G226" s="4"/>
      <c r="H226" s="4"/>
      <c r="I226" s="85"/>
      <c r="J226" s="4"/>
      <c r="K226" s="4"/>
      <c r="L226" s="4"/>
      <c r="M226" s="4"/>
      <c r="N226" s="4"/>
      <c r="O226" s="4"/>
      <c r="P226" s="4"/>
    </row>
    <row r="227" spans="1:16" ht="18.600000000000001" customHeight="1" x14ac:dyDescent="0.2">
      <c r="A227" s="7">
        <f t="shared" si="36"/>
        <v>13</v>
      </c>
      <c r="B227" s="26"/>
      <c r="C227" s="26"/>
      <c r="D227" s="22"/>
      <c r="E227" s="4"/>
      <c r="F227" s="4"/>
      <c r="G227" s="4"/>
      <c r="H227" s="4"/>
      <c r="I227" s="85"/>
      <c r="J227" s="4"/>
      <c r="K227" s="4"/>
      <c r="L227" s="4"/>
      <c r="M227" s="4"/>
      <c r="N227" s="4"/>
      <c r="O227" s="4"/>
      <c r="P227" s="4"/>
    </row>
    <row r="228" spans="1:16" ht="18.600000000000001" customHeight="1" x14ac:dyDescent="0.2">
      <c r="A228" s="7">
        <f t="shared" si="36"/>
        <v>14</v>
      </c>
      <c r="B228" s="3"/>
      <c r="C228" s="4"/>
      <c r="D228" s="8"/>
      <c r="E228" s="4"/>
      <c r="F228" s="4"/>
      <c r="G228" s="4"/>
      <c r="H228" s="4"/>
      <c r="I228" s="85"/>
      <c r="J228" s="4"/>
      <c r="K228" s="4"/>
      <c r="L228" s="4"/>
      <c r="M228" s="4"/>
      <c r="N228" s="4"/>
      <c r="O228" s="4"/>
      <c r="P228" s="4"/>
    </row>
    <row r="229" spans="1:16" ht="18.600000000000001" customHeight="1" x14ac:dyDescent="0.2">
      <c r="A229" s="6">
        <f t="shared" si="36"/>
        <v>15</v>
      </c>
      <c r="B229" s="15"/>
      <c r="C229" s="16"/>
      <c r="D229" s="5"/>
      <c r="E229" s="16"/>
      <c r="F229" s="16"/>
      <c r="G229" s="16"/>
      <c r="H229" s="16"/>
      <c r="I229" s="83"/>
      <c r="J229" s="16"/>
      <c r="K229" s="16"/>
      <c r="L229" s="16"/>
      <c r="M229" s="16"/>
      <c r="N229" s="16"/>
      <c r="O229" s="16"/>
      <c r="P229" s="16"/>
    </row>
    <row r="230" spans="1:16" ht="18.600000000000001" customHeight="1" x14ac:dyDescent="0.2">
      <c r="A230" s="32">
        <f t="shared" si="36"/>
        <v>16</v>
      </c>
      <c r="B230" s="1"/>
      <c r="C230" s="2"/>
      <c r="D230" s="33"/>
      <c r="E230" s="2"/>
      <c r="F230" s="2"/>
      <c r="G230" s="2"/>
      <c r="H230" s="2"/>
      <c r="I230" s="84"/>
      <c r="J230" s="2"/>
      <c r="K230" s="2"/>
      <c r="L230" s="2"/>
      <c r="M230" s="2"/>
      <c r="N230" s="2"/>
      <c r="O230" s="2"/>
      <c r="P230" s="2"/>
    </row>
    <row r="231" spans="1:16" ht="18.600000000000001" customHeight="1" x14ac:dyDescent="0.2">
      <c r="A231" s="7">
        <f t="shared" si="36"/>
        <v>17</v>
      </c>
      <c r="B231" s="3"/>
      <c r="C231" s="4"/>
      <c r="D231" s="8"/>
      <c r="E231" s="4"/>
      <c r="F231" s="4"/>
      <c r="G231" s="4"/>
      <c r="H231" s="4"/>
      <c r="I231" s="85"/>
      <c r="J231" s="4"/>
      <c r="K231" s="4"/>
      <c r="L231" s="4"/>
      <c r="M231" s="4"/>
      <c r="N231" s="4"/>
      <c r="O231" s="4"/>
      <c r="P231" s="4"/>
    </row>
    <row r="232" spans="1:16" ht="18.600000000000001" customHeight="1" x14ac:dyDescent="0.2">
      <c r="A232" s="7">
        <f t="shared" si="36"/>
        <v>18</v>
      </c>
      <c r="B232" s="3"/>
      <c r="C232" s="4"/>
      <c r="D232" s="8"/>
      <c r="E232" s="4"/>
      <c r="F232" s="4"/>
      <c r="G232" s="4"/>
      <c r="H232" s="4"/>
      <c r="I232" s="85"/>
      <c r="J232" s="4"/>
      <c r="K232" s="4"/>
      <c r="L232" s="4"/>
      <c r="M232" s="4"/>
      <c r="N232" s="4"/>
      <c r="O232" s="4"/>
      <c r="P232" s="4"/>
    </row>
    <row r="233" spans="1:16" ht="18.600000000000001" customHeight="1" x14ac:dyDescent="0.2">
      <c r="A233" s="7">
        <f t="shared" si="36"/>
        <v>19</v>
      </c>
      <c r="B233" s="3"/>
      <c r="C233" s="4"/>
      <c r="D233" s="8"/>
      <c r="E233" s="4"/>
      <c r="F233" s="4"/>
      <c r="G233" s="4"/>
      <c r="H233" s="4"/>
      <c r="I233" s="85"/>
      <c r="J233" s="4"/>
      <c r="K233" s="4"/>
      <c r="L233" s="4"/>
      <c r="M233" s="4"/>
      <c r="N233" s="4"/>
      <c r="O233" s="4"/>
      <c r="P233" s="4"/>
    </row>
    <row r="234" spans="1:16" ht="18.600000000000001" customHeight="1" x14ac:dyDescent="0.2">
      <c r="A234" s="10">
        <f t="shared" si="36"/>
        <v>20</v>
      </c>
      <c r="B234" s="11"/>
      <c r="C234" s="12"/>
      <c r="D234" s="9"/>
      <c r="E234" s="12"/>
      <c r="F234" s="12"/>
      <c r="G234" s="12"/>
      <c r="H234" s="12"/>
      <c r="I234" s="86"/>
      <c r="J234" s="12"/>
      <c r="K234" s="12"/>
      <c r="L234" s="12"/>
      <c r="M234" s="12"/>
      <c r="N234" s="12"/>
      <c r="O234" s="12"/>
      <c r="P234" s="12"/>
    </row>
    <row r="235" spans="1:16" ht="18.600000000000001" customHeight="1" x14ac:dyDescent="0.2">
      <c r="A235" s="35">
        <f t="shared" si="36"/>
        <v>21</v>
      </c>
      <c r="B235" s="13"/>
      <c r="C235" s="14"/>
      <c r="D235" s="37"/>
      <c r="E235" s="14"/>
      <c r="F235" s="14"/>
      <c r="G235" s="14"/>
      <c r="H235" s="14"/>
      <c r="I235" s="87"/>
      <c r="J235" s="14"/>
      <c r="K235" s="14"/>
      <c r="L235" s="14"/>
      <c r="M235" s="14"/>
      <c r="N235" s="14"/>
      <c r="O235" s="14"/>
      <c r="P235" s="14"/>
    </row>
    <row r="236" spans="1:16" ht="18.600000000000001" customHeight="1" x14ac:dyDescent="0.2">
      <c r="A236" s="7">
        <f t="shared" si="36"/>
        <v>22</v>
      </c>
      <c r="B236" s="3"/>
      <c r="C236" s="4"/>
      <c r="D236" s="8"/>
      <c r="E236" s="4"/>
      <c r="F236" s="4"/>
      <c r="G236" s="4"/>
      <c r="H236" s="4"/>
      <c r="I236" s="85"/>
      <c r="J236" s="4"/>
      <c r="K236" s="4"/>
      <c r="L236" s="4"/>
      <c r="M236" s="4"/>
      <c r="N236" s="4"/>
      <c r="O236" s="4"/>
      <c r="P236" s="4"/>
    </row>
    <row r="237" spans="1:16" ht="18.600000000000001" customHeight="1" x14ac:dyDescent="0.2">
      <c r="A237" s="35">
        <f t="shared" si="36"/>
        <v>23</v>
      </c>
      <c r="B237" s="3"/>
      <c r="C237" s="4"/>
      <c r="D237" s="8"/>
      <c r="E237" s="4"/>
      <c r="F237" s="4"/>
      <c r="G237" s="4"/>
      <c r="H237" s="4"/>
      <c r="I237" s="85"/>
      <c r="J237" s="4"/>
      <c r="K237" s="4"/>
      <c r="L237" s="4"/>
      <c r="M237" s="4"/>
      <c r="N237" s="4"/>
      <c r="O237" s="4"/>
      <c r="P237" s="4"/>
    </row>
    <row r="238" spans="1:16" ht="18.600000000000001" customHeight="1" x14ac:dyDescent="0.2">
      <c r="A238" s="7">
        <f t="shared" si="36"/>
        <v>24</v>
      </c>
      <c r="B238" s="3"/>
      <c r="C238" s="4"/>
      <c r="D238" s="8"/>
      <c r="E238" s="4"/>
      <c r="F238" s="4"/>
      <c r="G238" s="4"/>
      <c r="H238" s="4"/>
      <c r="I238" s="85"/>
      <c r="J238" s="4"/>
      <c r="K238" s="4"/>
      <c r="L238" s="4"/>
      <c r="M238" s="4"/>
      <c r="N238" s="4"/>
      <c r="O238" s="4"/>
      <c r="P238" s="4"/>
    </row>
    <row r="239" spans="1:16" ht="18.600000000000001" customHeight="1" x14ac:dyDescent="0.2">
      <c r="A239" s="35">
        <f t="shared" si="36"/>
        <v>25</v>
      </c>
      <c r="B239" s="11"/>
      <c r="C239" s="12"/>
      <c r="D239" s="9"/>
      <c r="E239" s="12"/>
      <c r="F239" s="12"/>
      <c r="G239" s="12"/>
      <c r="H239" s="12"/>
      <c r="I239" s="86"/>
      <c r="J239" s="12"/>
      <c r="K239" s="12"/>
      <c r="L239" s="12"/>
      <c r="M239" s="12"/>
      <c r="N239" s="12"/>
      <c r="O239" s="12"/>
      <c r="P239" s="12"/>
    </row>
    <row r="240" spans="1:16" ht="18.600000000000001" customHeight="1" x14ac:dyDescent="0.3">
      <c r="A240" s="147"/>
      <c r="B240" s="148"/>
      <c r="C240" s="147"/>
      <c r="D240" s="149"/>
      <c r="E240" s="150">
        <f>SUBTOTAL(9,E215:E239)</f>
        <v>0</v>
      </c>
      <c r="F240" s="152"/>
      <c r="G240" s="150">
        <f t="shared" ref="G240" si="37">SUBTOTAL(9,G215:G239)</f>
        <v>0</v>
      </c>
      <c r="H240" s="152"/>
      <c r="I240" s="150">
        <f t="shared" ref="I240" si="38">SUBTOTAL(9,I215:I239)</f>
        <v>0</v>
      </c>
      <c r="J240" s="152"/>
      <c r="K240" s="152"/>
      <c r="L240" s="152"/>
      <c r="M240" s="150">
        <f t="shared" ref="M240" si="39">SUBTOTAL(9,M215:M239)</f>
        <v>0</v>
      </c>
      <c r="N240" s="152"/>
      <c r="O240" s="150">
        <f t="shared" ref="O240" si="40">SUBTOTAL(9,O215:O239)</f>
        <v>0</v>
      </c>
      <c r="P240" s="152"/>
    </row>
    <row r="241" spans="1:16" ht="18.600000000000001" customHeight="1" x14ac:dyDescent="0.2">
      <c r="A241" s="434" t="str">
        <f>A211</f>
        <v>DANH SÁCH HÓA</v>
      </c>
      <c r="B241" s="434"/>
      <c r="C241" s="434"/>
      <c r="D241" s="434"/>
      <c r="E241" s="434"/>
      <c r="F241" s="434"/>
      <c r="G241" s="434"/>
      <c r="H241" s="434"/>
      <c r="I241" s="92">
        <v>9</v>
      </c>
      <c r="J241" s="48"/>
      <c r="K241" s="48"/>
      <c r="L241" s="48"/>
      <c r="M241" s="41"/>
      <c r="N241" s="41"/>
      <c r="O241" s="41"/>
      <c r="P241" s="41"/>
    </row>
    <row r="242" spans="1:16" ht="18.600000000000001" customHeight="1" x14ac:dyDescent="0.2">
      <c r="A242" s="28"/>
      <c r="B242" s="29"/>
      <c r="C242" s="30"/>
      <c r="D242" s="36"/>
      <c r="E242" s="28"/>
      <c r="F242" s="28"/>
      <c r="G242" s="28"/>
      <c r="H242" s="28"/>
      <c r="I242" s="79"/>
      <c r="J242" s="28"/>
      <c r="K242" s="28"/>
      <c r="L242" s="28"/>
      <c r="M242" s="28"/>
      <c r="N242" s="28"/>
      <c r="O242" s="28"/>
      <c r="P242" s="28"/>
    </row>
    <row r="243" spans="1:16" ht="18.600000000000001" customHeight="1" x14ac:dyDescent="0.2">
      <c r="A243" s="435" t="s">
        <v>374</v>
      </c>
      <c r="B243" s="435" t="s">
        <v>380</v>
      </c>
      <c r="C243" s="435" t="s">
        <v>383</v>
      </c>
      <c r="D243" s="437" t="s">
        <v>384</v>
      </c>
      <c r="E243" s="438" t="s">
        <v>385</v>
      </c>
      <c r="F243" s="439"/>
      <c r="G243" s="432" t="str">
        <f>$R$1</f>
        <v>Đợt 6</v>
      </c>
      <c r="H243" s="433"/>
      <c r="I243" s="432" t="str">
        <f>$T$1</f>
        <v>Đợt 7</v>
      </c>
      <c r="J243" s="433"/>
      <c r="K243" s="432" t="str">
        <f>$V$1</f>
        <v>Đợt 8</v>
      </c>
      <c r="L243" s="433"/>
      <c r="M243" s="432" t="str">
        <f>$X$1</f>
        <v>Đợt 9</v>
      </c>
      <c r="N243" s="433"/>
      <c r="O243" s="432" t="str">
        <f>$Z$1</f>
        <v>Đợt 10</v>
      </c>
      <c r="P243" s="433"/>
    </row>
    <row r="244" spans="1:16" ht="18.600000000000001" customHeight="1" x14ac:dyDescent="0.2">
      <c r="A244" s="436"/>
      <c r="B244" s="436"/>
      <c r="C244" s="436"/>
      <c r="D244" s="436"/>
      <c r="E244" s="31" t="s">
        <v>381</v>
      </c>
      <c r="F244" s="31" t="s">
        <v>382</v>
      </c>
      <c r="G244" s="31" t="s">
        <v>381</v>
      </c>
      <c r="H244" s="31" t="s">
        <v>382</v>
      </c>
      <c r="I244" s="80" t="s">
        <v>381</v>
      </c>
      <c r="J244" s="31" t="s">
        <v>382</v>
      </c>
      <c r="K244" s="80" t="s">
        <v>381</v>
      </c>
      <c r="L244" s="31" t="s">
        <v>382</v>
      </c>
      <c r="M244" s="31" t="s">
        <v>381</v>
      </c>
      <c r="N244" s="31" t="s">
        <v>382</v>
      </c>
      <c r="O244" s="31" t="s">
        <v>381</v>
      </c>
      <c r="P244" s="31" t="s">
        <v>382</v>
      </c>
    </row>
    <row r="245" spans="1:16" ht="18.600000000000001" customHeight="1" x14ac:dyDescent="0.2">
      <c r="A245" s="32">
        <v>1</v>
      </c>
      <c r="B245" s="26"/>
      <c r="C245" s="26"/>
      <c r="D245" s="22"/>
      <c r="E245" s="32"/>
      <c r="F245" s="34"/>
      <c r="G245" s="32"/>
      <c r="H245" s="93"/>
      <c r="I245" s="81"/>
      <c r="J245" s="34"/>
      <c r="K245" s="34"/>
      <c r="L245" s="34"/>
      <c r="M245" s="32"/>
      <c r="N245" s="34"/>
      <c r="O245" s="32"/>
      <c r="P245" s="34"/>
    </row>
    <row r="246" spans="1:16" ht="18.600000000000001" customHeight="1" x14ac:dyDescent="0.2">
      <c r="A246" s="7">
        <f t="shared" ref="A246:A269" si="41">A245+1</f>
        <v>2</v>
      </c>
      <c r="B246" s="26"/>
      <c r="C246" s="26"/>
      <c r="D246" s="22"/>
      <c r="E246" s="7"/>
      <c r="F246" s="7"/>
      <c r="G246" s="7"/>
      <c r="H246" s="7"/>
      <c r="I246" s="82"/>
      <c r="J246" s="7"/>
      <c r="K246" s="7"/>
      <c r="L246" s="7"/>
      <c r="M246" s="7"/>
      <c r="N246" s="7"/>
      <c r="O246" s="7"/>
      <c r="P246" s="7"/>
    </row>
    <row r="247" spans="1:16" ht="18.600000000000001" customHeight="1" x14ac:dyDescent="0.2">
      <c r="A247" s="7">
        <f t="shared" si="41"/>
        <v>3</v>
      </c>
      <c r="B247" s="26"/>
      <c r="C247" s="26"/>
      <c r="D247" s="22"/>
      <c r="E247" s="7"/>
      <c r="F247" s="7"/>
      <c r="G247" s="7"/>
      <c r="H247" s="7"/>
      <c r="I247" s="82"/>
      <c r="J247" s="7"/>
      <c r="K247" s="7"/>
      <c r="L247" s="7"/>
      <c r="M247" s="7"/>
      <c r="N247" s="7"/>
      <c r="O247" s="7"/>
      <c r="P247" s="7"/>
    </row>
    <row r="248" spans="1:16" ht="18.600000000000001" customHeight="1" x14ac:dyDescent="0.2">
      <c r="A248" s="7">
        <f t="shared" si="41"/>
        <v>4</v>
      </c>
      <c r="B248" s="26"/>
      <c r="C248" s="26"/>
      <c r="D248" s="22"/>
      <c r="E248" s="7"/>
      <c r="F248" s="7"/>
      <c r="G248" s="7"/>
      <c r="H248" s="7"/>
      <c r="I248" s="82"/>
      <c r="J248" s="7"/>
      <c r="K248" s="7"/>
      <c r="L248" s="7"/>
      <c r="M248" s="7"/>
      <c r="N248" s="7"/>
      <c r="O248" s="7"/>
      <c r="P248" s="7"/>
    </row>
    <row r="249" spans="1:16" ht="18.600000000000001" customHeight="1" x14ac:dyDescent="0.2">
      <c r="A249" s="6">
        <f t="shared" si="41"/>
        <v>5</v>
      </c>
      <c r="B249" s="58"/>
      <c r="C249" s="58"/>
      <c r="D249" s="59"/>
      <c r="E249" s="16"/>
      <c r="F249" s="16"/>
      <c r="G249" s="16"/>
      <c r="H249" s="16"/>
      <c r="I249" s="83"/>
      <c r="J249" s="16"/>
      <c r="K249" s="16"/>
      <c r="L249" s="16"/>
      <c r="M249" s="16"/>
      <c r="N249" s="16"/>
      <c r="O249" s="16"/>
      <c r="P249" s="16"/>
    </row>
    <row r="250" spans="1:16" ht="18.600000000000001" customHeight="1" x14ac:dyDescent="0.2">
      <c r="A250" s="56">
        <f t="shared" si="41"/>
        <v>6</v>
      </c>
      <c r="B250" s="57"/>
      <c r="C250" s="57"/>
      <c r="D250" s="21"/>
      <c r="E250" s="2"/>
      <c r="F250" s="2"/>
      <c r="G250" s="2"/>
      <c r="H250" s="2"/>
      <c r="I250" s="84"/>
      <c r="J250" s="2"/>
      <c r="K250" s="2"/>
      <c r="L250" s="2"/>
      <c r="M250" s="2"/>
      <c r="N250" s="2"/>
      <c r="O250" s="2"/>
      <c r="P250" s="2"/>
    </row>
    <row r="251" spans="1:16" ht="18.600000000000001" customHeight="1" x14ac:dyDescent="0.2">
      <c r="A251" s="6">
        <f t="shared" si="41"/>
        <v>7</v>
      </c>
      <c r="B251" s="26"/>
      <c r="C251" s="26"/>
      <c r="D251" s="22"/>
      <c r="E251" s="4"/>
      <c r="F251" s="4"/>
      <c r="G251" s="4"/>
      <c r="H251" s="4"/>
      <c r="I251" s="85"/>
      <c r="J251" s="4"/>
      <c r="K251" s="4"/>
      <c r="L251" s="4"/>
      <c r="M251" s="4"/>
      <c r="N251" s="4"/>
      <c r="O251" s="4"/>
      <c r="P251" s="4"/>
    </row>
    <row r="252" spans="1:16" ht="18.600000000000001" customHeight="1" x14ac:dyDescent="0.2">
      <c r="A252" s="6">
        <f t="shared" si="41"/>
        <v>8</v>
      </c>
      <c r="B252" s="26"/>
      <c r="C252" s="26"/>
      <c r="D252" s="22"/>
      <c r="E252" s="4"/>
      <c r="F252" s="4"/>
      <c r="G252" s="4"/>
      <c r="H252" s="4"/>
      <c r="I252" s="85"/>
      <c r="J252" s="4"/>
      <c r="K252" s="4"/>
      <c r="L252" s="4"/>
      <c r="M252" s="4"/>
      <c r="N252" s="4"/>
      <c r="O252" s="4"/>
      <c r="P252" s="4"/>
    </row>
    <row r="253" spans="1:16" ht="18.600000000000001" customHeight="1" x14ac:dyDescent="0.2">
      <c r="A253" s="6">
        <f t="shared" si="41"/>
        <v>9</v>
      </c>
      <c r="B253" s="26"/>
      <c r="C253" s="26"/>
      <c r="D253" s="22"/>
      <c r="E253" s="4"/>
      <c r="F253" s="4"/>
      <c r="G253" s="4"/>
      <c r="H253" s="4"/>
      <c r="I253" s="85"/>
      <c r="J253" s="4"/>
      <c r="K253" s="4"/>
      <c r="L253" s="4"/>
      <c r="M253" s="4"/>
      <c r="N253" s="4"/>
      <c r="O253" s="4"/>
      <c r="P253" s="4"/>
    </row>
    <row r="254" spans="1:16" ht="18.600000000000001" customHeight="1" x14ac:dyDescent="0.2">
      <c r="A254" s="10">
        <f t="shared" si="41"/>
        <v>10</v>
      </c>
      <c r="B254" s="62"/>
      <c r="C254" s="62"/>
      <c r="D254" s="23"/>
      <c r="E254" s="12"/>
      <c r="F254" s="12"/>
      <c r="G254" s="12"/>
      <c r="H254" s="12"/>
      <c r="I254" s="86"/>
      <c r="J254" s="12"/>
      <c r="K254" s="12"/>
      <c r="L254" s="12"/>
      <c r="M254" s="12"/>
      <c r="N254" s="12"/>
      <c r="O254" s="12"/>
      <c r="P254" s="12"/>
    </row>
    <row r="255" spans="1:16" ht="18.600000000000001" customHeight="1" x14ac:dyDescent="0.2">
      <c r="A255" s="35">
        <f t="shared" si="41"/>
        <v>11</v>
      </c>
      <c r="B255" s="60"/>
      <c r="C255" s="60"/>
      <c r="D255" s="61"/>
      <c r="E255" s="14"/>
      <c r="F255" s="14"/>
      <c r="G255" s="14"/>
      <c r="H255" s="14"/>
      <c r="I255" s="87"/>
      <c r="J255" s="14"/>
      <c r="K255" s="14"/>
      <c r="L255" s="14"/>
      <c r="M255" s="14"/>
      <c r="N255" s="14"/>
      <c r="O255" s="14"/>
      <c r="P255" s="14"/>
    </row>
    <row r="256" spans="1:16" ht="18.600000000000001" customHeight="1" x14ac:dyDescent="0.2">
      <c r="A256" s="7">
        <f t="shared" si="41"/>
        <v>12</v>
      </c>
      <c r="B256" s="26"/>
      <c r="C256" s="26"/>
      <c r="D256" s="22"/>
      <c r="E256" s="4"/>
      <c r="F256" s="4"/>
      <c r="G256" s="4"/>
      <c r="H256" s="4"/>
      <c r="I256" s="85"/>
      <c r="J256" s="4"/>
      <c r="K256" s="4"/>
      <c r="L256" s="4"/>
      <c r="M256" s="4"/>
      <c r="N256" s="4"/>
      <c r="O256" s="4"/>
      <c r="P256" s="4"/>
    </row>
    <row r="257" spans="1:16" ht="18.600000000000001" customHeight="1" x14ac:dyDescent="0.2">
      <c r="A257" s="7">
        <f t="shared" si="41"/>
        <v>13</v>
      </c>
      <c r="B257" s="26"/>
      <c r="C257" s="26"/>
      <c r="D257" s="22"/>
      <c r="E257" s="4"/>
      <c r="F257" s="4"/>
      <c r="G257" s="4"/>
      <c r="H257" s="4"/>
      <c r="I257" s="85"/>
      <c r="J257" s="4"/>
      <c r="K257" s="4"/>
      <c r="L257" s="4"/>
      <c r="M257" s="4"/>
      <c r="N257" s="4"/>
      <c r="O257" s="4"/>
      <c r="P257" s="4"/>
    </row>
    <row r="258" spans="1:16" ht="18.600000000000001" customHeight="1" x14ac:dyDescent="0.2">
      <c r="A258" s="7">
        <f t="shared" si="41"/>
        <v>14</v>
      </c>
      <c r="B258" s="3"/>
      <c r="C258" s="4"/>
      <c r="D258" s="8"/>
      <c r="E258" s="4"/>
      <c r="F258" s="4"/>
      <c r="G258" s="4"/>
      <c r="H258" s="4"/>
      <c r="I258" s="85"/>
      <c r="J258" s="4"/>
      <c r="K258" s="4"/>
      <c r="L258" s="4"/>
      <c r="M258" s="4"/>
      <c r="N258" s="4"/>
      <c r="O258" s="4"/>
      <c r="P258" s="4"/>
    </row>
    <row r="259" spans="1:16" ht="18.600000000000001" customHeight="1" x14ac:dyDescent="0.2">
      <c r="A259" s="6">
        <f t="shared" si="41"/>
        <v>15</v>
      </c>
      <c r="B259" s="15"/>
      <c r="C259" s="16"/>
      <c r="D259" s="5"/>
      <c r="E259" s="16"/>
      <c r="F259" s="16"/>
      <c r="G259" s="16"/>
      <c r="H259" s="16"/>
      <c r="I259" s="83"/>
      <c r="J259" s="16"/>
      <c r="K259" s="16"/>
      <c r="L259" s="16"/>
      <c r="M259" s="16"/>
      <c r="N259" s="16"/>
      <c r="O259" s="16"/>
      <c r="P259" s="16"/>
    </row>
    <row r="260" spans="1:16" ht="18.600000000000001" customHeight="1" x14ac:dyDescent="0.2">
      <c r="A260" s="32">
        <f t="shared" si="41"/>
        <v>16</v>
      </c>
      <c r="B260" s="1"/>
      <c r="C260" s="2"/>
      <c r="D260" s="33"/>
      <c r="E260" s="2"/>
      <c r="F260" s="2"/>
      <c r="G260" s="2"/>
      <c r="H260" s="2"/>
      <c r="I260" s="84"/>
      <c r="J260" s="2"/>
      <c r="K260" s="2"/>
      <c r="L260" s="2"/>
      <c r="M260" s="2"/>
      <c r="N260" s="2"/>
      <c r="O260" s="2"/>
      <c r="P260" s="2"/>
    </row>
    <row r="261" spans="1:16" ht="18.600000000000001" customHeight="1" x14ac:dyDescent="0.2">
      <c r="A261" s="7">
        <f t="shared" si="41"/>
        <v>17</v>
      </c>
      <c r="B261" s="3"/>
      <c r="C261" s="4"/>
      <c r="D261" s="8"/>
      <c r="E261" s="4"/>
      <c r="F261" s="4"/>
      <c r="G261" s="4"/>
      <c r="H261" s="4"/>
      <c r="I261" s="85"/>
      <c r="J261" s="4"/>
      <c r="K261" s="4"/>
      <c r="L261" s="4"/>
      <c r="M261" s="4"/>
      <c r="N261" s="4"/>
      <c r="O261" s="4"/>
      <c r="P261" s="4"/>
    </row>
    <row r="262" spans="1:16" ht="18.600000000000001" customHeight="1" x14ac:dyDescent="0.2">
      <c r="A262" s="7">
        <f t="shared" si="41"/>
        <v>18</v>
      </c>
      <c r="B262" s="3"/>
      <c r="C262" s="4"/>
      <c r="D262" s="8"/>
      <c r="E262" s="4"/>
      <c r="F262" s="4"/>
      <c r="G262" s="4"/>
      <c r="H262" s="4"/>
      <c r="I262" s="85"/>
      <c r="J262" s="4"/>
      <c r="K262" s="4"/>
      <c r="L262" s="4"/>
      <c r="M262" s="4"/>
      <c r="N262" s="4"/>
      <c r="O262" s="4"/>
      <c r="P262" s="4"/>
    </row>
    <row r="263" spans="1:16" ht="18.600000000000001" customHeight="1" x14ac:dyDescent="0.2">
      <c r="A263" s="7">
        <f t="shared" si="41"/>
        <v>19</v>
      </c>
      <c r="B263" s="3"/>
      <c r="C263" s="4"/>
      <c r="D263" s="8"/>
      <c r="E263" s="4"/>
      <c r="F263" s="4"/>
      <c r="G263" s="4"/>
      <c r="H263" s="4"/>
      <c r="I263" s="85"/>
      <c r="J263" s="4"/>
      <c r="K263" s="4"/>
      <c r="L263" s="4"/>
      <c r="M263" s="4"/>
      <c r="N263" s="4"/>
      <c r="O263" s="4"/>
      <c r="P263" s="4"/>
    </row>
    <row r="264" spans="1:16" ht="18.600000000000001" customHeight="1" x14ac:dyDescent="0.2">
      <c r="A264" s="10">
        <f t="shared" si="41"/>
        <v>20</v>
      </c>
      <c r="B264" s="11"/>
      <c r="C264" s="12"/>
      <c r="D264" s="9"/>
      <c r="E264" s="12"/>
      <c r="F264" s="12"/>
      <c r="G264" s="12"/>
      <c r="H264" s="12"/>
      <c r="I264" s="86"/>
      <c r="J264" s="12"/>
      <c r="K264" s="12"/>
      <c r="L264" s="12"/>
      <c r="M264" s="12"/>
      <c r="N264" s="12"/>
      <c r="O264" s="12"/>
      <c r="P264" s="12"/>
    </row>
    <row r="265" spans="1:16" ht="18.600000000000001" customHeight="1" x14ac:dyDescent="0.2">
      <c r="A265" s="35">
        <f t="shared" si="41"/>
        <v>21</v>
      </c>
      <c r="B265" s="13"/>
      <c r="C265" s="14"/>
      <c r="D265" s="37"/>
      <c r="E265" s="14"/>
      <c r="F265" s="14"/>
      <c r="G265" s="14"/>
      <c r="H265" s="14"/>
      <c r="I265" s="87"/>
      <c r="J265" s="14"/>
      <c r="K265" s="14"/>
      <c r="L265" s="14"/>
      <c r="M265" s="14"/>
      <c r="N265" s="14"/>
      <c r="O265" s="14"/>
      <c r="P265" s="14"/>
    </row>
    <row r="266" spans="1:16" ht="18.600000000000001" customHeight="1" x14ac:dyDescent="0.2">
      <c r="A266" s="7">
        <f t="shared" si="41"/>
        <v>22</v>
      </c>
      <c r="B266" s="3"/>
      <c r="C266" s="4"/>
      <c r="D266" s="8"/>
      <c r="E266" s="4"/>
      <c r="F266" s="4"/>
      <c r="G266" s="4"/>
      <c r="H266" s="4"/>
      <c r="I266" s="85"/>
      <c r="J266" s="4"/>
      <c r="K266" s="4"/>
      <c r="L266" s="4"/>
      <c r="M266" s="4"/>
      <c r="N266" s="4"/>
      <c r="O266" s="4"/>
      <c r="P266" s="4"/>
    </row>
    <row r="267" spans="1:16" ht="18.600000000000001" customHeight="1" x14ac:dyDescent="0.2">
      <c r="A267" s="35">
        <f t="shared" si="41"/>
        <v>23</v>
      </c>
      <c r="B267" s="3"/>
      <c r="C267" s="4"/>
      <c r="D267" s="8"/>
      <c r="E267" s="4"/>
      <c r="F267" s="4"/>
      <c r="G267" s="4"/>
      <c r="H267" s="4"/>
      <c r="I267" s="85"/>
      <c r="J267" s="4"/>
      <c r="K267" s="4"/>
      <c r="L267" s="4"/>
      <c r="M267" s="4"/>
      <c r="N267" s="4"/>
      <c r="O267" s="4"/>
      <c r="P267" s="4"/>
    </row>
    <row r="268" spans="1:16" ht="18.600000000000001" customHeight="1" x14ac:dyDescent="0.2">
      <c r="A268" s="7">
        <f t="shared" si="41"/>
        <v>24</v>
      </c>
      <c r="B268" s="3"/>
      <c r="C268" s="4"/>
      <c r="D268" s="8"/>
      <c r="E268" s="4"/>
      <c r="F268" s="4"/>
      <c r="G268" s="4"/>
      <c r="H268" s="4"/>
      <c r="I268" s="85"/>
      <c r="J268" s="4"/>
      <c r="K268" s="4"/>
      <c r="L268" s="4"/>
      <c r="M268" s="4"/>
      <c r="N268" s="4"/>
      <c r="O268" s="4"/>
      <c r="P268" s="4"/>
    </row>
    <row r="269" spans="1:16" ht="18.600000000000001" customHeight="1" x14ac:dyDescent="0.2">
      <c r="A269" s="35">
        <f t="shared" si="41"/>
        <v>25</v>
      </c>
      <c r="B269" s="11"/>
      <c r="C269" s="12"/>
      <c r="D269" s="9"/>
      <c r="E269" s="12"/>
      <c r="F269" s="12"/>
      <c r="G269" s="12"/>
      <c r="H269" s="12"/>
      <c r="I269" s="86"/>
      <c r="J269" s="12"/>
      <c r="K269" s="12"/>
      <c r="L269" s="12"/>
      <c r="M269" s="12"/>
      <c r="N269" s="12"/>
      <c r="O269" s="12"/>
      <c r="P269" s="12"/>
    </row>
    <row r="270" spans="1:16" ht="18.600000000000001" customHeight="1" x14ac:dyDescent="0.3">
      <c r="A270" s="147"/>
      <c r="B270" s="148"/>
      <c r="C270" s="147"/>
      <c r="D270" s="149"/>
      <c r="E270" s="150">
        <f>SUBTOTAL(9,E245:E269)</f>
        <v>0</v>
      </c>
      <c r="F270" s="152"/>
      <c r="G270" s="150">
        <f t="shared" ref="G270" si="42">SUBTOTAL(9,G245:G269)</f>
        <v>0</v>
      </c>
      <c r="H270" s="152"/>
      <c r="I270" s="150">
        <f t="shared" ref="I270" si="43">SUBTOTAL(9,I245:I269)</f>
        <v>0</v>
      </c>
      <c r="J270" s="152"/>
      <c r="K270" s="152"/>
      <c r="L270" s="152"/>
      <c r="M270" s="150">
        <f t="shared" ref="M270" si="44">SUBTOTAL(9,M245:M269)</f>
        <v>0</v>
      </c>
      <c r="N270" s="152"/>
      <c r="O270" s="150">
        <f t="shared" ref="O270" si="45">SUBTOTAL(9,O245:O269)</f>
        <v>0</v>
      </c>
      <c r="P270" s="152"/>
    </row>
  </sheetData>
  <mergeCells count="112">
    <mergeCell ref="C33:C34"/>
    <mergeCell ref="D33:D34"/>
    <mergeCell ref="E33:F33"/>
    <mergeCell ref="X1:Y1"/>
    <mergeCell ref="A1:H1"/>
    <mergeCell ref="R1:S1"/>
    <mergeCell ref="T1:U1"/>
    <mergeCell ref="V1:W1"/>
    <mergeCell ref="G33:H33"/>
    <mergeCell ref="I33:J33"/>
    <mergeCell ref="M33:N33"/>
    <mergeCell ref="O33:P33"/>
    <mergeCell ref="A61:H61"/>
    <mergeCell ref="Z1:AA1"/>
    <mergeCell ref="AB1:AC1"/>
    <mergeCell ref="Z2:AA2"/>
    <mergeCell ref="AB2:AC2"/>
    <mergeCell ref="O3:P3"/>
    <mergeCell ref="A3:A4"/>
    <mergeCell ref="B3:B4"/>
    <mergeCell ref="C3:C4"/>
    <mergeCell ref="D3:D4"/>
    <mergeCell ref="E3:F3"/>
    <mergeCell ref="R2:S2"/>
    <mergeCell ref="T2:U2"/>
    <mergeCell ref="V2:W2"/>
    <mergeCell ref="X2:Y2"/>
    <mergeCell ref="G3:H3"/>
    <mergeCell ref="I3:J3"/>
    <mergeCell ref="K3:L3"/>
    <mergeCell ref="M3:N3"/>
    <mergeCell ref="S9:T9"/>
    <mergeCell ref="K33:L33"/>
    <mergeCell ref="A31:H31"/>
    <mergeCell ref="A33:A34"/>
    <mergeCell ref="B33:B34"/>
    <mergeCell ref="G63:H63"/>
    <mergeCell ref="I63:J63"/>
    <mergeCell ref="M63:N63"/>
    <mergeCell ref="O63:P63"/>
    <mergeCell ref="A91:H91"/>
    <mergeCell ref="A63:A64"/>
    <mergeCell ref="B63:B64"/>
    <mergeCell ref="C63:C64"/>
    <mergeCell ref="D63:D64"/>
    <mergeCell ref="E63:F63"/>
    <mergeCell ref="K63:L63"/>
    <mergeCell ref="G93:H93"/>
    <mergeCell ref="I93:J93"/>
    <mergeCell ref="M93:N93"/>
    <mergeCell ref="O93:P93"/>
    <mergeCell ref="A121:H121"/>
    <mergeCell ref="A93:A94"/>
    <mergeCell ref="B93:B94"/>
    <mergeCell ref="C93:C94"/>
    <mergeCell ref="D93:D94"/>
    <mergeCell ref="E93:F93"/>
    <mergeCell ref="K93:L93"/>
    <mergeCell ref="G123:H123"/>
    <mergeCell ref="I123:J123"/>
    <mergeCell ref="M123:N123"/>
    <mergeCell ref="O123:P123"/>
    <mergeCell ref="A151:H151"/>
    <mergeCell ref="A123:A124"/>
    <mergeCell ref="B123:B124"/>
    <mergeCell ref="C123:C124"/>
    <mergeCell ref="D123:D124"/>
    <mergeCell ref="E123:F123"/>
    <mergeCell ref="K123:L123"/>
    <mergeCell ref="I243:J243"/>
    <mergeCell ref="M243:N243"/>
    <mergeCell ref="O243:P243"/>
    <mergeCell ref="M153:N153"/>
    <mergeCell ref="O153:P153"/>
    <mergeCell ref="A181:H181"/>
    <mergeCell ref="A153:A154"/>
    <mergeCell ref="B153:B154"/>
    <mergeCell ref="C153:C154"/>
    <mergeCell ref="D153:D154"/>
    <mergeCell ref="E153:F153"/>
    <mergeCell ref="K153:L153"/>
    <mergeCell ref="G153:H153"/>
    <mergeCell ref="I153:J153"/>
    <mergeCell ref="K183:L183"/>
    <mergeCell ref="K213:L213"/>
    <mergeCell ref="K243:L243"/>
    <mergeCell ref="G183:H183"/>
    <mergeCell ref="I183:J183"/>
    <mergeCell ref="M183:N183"/>
    <mergeCell ref="O183:P183"/>
    <mergeCell ref="A211:H211"/>
    <mergeCell ref="A183:A184"/>
    <mergeCell ref="B183:B184"/>
    <mergeCell ref="C183:C184"/>
    <mergeCell ref="D183:D184"/>
    <mergeCell ref="E183:F183"/>
    <mergeCell ref="A243:A244"/>
    <mergeCell ref="B243:B244"/>
    <mergeCell ref="C243:C244"/>
    <mergeCell ref="D243:D244"/>
    <mergeCell ref="E243:F243"/>
    <mergeCell ref="G213:H213"/>
    <mergeCell ref="G243:H243"/>
    <mergeCell ref="I213:J213"/>
    <mergeCell ref="M213:N213"/>
    <mergeCell ref="O213:P213"/>
    <mergeCell ref="A241:H241"/>
    <mergeCell ref="A213:A214"/>
    <mergeCell ref="B213:B214"/>
    <mergeCell ref="C213:C214"/>
    <mergeCell ref="D213:D214"/>
    <mergeCell ref="E213:F213"/>
  </mergeCells>
  <phoneticPr fontId="6" type="noConversion"/>
  <conditionalFormatting sqref="A30:D30 F30 H30 J30:L30 N30 P30">
    <cfRule type="expression" dxfId="2172" priority="433">
      <formula>ISODD(ROW())</formula>
    </cfRule>
    <cfRule type="expression" dxfId="2171" priority="416">
      <formula>ISODD(ROW())</formula>
    </cfRule>
    <cfRule type="expression" dxfId="2170" priority="444">
      <formula>MOD(ROW(),2)=1</formula>
    </cfRule>
    <cfRule type="expression" dxfId="2169" priority="431">
      <formula>ISOODD(ROW())</formula>
    </cfRule>
    <cfRule type="expression" dxfId="2168" priority="430">
      <formula>-ISODD(ROW())</formula>
    </cfRule>
  </conditionalFormatting>
  <conditionalFormatting sqref="A60:D60 F60 H60 J60:L60 N60 P60">
    <cfRule type="expression" dxfId="2167" priority="387">
      <formula>-ISODD(ROW())</formula>
    </cfRule>
    <cfRule type="expression" dxfId="2166" priority="373">
      <formula>ISODD(ROW())</formula>
    </cfRule>
    <cfRule type="expression" dxfId="2165" priority="388">
      <formula>ISOODD(ROW())</formula>
    </cfRule>
    <cfRule type="expression" dxfId="2164" priority="390">
      <formula>ISODD(ROW())</formula>
    </cfRule>
    <cfRule type="expression" dxfId="2163" priority="401">
      <formula>MOD(ROW(),2)=1</formula>
    </cfRule>
  </conditionalFormatting>
  <conditionalFormatting sqref="A90:D90 F90 H90 J90:L90 N90 P90">
    <cfRule type="expression" dxfId="2162" priority="326">
      <formula>ISODD(ROW())</formula>
    </cfRule>
    <cfRule type="expression" dxfId="2161" priority="343">
      <formula>ISODD(ROW())</formula>
    </cfRule>
    <cfRule type="expression" dxfId="2160" priority="340">
      <formula>-ISODD(ROW())</formula>
    </cfRule>
    <cfRule type="expression" dxfId="2159" priority="341">
      <formula>ISOODD(ROW())</formula>
    </cfRule>
    <cfRule type="expression" dxfId="2158" priority="354">
      <formula>MOD(ROW(),2)=1</formula>
    </cfRule>
  </conditionalFormatting>
  <conditionalFormatting sqref="A1:P29">
    <cfRule type="expression" dxfId="2157" priority="59">
      <formula>ISODD(ROW())</formula>
    </cfRule>
  </conditionalFormatting>
  <conditionalFormatting sqref="A2:P4 A5:A17 E5:P17 A18:P29">
    <cfRule type="expression" dxfId="2156" priority="87">
      <formula>MOD(ROW(),2)=1</formula>
    </cfRule>
  </conditionalFormatting>
  <conditionalFormatting sqref="A3:P4 A5:A14 E5:P14 A15:P29">
    <cfRule type="expression" dxfId="2155" priority="74">
      <formula>ISOODD(ROW())</formula>
    </cfRule>
    <cfRule type="expression" dxfId="2154" priority="73">
      <formula>-ISODD(ROW())</formula>
    </cfRule>
  </conditionalFormatting>
  <conditionalFormatting sqref="A31:P59">
    <cfRule type="expression" dxfId="2153" priority="30">
      <formula>ISODD(ROW())</formula>
    </cfRule>
  </conditionalFormatting>
  <conditionalFormatting sqref="A32:P34 A35:A47 E35:P47 A48:P59">
    <cfRule type="expression" dxfId="2152" priority="58">
      <formula>MOD(ROW(),2)=1</formula>
    </cfRule>
  </conditionalFormatting>
  <conditionalFormatting sqref="A33:P34 A35:A44 E35:P44 A45:P59">
    <cfRule type="expression" dxfId="2151" priority="44">
      <formula>-ISODD(ROW())</formula>
    </cfRule>
    <cfRule type="expression" dxfId="2150" priority="45">
      <formula>ISOODD(ROW())</formula>
    </cfRule>
  </conditionalFormatting>
  <conditionalFormatting sqref="A61:P89">
    <cfRule type="expression" dxfId="2149" priority="1">
      <formula>ISODD(ROW())</formula>
    </cfRule>
  </conditionalFormatting>
  <conditionalFormatting sqref="A62:P64 A65:A77 E65:P77 A78:P89">
    <cfRule type="expression" dxfId="2148" priority="29">
      <formula>MOD(ROW(),2)=1</formula>
    </cfRule>
  </conditionalFormatting>
  <conditionalFormatting sqref="A63:P64 A65:A74 E65:P74 A75:P89">
    <cfRule type="expression" dxfId="2147" priority="15">
      <formula>-ISODD(ROW())</formula>
    </cfRule>
    <cfRule type="expression" dxfId="2146" priority="16">
      <formula>ISOODD(ROW())</formula>
    </cfRule>
  </conditionalFormatting>
  <conditionalFormatting sqref="A91:P119 A120:D120 F120 H120 J120:L120 N120 P120">
    <cfRule type="expression" dxfId="2145" priority="288">
      <formula>ISODD(ROW())</formula>
    </cfRule>
  </conditionalFormatting>
  <conditionalFormatting sqref="A92:P94 A95:A107 E95:P107 A108:P119 A120:D120 F120 H120 J120:L120 N120 P120">
    <cfRule type="expression" dxfId="2144" priority="316">
      <formula>MOD(ROW(),2)=1</formula>
    </cfRule>
  </conditionalFormatting>
  <conditionalFormatting sqref="A93:P94 A95:A104 E95:P104 A105:P119 A120:D120 F120 H120 J120:L120 N120 P120">
    <cfRule type="expression" dxfId="2143" priority="302">
      <formula>-ISODD(ROW())</formula>
    </cfRule>
    <cfRule type="expression" dxfId="2142" priority="303">
      <formula>ISOODD(ROW())</formula>
    </cfRule>
  </conditionalFormatting>
  <conditionalFormatting sqref="A121:P149 A150:D150 F150 H150 J150:L150 N150 P150">
    <cfRule type="expression" dxfId="2141" priority="250">
      <formula>ISODD(ROW())</formula>
    </cfRule>
  </conditionalFormatting>
  <conditionalFormatting sqref="A122:P124 A125:A137 E125:P137 A138:P149 A150:D150 F150 H150 J150:L150 N150 P150">
    <cfRule type="expression" dxfId="2140" priority="278">
      <formula>MOD(ROW(),2)=1</formula>
    </cfRule>
  </conditionalFormatting>
  <conditionalFormatting sqref="A123:P124 A125:A134 E125:P134 A135:P149 A150:D150 F150 H150 J150:L150 N150 P150">
    <cfRule type="expression" dxfId="2139" priority="264">
      <formula>-ISODD(ROW())</formula>
    </cfRule>
    <cfRule type="expression" dxfId="2138" priority="265">
      <formula>ISOODD(ROW())</formula>
    </cfRule>
  </conditionalFormatting>
  <conditionalFormatting sqref="A151:P179 A180:D180 F180 H180 J180:L180 N180 P180">
    <cfRule type="expression" dxfId="2137" priority="211">
      <formula>ISODD(ROW())</formula>
    </cfRule>
  </conditionalFormatting>
  <conditionalFormatting sqref="A152:P154 A155:A167 E155:P167 A168:P179 A180:D180 F180 H180 J180:L180 N180 P180">
    <cfRule type="expression" dxfId="2136" priority="239">
      <formula>MOD(ROW(),2)=1</formula>
    </cfRule>
  </conditionalFormatting>
  <conditionalFormatting sqref="A153:P154 A155:A164 E155:P164 A165:P179 A180:D180 F180 H180 J180:L180 N180 P180">
    <cfRule type="expression" dxfId="2135" priority="226">
      <formula>ISOODD(ROW())</formula>
    </cfRule>
    <cfRule type="expression" dxfId="2134" priority="225">
      <formula>-ISODD(ROW())</formula>
    </cfRule>
  </conditionalFormatting>
  <conditionalFormatting sqref="A181:P209 A210:D210 F210 H210 J210:L210 N210 P210">
    <cfRule type="expression" dxfId="2133" priority="173">
      <formula>ISODD(ROW())</formula>
    </cfRule>
  </conditionalFormatting>
  <conditionalFormatting sqref="A182:P184 A185:A197 E185:P197 A198:P209 A210:D210 F210 H210 J210:L210 N210 P210">
    <cfRule type="expression" dxfId="2132" priority="201">
      <formula>MOD(ROW(),2)=1</formula>
    </cfRule>
  </conditionalFormatting>
  <conditionalFormatting sqref="A183:P184 A185:A194 E185:P194 A195:P209 A210:D210 F210 H210 J210:L210 N210 P210">
    <cfRule type="expression" dxfId="2131" priority="188">
      <formula>ISOODD(ROW())</formula>
    </cfRule>
    <cfRule type="expression" dxfId="2130" priority="187">
      <formula>-ISODD(ROW())</formula>
    </cfRule>
  </conditionalFormatting>
  <conditionalFormatting sqref="A211:P239 A240:D240 F240 H240 J240:L240 N240 P240">
    <cfRule type="expression" dxfId="2129" priority="135">
      <formula>ISODD(ROW())</formula>
    </cfRule>
  </conditionalFormatting>
  <conditionalFormatting sqref="A212:P214 A215:A227 E215:P227 A228:P239 A240:D240 F240 H240 J240:L240 N240 P240">
    <cfRule type="expression" dxfId="2128" priority="163">
      <formula>MOD(ROW(),2)=1</formula>
    </cfRule>
  </conditionalFormatting>
  <conditionalFormatting sqref="A213:P214 A215:A224 E215:P224 A225:P239 A240:D240 F240 H240 J240:L240 N240 P240">
    <cfRule type="expression" dxfId="2127" priority="149">
      <formula>-ISODD(ROW())</formula>
    </cfRule>
    <cfRule type="expression" dxfId="2126" priority="150">
      <formula>ISOODD(ROW())</formula>
    </cfRule>
  </conditionalFormatting>
  <conditionalFormatting sqref="A241:P269 A270:D270 F270 H270 J270:L270 N270 P270">
    <cfRule type="expression" dxfId="2125" priority="97">
      <formula>ISODD(ROW())</formula>
    </cfRule>
  </conditionalFormatting>
  <conditionalFormatting sqref="A242:P244 A245:A257 E245:P257 A258:P269 A270:D270 F270 H270 J270:L270 N270 P270">
    <cfRule type="expression" dxfId="2124" priority="125">
      <formula>MOD(ROW(),2)=1</formula>
    </cfRule>
  </conditionalFormatting>
  <conditionalFormatting sqref="A243:P244 A245:A254 E245:P254 A255:P269 A270:D270 F270 H270 J270:L270 N270 P270">
    <cfRule type="expression" dxfId="2123" priority="111">
      <formula>-ISODD(ROW())</formula>
    </cfRule>
    <cfRule type="expression" dxfId="2122" priority="112">
      <formula>ISOODD(ROW())</formula>
    </cfRule>
  </conditionalFormatting>
  <conditionalFormatting sqref="B5:C14">
    <cfRule type="expression" dxfId="2121" priority="65">
      <formula>ISODD(RƠ())</formula>
    </cfRule>
    <cfRule type="expression" dxfId="2120" priority="62">
      <formula>ISODD(ROW())</formula>
    </cfRule>
    <cfRule type="expression" dxfId="2119" priority="63">
      <formula>ISODD(ROW())</formula>
    </cfRule>
    <cfRule type="expression" dxfId="2118" priority="60">
      <formula>ISODD(ROW())</formula>
    </cfRule>
  </conditionalFormatting>
  <conditionalFormatting sqref="B15:C17">
    <cfRule type="expression" dxfId="2117" priority="77">
      <formula>ISODD(ROW())</formula>
    </cfRule>
    <cfRule type="expression" dxfId="2116" priority="79">
      <formula>ISODD(ROW())</formula>
    </cfRule>
    <cfRule type="expression" dxfId="2115" priority="80">
      <formula>ISODD(ROW())</formula>
    </cfRule>
    <cfRule type="expression" dxfId="2114" priority="82">
      <formula>ISODD(RƠ())</formula>
    </cfRule>
  </conditionalFormatting>
  <conditionalFormatting sqref="B35:C44">
    <cfRule type="expression" dxfId="2113" priority="36">
      <formula>ISODD(RƠ())</formula>
    </cfRule>
    <cfRule type="expression" dxfId="2112" priority="34">
      <formula>ISODD(ROW())</formula>
    </cfRule>
    <cfRule type="expression" dxfId="2111" priority="33">
      <formula>ISODD(ROW())</formula>
    </cfRule>
    <cfRule type="expression" dxfId="2110" priority="31">
      <formula>ISODD(ROW())</formula>
    </cfRule>
  </conditionalFormatting>
  <conditionalFormatting sqref="B45:C47">
    <cfRule type="expression" dxfId="2109" priority="48">
      <formula>ISODD(ROW())</formula>
    </cfRule>
    <cfRule type="expression" dxfId="2108" priority="50">
      <formula>ISODD(ROW())</formula>
    </cfRule>
    <cfRule type="expression" dxfId="2107" priority="51">
      <formula>ISODD(ROW())</formula>
    </cfRule>
    <cfRule type="expression" dxfId="2106" priority="53">
      <formula>ISODD(RƠ())</formula>
    </cfRule>
  </conditionalFormatting>
  <conditionalFormatting sqref="B65:C74">
    <cfRule type="expression" dxfId="2105" priority="7">
      <formula>ISODD(RƠ())</formula>
    </cfRule>
    <cfRule type="expression" dxfId="2104" priority="5">
      <formula>ISODD(ROW())</formula>
    </cfRule>
    <cfRule type="expression" dxfId="2103" priority="4">
      <formula>ISODD(ROW())</formula>
    </cfRule>
    <cfRule type="expression" dxfId="2102" priority="2">
      <formula>ISODD(ROW())</formula>
    </cfRule>
  </conditionalFormatting>
  <conditionalFormatting sqref="B75:C77">
    <cfRule type="expression" dxfId="2101" priority="19">
      <formula>ISODD(ROW())</formula>
    </cfRule>
    <cfRule type="expression" dxfId="2100" priority="24">
      <formula>ISODD(RƠ())</formula>
    </cfRule>
    <cfRule type="expression" dxfId="2099" priority="22">
      <formula>ISODD(ROW())</formula>
    </cfRule>
    <cfRule type="expression" dxfId="2098" priority="21">
      <formula>ISODD(ROW())</formula>
    </cfRule>
  </conditionalFormatting>
  <conditionalFormatting sqref="B95:C104">
    <cfRule type="expression" dxfId="2097" priority="294">
      <formula>ISODD(RƠ())</formula>
    </cfRule>
    <cfRule type="expression" dxfId="2096" priority="291">
      <formula>ISODD(ROW())</formula>
    </cfRule>
    <cfRule type="expression" dxfId="2095" priority="289">
      <formula>ISODD(ROW())</formula>
    </cfRule>
    <cfRule type="expression" dxfId="2094" priority="292">
      <formula>ISODD(ROW())</formula>
    </cfRule>
  </conditionalFormatting>
  <conditionalFormatting sqref="B105:C107">
    <cfRule type="expression" dxfId="2093" priority="308">
      <formula>ISODD(ROW())</formula>
    </cfRule>
    <cfRule type="expression" dxfId="2092" priority="309">
      <formula>ISODD(ROW())</formula>
    </cfRule>
    <cfRule type="expression" dxfId="2091" priority="311">
      <formula>ISODD(RƠ())</formula>
    </cfRule>
    <cfRule type="expression" dxfId="2090" priority="306">
      <formula>ISODD(ROW())</formula>
    </cfRule>
  </conditionalFormatting>
  <conditionalFormatting sqref="B125:C134">
    <cfRule type="expression" dxfId="2089" priority="256">
      <formula>ISODD(RƠ())</formula>
    </cfRule>
    <cfRule type="expression" dxfId="2088" priority="254">
      <formula>ISODD(ROW())</formula>
    </cfRule>
    <cfRule type="expression" dxfId="2087" priority="253">
      <formula>ISODD(ROW())</formula>
    </cfRule>
    <cfRule type="expression" dxfId="2086" priority="251">
      <formula>ISODD(ROW())</formula>
    </cfRule>
  </conditionalFormatting>
  <conditionalFormatting sqref="B135:C137">
    <cfRule type="expression" dxfId="2085" priority="270">
      <formula>ISODD(ROW())</formula>
    </cfRule>
    <cfRule type="expression" dxfId="2084" priority="268">
      <formula>ISODD(ROW())</formula>
    </cfRule>
    <cfRule type="expression" dxfId="2083" priority="271">
      <formula>ISODD(ROW())</formula>
    </cfRule>
    <cfRule type="expression" dxfId="2082" priority="273">
      <formula>ISODD(RƠ())</formula>
    </cfRule>
  </conditionalFormatting>
  <conditionalFormatting sqref="B155:C164">
    <cfRule type="expression" dxfId="2081" priority="212">
      <formula>ISODD(ROW())</formula>
    </cfRule>
    <cfRule type="expression" dxfId="2080" priority="217">
      <formula>ISODD(RƠ())</formula>
    </cfRule>
    <cfRule type="expression" dxfId="2079" priority="215">
      <formula>ISODD(ROW())</formula>
    </cfRule>
    <cfRule type="expression" dxfId="2078" priority="214">
      <formula>ISODD(ROW())</formula>
    </cfRule>
  </conditionalFormatting>
  <conditionalFormatting sqref="B165:C167">
    <cfRule type="expression" dxfId="2077" priority="234">
      <formula>ISODD(RƠ())</formula>
    </cfRule>
    <cfRule type="expression" dxfId="2076" priority="232">
      <formula>ISODD(ROW())</formula>
    </cfRule>
    <cfRule type="expression" dxfId="2075" priority="231">
      <formula>ISODD(ROW())</formula>
    </cfRule>
    <cfRule type="expression" dxfId="2074" priority="229">
      <formula>ISODD(ROW())</formula>
    </cfRule>
  </conditionalFormatting>
  <conditionalFormatting sqref="B185:C194">
    <cfRule type="expression" dxfId="2073" priority="179">
      <formula>ISODD(RƠ())</formula>
    </cfRule>
    <cfRule type="expression" dxfId="2072" priority="177">
      <formula>ISODD(ROW())</formula>
    </cfRule>
    <cfRule type="expression" dxfId="2071" priority="174">
      <formula>ISODD(ROW())</formula>
    </cfRule>
    <cfRule type="expression" dxfId="2070" priority="176">
      <formula>ISODD(ROW())</formula>
    </cfRule>
  </conditionalFormatting>
  <conditionalFormatting sqref="B195:C197">
    <cfRule type="expression" dxfId="2069" priority="194">
      <formula>ISODD(ROW())</formula>
    </cfRule>
    <cfRule type="expression" dxfId="2068" priority="196">
      <formula>ISODD(RƠ())</formula>
    </cfRule>
    <cfRule type="expression" dxfId="2067" priority="191">
      <formula>ISODD(ROW())</formula>
    </cfRule>
    <cfRule type="expression" dxfId="2066" priority="193">
      <formula>ISODD(ROW())</formula>
    </cfRule>
  </conditionalFormatting>
  <conditionalFormatting sqref="B215:C224">
    <cfRule type="expression" dxfId="2065" priority="136">
      <formula>ISODD(ROW())</formula>
    </cfRule>
    <cfRule type="expression" dxfId="2064" priority="138">
      <formula>ISODD(ROW())</formula>
    </cfRule>
    <cfRule type="expression" dxfId="2063" priority="139">
      <formula>ISODD(ROW())</formula>
    </cfRule>
    <cfRule type="expression" dxfId="2062" priority="141">
      <formula>ISODD(RƠ())</formula>
    </cfRule>
  </conditionalFormatting>
  <conditionalFormatting sqref="B225:C227">
    <cfRule type="expression" dxfId="2061" priority="158">
      <formula>ISODD(RƠ())</formula>
    </cfRule>
    <cfRule type="expression" dxfId="2060" priority="156">
      <formula>ISODD(ROW())</formula>
    </cfRule>
    <cfRule type="expression" dxfId="2059" priority="155">
      <formula>ISODD(ROW())</formula>
    </cfRule>
    <cfRule type="expression" dxfId="2058" priority="153">
      <formula>ISODD(ROW())</formula>
    </cfRule>
  </conditionalFormatting>
  <conditionalFormatting sqref="B245:C254">
    <cfRule type="expression" dxfId="2057" priority="103">
      <formula>ISODD(RƠ())</formula>
    </cfRule>
    <cfRule type="expression" dxfId="2056" priority="101">
      <formula>ISODD(ROW())</formula>
    </cfRule>
    <cfRule type="expression" dxfId="2055" priority="100">
      <formula>ISODD(ROW())</formula>
    </cfRule>
    <cfRule type="expression" dxfId="2054" priority="98">
      <formula>ISODD(ROW())</formula>
    </cfRule>
  </conditionalFormatting>
  <conditionalFormatting sqref="B255:C257">
    <cfRule type="expression" dxfId="2053" priority="115">
      <formula>ISODD(ROW())</formula>
    </cfRule>
    <cfRule type="expression" dxfId="2052" priority="117">
      <formula>ISODD(ROW())</formula>
    </cfRule>
    <cfRule type="expression" dxfId="2051" priority="120">
      <formula>ISODD(RƠ())</formula>
    </cfRule>
    <cfRule type="expression" dxfId="2050" priority="118">
      <formula>ISODD(ROW())</formula>
    </cfRule>
  </conditionalFormatting>
  <conditionalFormatting sqref="B5:D14">
    <cfRule type="expression" dxfId="2049" priority="61">
      <formula>"IF(A4:A299);ISODD(ROW()))"</formula>
    </cfRule>
    <cfRule type="expression" dxfId="2048" priority="64">
      <formula>ISODD(ROW())</formula>
    </cfRule>
    <cfRule type="expression" dxfId="2047" priority="66">
      <formula>ISODD(ROW())</formula>
    </cfRule>
  </conditionalFormatting>
  <conditionalFormatting sqref="B5:D17">
    <cfRule type="expression" priority="68">
      <formula>is(ROW())</formula>
    </cfRule>
    <cfRule type="expression" priority="71">
      <formula>ISODD(ROW())</formula>
    </cfRule>
    <cfRule type="expression" priority="70">
      <formula>"ISODD(ROW())"</formula>
    </cfRule>
  </conditionalFormatting>
  <conditionalFormatting sqref="B15:D17">
    <cfRule type="expression" dxfId="2046" priority="83">
      <formula>ISODD(ROW())</formula>
    </cfRule>
    <cfRule type="expression" dxfId="2045" priority="81">
      <formula>ISODD(ROW())</formula>
    </cfRule>
    <cfRule type="expression" dxfId="2044" priority="78">
      <formula>"IF(A4:A299);ISODD(ROW()))"</formula>
    </cfRule>
  </conditionalFormatting>
  <conditionalFormatting sqref="B35:D44">
    <cfRule type="expression" dxfId="2043" priority="37">
      <formula>ISODD(ROW())</formula>
    </cfRule>
    <cfRule type="expression" dxfId="2042" priority="32">
      <formula>"IF(A4:A299);ISODD(ROW()))"</formula>
    </cfRule>
    <cfRule type="expression" dxfId="2041" priority="35">
      <formula>ISODD(ROW())</formula>
    </cfRule>
  </conditionalFormatting>
  <conditionalFormatting sqref="B35:D47">
    <cfRule type="expression" priority="39">
      <formula>is(ROW())</formula>
    </cfRule>
    <cfRule type="expression" priority="41">
      <formula>"ISODD(ROW())"</formula>
    </cfRule>
    <cfRule type="expression" priority="42">
      <formula>ISODD(ROW())</formula>
    </cfRule>
  </conditionalFormatting>
  <conditionalFormatting sqref="B45:D47">
    <cfRule type="expression" dxfId="2040" priority="54">
      <formula>ISODD(ROW())</formula>
    </cfRule>
    <cfRule type="expression" dxfId="2039" priority="49">
      <formula>"IF(A4:A299);ISODD(ROW()))"</formula>
    </cfRule>
    <cfRule type="expression" dxfId="2038" priority="52">
      <formula>ISODD(ROW())</formula>
    </cfRule>
  </conditionalFormatting>
  <conditionalFormatting sqref="B65:D74">
    <cfRule type="expression" dxfId="2037" priority="6">
      <formula>ISODD(ROW())</formula>
    </cfRule>
    <cfRule type="expression" dxfId="2036" priority="8">
      <formula>ISODD(ROW())</formula>
    </cfRule>
    <cfRule type="expression" dxfId="2035" priority="3">
      <formula>"IF(A4:A299);ISODD(ROW()))"</formula>
    </cfRule>
  </conditionalFormatting>
  <conditionalFormatting sqref="B65:D77">
    <cfRule type="expression" priority="10">
      <formula>is(ROW())</formula>
    </cfRule>
    <cfRule type="expression" priority="12">
      <formula>"ISODD(ROW())"</formula>
    </cfRule>
    <cfRule type="expression" priority="13">
      <formula>ISODD(ROW())</formula>
    </cfRule>
  </conditionalFormatting>
  <conditionalFormatting sqref="B75:D77">
    <cfRule type="expression" dxfId="2034" priority="20">
      <formula>"IF(A4:A299);ISODD(ROW()))"</formula>
    </cfRule>
    <cfRule type="expression" dxfId="2033" priority="23">
      <formula>ISODD(ROW())</formula>
    </cfRule>
    <cfRule type="expression" dxfId="2032" priority="25">
      <formula>ISODD(ROW())</formula>
    </cfRule>
  </conditionalFormatting>
  <conditionalFormatting sqref="B95:D104">
    <cfRule type="expression" dxfId="2031" priority="290">
      <formula>"IF(A4:A299);ISODD(ROW()))"</formula>
    </cfRule>
    <cfRule type="expression" dxfId="2030" priority="293">
      <formula>ISODD(ROW())</formula>
    </cfRule>
    <cfRule type="expression" dxfId="2029" priority="295">
      <formula>ISODD(ROW())</formula>
    </cfRule>
  </conditionalFormatting>
  <conditionalFormatting sqref="B95:D107">
    <cfRule type="expression" priority="299">
      <formula>"ISODD(ROW())"</formula>
    </cfRule>
    <cfRule type="expression" priority="300">
      <formula>ISODD(ROW())</formula>
    </cfRule>
    <cfRule type="expression" priority="297">
      <formula>is(ROW())</formula>
    </cfRule>
  </conditionalFormatting>
  <conditionalFormatting sqref="B105:D107">
    <cfRule type="expression" dxfId="2028" priority="312">
      <formula>ISODD(ROW())</formula>
    </cfRule>
    <cfRule type="expression" dxfId="2027" priority="310">
      <formula>ISODD(ROW())</formula>
    </cfRule>
    <cfRule type="expression" dxfId="2026" priority="307">
      <formula>"IF(A4:A299);ISODD(ROW()))"</formula>
    </cfRule>
  </conditionalFormatting>
  <conditionalFormatting sqref="B125:D134">
    <cfRule type="expression" dxfId="2025" priority="257">
      <formula>ISODD(ROW())</formula>
    </cfRule>
    <cfRule type="expression" dxfId="2024" priority="252">
      <formula>"IF(A4:A299);ISODD(ROW()))"</formula>
    </cfRule>
    <cfRule type="expression" dxfId="2023" priority="255">
      <formula>ISODD(ROW())</formula>
    </cfRule>
  </conditionalFormatting>
  <conditionalFormatting sqref="B125:D137">
    <cfRule type="expression" priority="259">
      <formula>is(ROW())</formula>
    </cfRule>
    <cfRule type="expression" priority="261">
      <formula>"ISODD(ROW())"</formula>
    </cfRule>
    <cfRule type="expression" priority="262">
      <formula>ISODD(ROW())</formula>
    </cfRule>
  </conditionalFormatting>
  <conditionalFormatting sqref="B135:D137">
    <cfRule type="expression" dxfId="2022" priority="274">
      <formula>ISODD(ROW())</formula>
    </cfRule>
    <cfRule type="expression" dxfId="2021" priority="272">
      <formula>ISODD(ROW())</formula>
    </cfRule>
    <cfRule type="expression" dxfId="2020" priority="269">
      <formula>"IF(A4:A299);ISODD(ROW()))"</formula>
    </cfRule>
  </conditionalFormatting>
  <conditionalFormatting sqref="B155:D164">
    <cfRule type="expression" dxfId="2019" priority="216">
      <formula>ISODD(ROW())</formula>
    </cfRule>
    <cfRule type="expression" dxfId="2018" priority="213">
      <formula>"IF(A4:A299);ISODD(ROW()))"</formula>
    </cfRule>
    <cfRule type="expression" dxfId="2017" priority="218">
      <formula>ISODD(ROW())</formula>
    </cfRule>
  </conditionalFormatting>
  <conditionalFormatting sqref="B155:D167">
    <cfRule type="expression" priority="223">
      <formula>ISODD(ROW())</formula>
    </cfRule>
    <cfRule type="expression" priority="222">
      <formula>"ISODD(ROW())"</formula>
    </cfRule>
    <cfRule type="expression" priority="220">
      <formula>is(ROW())</formula>
    </cfRule>
  </conditionalFormatting>
  <conditionalFormatting sqref="B165:D167">
    <cfRule type="expression" dxfId="2016" priority="233">
      <formula>ISODD(ROW())</formula>
    </cfRule>
    <cfRule type="expression" dxfId="2015" priority="235">
      <formula>ISODD(ROW())</formula>
    </cfRule>
    <cfRule type="expression" dxfId="2014" priority="230">
      <formula>"IF(A4:A299);ISODD(ROW()))"</formula>
    </cfRule>
  </conditionalFormatting>
  <conditionalFormatting sqref="B185:D194">
    <cfRule type="expression" dxfId="2013" priority="175">
      <formula>"IF(A4:A299);ISODD(ROW()))"</formula>
    </cfRule>
    <cfRule type="expression" dxfId="2012" priority="178">
      <formula>ISODD(ROW())</formula>
    </cfRule>
    <cfRule type="expression" dxfId="2011" priority="180">
      <formula>ISODD(ROW())</formula>
    </cfRule>
  </conditionalFormatting>
  <conditionalFormatting sqref="B185:D197">
    <cfRule type="expression" priority="182">
      <formula>is(ROW())</formula>
    </cfRule>
    <cfRule type="expression" priority="184">
      <formula>"ISODD(ROW())"</formula>
    </cfRule>
    <cfRule type="expression" priority="185">
      <formula>ISODD(ROW())</formula>
    </cfRule>
  </conditionalFormatting>
  <conditionalFormatting sqref="B195:D197">
    <cfRule type="expression" dxfId="2010" priority="197">
      <formula>ISODD(ROW())</formula>
    </cfRule>
    <cfRule type="expression" dxfId="2009" priority="195">
      <formula>ISODD(ROW())</formula>
    </cfRule>
    <cfRule type="expression" dxfId="2008" priority="192">
      <formula>"IF(A4:A299);ISODD(ROW()))"</formula>
    </cfRule>
  </conditionalFormatting>
  <conditionalFormatting sqref="B215:D224">
    <cfRule type="expression" dxfId="2007" priority="140">
      <formula>ISODD(ROW())</formula>
    </cfRule>
    <cfRule type="expression" dxfId="2006" priority="142">
      <formula>ISODD(ROW())</formula>
    </cfRule>
    <cfRule type="expression" dxfId="2005" priority="137">
      <formula>"IF(A4:A299);ISODD(ROW()))"</formula>
    </cfRule>
  </conditionalFormatting>
  <conditionalFormatting sqref="B215:D227">
    <cfRule type="expression" priority="146">
      <formula>"ISODD(ROW())"</formula>
    </cfRule>
    <cfRule type="expression" priority="144">
      <formula>is(ROW())</formula>
    </cfRule>
    <cfRule type="expression" priority="147">
      <formula>ISODD(ROW())</formula>
    </cfRule>
  </conditionalFormatting>
  <conditionalFormatting sqref="B225:D227">
    <cfRule type="expression" dxfId="2004" priority="157">
      <formula>ISODD(ROW())</formula>
    </cfRule>
    <cfRule type="expression" dxfId="2003" priority="159">
      <formula>ISODD(ROW())</formula>
    </cfRule>
    <cfRule type="expression" dxfId="2002" priority="154">
      <formula>"IF(A4:A299);ISODD(ROW()))"</formula>
    </cfRule>
  </conditionalFormatting>
  <conditionalFormatting sqref="B245:D254">
    <cfRule type="expression" dxfId="2001" priority="102">
      <formula>ISODD(ROW())</formula>
    </cfRule>
    <cfRule type="expression" dxfId="2000" priority="104">
      <formula>ISODD(ROW())</formula>
    </cfRule>
    <cfRule type="expression" dxfId="1999" priority="99">
      <formula>"IF(A4:A299);ISODD(ROW()))"</formula>
    </cfRule>
  </conditionalFormatting>
  <conditionalFormatting sqref="B245:D257">
    <cfRule type="expression" priority="109">
      <formula>ISODD(ROW())</formula>
    </cfRule>
    <cfRule type="expression" priority="108">
      <formula>"ISODD(ROW())"</formula>
    </cfRule>
    <cfRule type="expression" priority="106">
      <formula>is(ROW())</formula>
    </cfRule>
  </conditionalFormatting>
  <conditionalFormatting sqref="B255:D257">
    <cfRule type="expression" dxfId="1998" priority="121">
      <formula>ISODD(ROW())</formula>
    </cfRule>
    <cfRule type="expression" dxfId="1997" priority="116">
      <formula>"IF(A4:A299);ISODD(ROW()))"</formula>
    </cfRule>
    <cfRule type="expression" dxfId="1996" priority="119">
      <formula>ISODD(ROW())</formula>
    </cfRule>
  </conditionalFormatting>
  <conditionalFormatting sqref="D5:D14">
    <cfRule type="expression" dxfId="1995" priority="72">
      <formula>ISODD(RƠ())</formula>
    </cfRule>
    <cfRule type="expression" dxfId="1994" priority="67">
      <formula>ISODD(ROW())</formula>
    </cfRule>
    <cfRule type="expression" dxfId="1993" priority="69">
      <formula>ISODD(ROW())</formula>
    </cfRule>
  </conditionalFormatting>
  <conditionalFormatting sqref="D15:D17">
    <cfRule type="expression" dxfId="1992" priority="84">
      <formula>ISODD(ROW())</formula>
    </cfRule>
    <cfRule type="expression" dxfId="1991" priority="85">
      <formula>ISODD(ROW())</formula>
    </cfRule>
    <cfRule type="expression" dxfId="1990" priority="86">
      <formula>ISODD(RƠ())</formula>
    </cfRule>
  </conditionalFormatting>
  <conditionalFormatting sqref="D35:D44">
    <cfRule type="expression" dxfId="1989" priority="38">
      <formula>ISODD(ROW())</formula>
    </cfRule>
    <cfRule type="expression" dxfId="1988" priority="40">
      <formula>ISODD(ROW())</formula>
    </cfRule>
    <cfRule type="expression" dxfId="1987" priority="43">
      <formula>ISODD(RƠ())</formula>
    </cfRule>
  </conditionalFormatting>
  <conditionalFormatting sqref="D45:D47">
    <cfRule type="expression" dxfId="1986" priority="56">
      <formula>ISODD(ROW())</formula>
    </cfRule>
    <cfRule type="expression" dxfId="1985" priority="57">
      <formula>ISODD(RƠ())</formula>
    </cfRule>
    <cfRule type="expression" dxfId="1984" priority="55">
      <formula>ISODD(ROW())</formula>
    </cfRule>
  </conditionalFormatting>
  <conditionalFormatting sqref="D65:D74">
    <cfRule type="expression" dxfId="1983" priority="11">
      <formula>ISODD(ROW())</formula>
    </cfRule>
    <cfRule type="expression" dxfId="1982" priority="14">
      <formula>ISODD(RƠ())</formula>
    </cfRule>
    <cfRule type="expression" dxfId="1981" priority="9">
      <formula>ISODD(ROW())</formula>
    </cfRule>
  </conditionalFormatting>
  <conditionalFormatting sqref="D75:D77">
    <cfRule type="expression" dxfId="1980" priority="26">
      <formula>ISODD(ROW())</formula>
    </cfRule>
    <cfRule type="expression" dxfId="1979" priority="27">
      <formula>ISODD(ROW())</formula>
    </cfRule>
    <cfRule type="expression" dxfId="1978" priority="28">
      <formula>ISODD(RƠ())</formula>
    </cfRule>
  </conditionalFormatting>
  <conditionalFormatting sqref="D95:D104">
    <cfRule type="expression" dxfId="1977" priority="301">
      <formula>ISODD(RƠ())</formula>
    </cfRule>
    <cfRule type="expression" dxfId="1976" priority="298">
      <formula>ISODD(ROW())</formula>
    </cfRule>
    <cfRule type="expression" dxfId="1975" priority="296">
      <formula>ISODD(ROW())</formula>
    </cfRule>
  </conditionalFormatting>
  <conditionalFormatting sqref="D105:D107">
    <cfRule type="expression" dxfId="1974" priority="314">
      <formula>ISODD(ROW())</formula>
    </cfRule>
    <cfRule type="expression" dxfId="1973" priority="313">
      <formula>ISODD(ROW())</formula>
    </cfRule>
    <cfRule type="expression" dxfId="1972" priority="315">
      <formula>ISODD(RƠ())</formula>
    </cfRule>
  </conditionalFormatting>
  <conditionalFormatting sqref="D125:D134">
    <cfRule type="expression" dxfId="1971" priority="263">
      <formula>ISODD(RƠ())</formula>
    </cfRule>
    <cfRule type="expression" dxfId="1970" priority="260">
      <formula>ISODD(ROW())</formula>
    </cfRule>
    <cfRule type="expression" dxfId="1969" priority="258">
      <formula>ISODD(ROW())</formula>
    </cfRule>
  </conditionalFormatting>
  <conditionalFormatting sqref="D135:D137">
    <cfRule type="expression" dxfId="1968" priority="275">
      <formula>ISODD(ROW())</formula>
    </cfRule>
    <cfRule type="expression" dxfId="1967" priority="276">
      <formula>ISODD(ROW())</formula>
    </cfRule>
    <cfRule type="expression" dxfId="1966" priority="277">
      <formula>ISODD(RƠ())</formula>
    </cfRule>
  </conditionalFormatting>
  <conditionalFormatting sqref="D155:D164">
    <cfRule type="expression" dxfId="1965" priority="219">
      <formula>ISODD(ROW())</formula>
    </cfRule>
    <cfRule type="expression" dxfId="1964" priority="221">
      <formula>ISODD(ROW())</formula>
    </cfRule>
    <cfRule type="expression" dxfId="1963" priority="224">
      <formula>ISODD(RƠ())</formula>
    </cfRule>
  </conditionalFormatting>
  <conditionalFormatting sqref="D165:D167">
    <cfRule type="expression" dxfId="1962" priority="236">
      <formula>ISODD(ROW())</formula>
    </cfRule>
    <cfRule type="expression" dxfId="1961" priority="237">
      <formula>ISODD(ROW())</formula>
    </cfRule>
    <cfRule type="expression" dxfId="1960" priority="238">
      <formula>ISODD(RƠ())</formula>
    </cfRule>
  </conditionalFormatting>
  <conditionalFormatting sqref="D185:D194">
    <cfRule type="expression" dxfId="1959" priority="186">
      <formula>ISODD(RƠ())</formula>
    </cfRule>
    <cfRule type="expression" dxfId="1958" priority="181">
      <formula>ISODD(ROW())</formula>
    </cfRule>
    <cfRule type="expression" dxfId="1957" priority="183">
      <formula>ISODD(ROW())</formula>
    </cfRule>
  </conditionalFormatting>
  <conditionalFormatting sqref="D195:D197">
    <cfRule type="expression" dxfId="1956" priority="200">
      <formula>ISODD(RƠ())</formula>
    </cfRule>
    <cfRule type="expression" dxfId="1955" priority="198">
      <formula>ISODD(ROW())</formula>
    </cfRule>
    <cfRule type="expression" dxfId="1954" priority="199">
      <formula>ISODD(ROW())</formula>
    </cfRule>
  </conditionalFormatting>
  <conditionalFormatting sqref="D215:D224">
    <cfRule type="expression" dxfId="1953" priority="148">
      <formula>ISODD(RƠ())</formula>
    </cfRule>
    <cfRule type="expression" dxfId="1952" priority="143">
      <formula>ISODD(ROW())</formula>
    </cfRule>
    <cfRule type="expression" dxfId="1951" priority="145">
      <formula>ISODD(ROW())</formula>
    </cfRule>
  </conditionalFormatting>
  <conditionalFormatting sqref="D225:D227">
    <cfRule type="expression" dxfId="1950" priority="162">
      <formula>ISODD(RƠ())</formula>
    </cfRule>
    <cfRule type="expression" dxfId="1949" priority="160">
      <formula>ISODD(ROW())</formula>
    </cfRule>
    <cfRule type="expression" dxfId="1948" priority="161">
      <formula>ISODD(ROW())</formula>
    </cfRule>
  </conditionalFormatting>
  <conditionalFormatting sqref="D245:D254">
    <cfRule type="expression" dxfId="1947" priority="107">
      <formula>ISODD(ROW())</formula>
    </cfRule>
    <cfRule type="expression" dxfId="1946" priority="105">
      <formula>ISODD(ROW())</formula>
    </cfRule>
    <cfRule type="expression" dxfId="1945" priority="110">
      <formula>ISODD(RƠ())</formula>
    </cfRule>
  </conditionalFormatting>
  <conditionalFormatting sqref="D255:D257">
    <cfRule type="expression" dxfId="1944" priority="124">
      <formula>ISODD(RƠ())</formula>
    </cfRule>
    <cfRule type="expression" dxfId="1943" priority="122">
      <formula>ISODD(ROW())</formula>
    </cfRule>
    <cfRule type="expression" dxfId="1942" priority="123">
      <formula>ISODD(ROW())</formula>
    </cfRule>
  </conditionalFormatting>
  <conditionalFormatting sqref="E30 G30 I30 M30 O30">
    <cfRule type="expression" dxfId="1941" priority="409">
      <formula>ISODD(ROW())</formula>
    </cfRule>
    <cfRule type="expression" dxfId="1940" priority="408">
      <formula>ISODD(ROW())</formula>
    </cfRule>
    <cfRule type="expression" dxfId="1939" priority="407">
      <formula>"IF(A4:A299);ISODD(ROW()))"</formula>
    </cfRule>
    <cfRule type="expression" dxfId="1938" priority="410">
      <formula>ISODD(ROW())</formula>
    </cfRule>
    <cfRule type="expression" priority="411">
      <formula>is(ROW())</formula>
    </cfRule>
    <cfRule type="expression" dxfId="1937" priority="412">
      <formula>ISODD(ROW())</formula>
    </cfRule>
    <cfRule type="expression" priority="413">
      <formula>"ISODD(ROW())"</formula>
    </cfRule>
    <cfRule type="expression" priority="414">
      <formula>ISODD(ROW())</formula>
    </cfRule>
    <cfRule type="expression" dxfId="1936" priority="415">
      <formula>ISODD(RƠ())</formula>
    </cfRule>
  </conditionalFormatting>
  <conditionalFormatting sqref="E60 G60 I60 M60 O60">
    <cfRule type="expression" dxfId="1935" priority="372">
      <formula>ISODD(RƠ())</formula>
    </cfRule>
    <cfRule type="expression" dxfId="1934" priority="365">
      <formula>ISODD(ROW())</formula>
    </cfRule>
    <cfRule type="expression" dxfId="1933" priority="364">
      <formula>"IF(A4:A299);ISODD(ROW()))"</formula>
    </cfRule>
    <cfRule type="expression" dxfId="1932" priority="366">
      <formula>ISODD(ROW())</formula>
    </cfRule>
    <cfRule type="expression" dxfId="1931" priority="367">
      <formula>ISODD(ROW())</formula>
    </cfRule>
    <cfRule type="expression" dxfId="1930" priority="369">
      <formula>ISODD(ROW())</formula>
    </cfRule>
    <cfRule type="expression" priority="370">
      <formula>"ISODD(ROW())"</formula>
    </cfRule>
    <cfRule type="expression" priority="371">
      <formula>ISODD(ROW())</formula>
    </cfRule>
    <cfRule type="expression" priority="368">
      <formula>is(ROW())</formula>
    </cfRule>
  </conditionalFormatting>
  <conditionalFormatting sqref="E90 G90 I90 M90 O90">
    <cfRule type="expression" priority="324">
      <formula>ISODD(ROW())</formula>
    </cfRule>
    <cfRule type="expression" priority="321">
      <formula>is(ROW())</formula>
    </cfRule>
    <cfRule type="expression" dxfId="1929" priority="322">
      <formula>ISODD(ROW())</formula>
    </cfRule>
    <cfRule type="expression" priority="323">
      <formula>"ISODD(ROW())"</formula>
    </cfRule>
    <cfRule type="expression" dxfId="1928" priority="317">
      <formula>"IF(A4:A299);ISODD(ROW()))"</formula>
    </cfRule>
    <cfRule type="expression" dxfId="1927" priority="320">
      <formula>ISODD(ROW())</formula>
    </cfRule>
    <cfRule type="expression" dxfId="1926" priority="319">
      <formula>ISODD(ROW())</formula>
    </cfRule>
    <cfRule type="expression" dxfId="1925" priority="318">
      <formula>ISODD(ROW())</formula>
    </cfRule>
    <cfRule type="expression" dxfId="1924" priority="325">
      <formula>ISODD(RƠ())</formula>
    </cfRule>
  </conditionalFormatting>
  <conditionalFormatting sqref="E120 G120 I120 M120 O120">
    <cfRule type="expression" dxfId="1923" priority="287">
      <formula>ISODD(RƠ())</formula>
    </cfRule>
    <cfRule type="expression" dxfId="1922" priority="280">
      <formula>ISODD(ROW())</formula>
    </cfRule>
    <cfRule type="expression" dxfId="1921" priority="279">
      <formula>"IF(A4:A299);ISODD(ROW()))"</formula>
    </cfRule>
    <cfRule type="expression" dxfId="1920" priority="281">
      <formula>ISODD(ROW())</formula>
    </cfRule>
    <cfRule type="expression" dxfId="1919" priority="282">
      <formula>ISODD(ROW())</formula>
    </cfRule>
    <cfRule type="expression" priority="283">
      <formula>is(ROW())</formula>
    </cfRule>
    <cfRule type="expression" dxfId="1918" priority="284">
      <formula>ISODD(ROW())</formula>
    </cfRule>
    <cfRule type="expression" priority="285">
      <formula>"ISODD(ROW())"</formula>
    </cfRule>
    <cfRule type="expression" priority="286">
      <formula>ISODD(ROW())</formula>
    </cfRule>
  </conditionalFormatting>
  <conditionalFormatting sqref="E150 G150 I150 M150 O150">
    <cfRule type="expression" dxfId="1917" priority="244">
      <formula>ISODD(ROW())</formula>
    </cfRule>
    <cfRule type="expression" dxfId="1916" priority="243">
      <formula>ISODD(ROW())</formula>
    </cfRule>
    <cfRule type="expression" dxfId="1915" priority="241">
      <formula>"IF(A4:A299);ISODD(ROW()))"</formula>
    </cfRule>
    <cfRule type="expression" priority="248">
      <formula>ISODD(ROW())</formula>
    </cfRule>
    <cfRule type="expression" priority="247">
      <formula>"ISODD(ROW())"</formula>
    </cfRule>
    <cfRule type="expression" dxfId="1914" priority="246">
      <formula>ISODD(ROW())</formula>
    </cfRule>
    <cfRule type="expression" dxfId="1913" priority="242">
      <formula>ISODD(ROW())</formula>
    </cfRule>
    <cfRule type="expression" priority="245">
      <formula>is(ROW())</formula>
    </cfRule>
    <cfRule type="expression" dxfId="1912" priority="249">
      <formula>ISODD(RƠ())</formula>
    </cfRule>
  </conditionalFormatting>
  <conditionalFormatting sqref="E180 G180 I180 M180 O180">
    <cfRule type="expression" priority="206">
      <formula>is(ROW())</formula>
    </cfRule>
    <cfRule type="expression" dxfId="1911" priority="205">
      <formula>ISODD(ROW())</formula>
    </cfRule>
    <cfRule type="expression" dxfId="1910" priority="210">
      <formula>ISODD(RƠ())</formula>
    </cfRule>
    <cfRule type="expression" dxfId="1909" priority="202">
      <formula>"IF(A4:A299);ISODD(ROW()))"</formula>
    </cfRule>
    <cfRule type="expression" dxfId="1908" priority="203">
      <formula>ISODD(ROW())</formula>
    </cfRule>
    <cfRule type="expression" dxfId="1907" priority="204">
      <formula>ISODD(ROW())</formula>
    </cfRule>
    <cfRule type="expression" priority="209">
      <formula>ISODD(ROW())</formula>
    </cfRule>
    <cfRule type="expression" priority="208">
      <formula>"ISODD(ROW())"</formula>
    </cfRule>
    <cfRule type="expression" dxfId="1906" priority="207">
      <formula>ISODD(ROW())</formula>
    </cfRule>
  </conditionalFormatting>
  <conditionalFormatting sqref="E210 G210 I210 M210 O210">
    <cfRule type="expression" dxfId="1905" priority="164">
      <formula>"IF(A4:A299);ISODD(ROW()))"</formula>
    </cfRule>
    <cfRule type="expression" dxfId="1904" priority="165">
      <formula>ISODD(ROW())</formula>
    </cfRule>
    <cfRule type="expression" dxfId="1903" priority="166">
      <formula>ISODD(ROW())</formula>
    </cfRule>
    <cfRule type="expression" dxfId="1902" priority="167">
      <formula>ISODD(ROW())</formula>
    </cfRule>
    <cfRule type="expression" priority="168">
      <formula>is(ROW())</formula>
    </cfRule>
    <cfRule type="expression" dxfId="1901" priority="169">
      <formula>ISODD(ROW())</formula>
    </cfRule>
    <cfRule type="expression" priority="170">
      <formula>"ISODD(ROW())"</formula>
    </cfRule>
    <cfRule type="expression" priority="171">
      <formula>ISODD(ROW())</formula>
    </cfRule>
    <cfRule type="expression" dxfId="1900" priority="172">
      <formula>ISODD(RƠ())</formula>
    </cfRule>
  </conditionalFormatting>
  <conditionalFormatting sqref="E240 G240 I240 M240 O240">
    <cfRule type="expression" dxfId="1899" priority="129">
      <formula>ISODD(ROW())</formula>
    </cfRule>
    <cfRule type="expression" dxfId="1898" priority="128">
      <formula>ISODD(ROW())</formula>
    </cfRule>
    <cfRule type="expression" dxfId="1897" priority="127">
      <formula>ISODD(ROW())</formula>
    </cfRule>
    <cfRule type="expression" dxfId="1896" priority="134">
      <formula>ISODD(RƠ())</formula>
    </cfRule>
    <cfRule type="expression" dxfId="1895" priority="126">
      <formula>"IF(A4:A299);ISODD(ROW()))"</formula>
    </cfRule>
    <cfRule type="expression" priority="133">
      <formula>ISODD(ROW())</formula>
    </cfRule>
    <cfRule type="expression" priority="132">
      <formula>"ISODD(ROW())"</formula>
    </cfRule>
    <cfRule type="expression" dxfId="1894" priority="131">
      <formula>ISODD(ROW())</formula>
    </cfRule>
    <cfRule type="expression" priority="130">
      <formula>is(ROW())</formula>
    </cfRule>
  </conditionalFormatting>
  <conditionalFormatting sqref="E270 G270 I270 M270 O270">
    <cfRule type="expression" dxfId="1893" priority="89">
      <formula>ISODD(ROW())</formula>
    </cfRule>
    <cfRule type="expression" dxfId="1892" priority="88">
      <formula>"IF(A4:A299);ISODD(ROW()))"</formula>
    </cfRule>
    <cfRule type="expression" dxfId="1891" priority="96">
      <formula>ISODD(RƠ())</formula>
    </cfRule>
    <cfRule type="expression" priority="94">
      <formula>"ISODD(ROW())"</formula>
    </cfRule>
    <cfRule type="expression" dxfId="1890" priority="93">
      <formula>ISODD(ROW())</formula>
    </cfRule>
    <cfRule type="expression" priority="95">
      <formula>ISODD(ROW())</formula>
    </cfRule>
    <cfRule type="expression" priority="92">
      <formula>is(ROW())</formula>
    </cfRule>
    <cfRule type="expression" dxfId="1889" priority="91">
      <formula>ISODD(ROW())</formula>
    </cfRule>
    <cfRule type="expression" dxfId="1888" priority="90">
      <formula>ISODD(ROW())</formula>
    </cfRule>
  </conditionalFormatting>
  <conditionalFormatting sqref="E5:P14 A3:P4 A5:A14 A15:P29">
    <cfRule type="expression" dxfId="1887" priority="76">
      <formula>ISODD(ROW())</formula>
    </cfRule>
  </conditionalFormatting>
  <conditionalFormatting sqref="E35:P44 A33:P34 A35:A44 A45:P59">
    <cfRule type="expression" dxfId="1886" priority="47">
      <formula>ISODD(ROW())</formula>
    </cfRule>
  </conditionalFormatting>
  <conditionalFormatting sqref="E65:P74 A63:P64 A65:A74 A75:P89">
    <cfRule type="expression" dxfId="1885" priority="18">
      <formula>ISODD(ROW())</formula>
    </cfRule>
  </conditionalFormatting>
  <conditionalFormatting sqref="E95:P104 A93:P94 A95:A104 A105:P119 A120:D120 F120 H120 J120:L120 N120 P120">
    <cfRule type="expression" dxfId="1884" priority="305">
      <formula>ISODD(ROW())</formula>
    </cfRule>
  </conditionalFormatting>
  <conditionalFormatting sqref="E125:P134 A123:P124 A125:A134 A135:P149 A150:D150 F150 H150 J150:L150 N150 P150">
    <cfRule type="expression" dxfId="1883" priority="267">
      <formula>ISODD(ROW())</formula>
    </cfRule>
  </conditionalFormatting>
  <conditionalFormatting sqref="E155:P164 A153:P154 A155:A164 A165:P179 A180:D180 F180 H180 J180:L180 N180 P180">
    <cfRule type="expression" dxfId="1882" priority="228">
      <formula>ISODD(ROW())</formula>
    </cfRule>
  </conditionalFormatting>
  <conditionalFormatting sqref="E185:P194 A183:P184 A185:A194 A195:P209 A210:D210 F210 H210 J210:L210 N210 P210">
    <cfRule type="expression" dxfId="1881" priority="190">
      <formula>ISODD(ROW())</formula>
    </cfRule>
  </conditionalFormatting>
  <conditionalFormatting sqref="E215:P224 A213:P214 A215:A224 A225:P239 A240:D240 F240 H240 J240:L240 N240 P240">
    <cfRule type="expression" dxfId="1880" priority="152">
      <formula>ISODD(ROW())</formula>
    </cfRule>
  </conditionalFormatting>
  <conditionalFormatting sqref="E245:P254 A243:P244 A245:A254 A255:P269 A270:D270 F270 H270 J270:L270 N270 P270">
    <cfRule type="expression" dxfId="1879" priority="114">
      <formula>ISODD(ROW())</formula>
    </cfRule>
  </conditionalFormatting>
  <conditionalFormatting sqref="I14">
    <cfRule type="expression" dxfId="1878" priority="75">
      <formula>ISODD(ROW())</formula>
    </cfRule>
  </conditionalFormatting>
  <conditionalFormatting sqref="I44">
    <cfRule type="expression" dxfId="1877" priority="46">
      <formula>ISODD(ROW())</formula>
    </cfRule>
  </conditionalFormatting>
  <conditionalFormatting sqref="I74">
    <cfRule type="expression" dxfId="1876" priority="17">
      <formula>ISODD(ROW())</formula>
    </cfRule>
  </conditionalFormatting>
  <conditionalFormatting sqref="I104">
    <cfRule type="expression" dxfId="1875" priority="304">
      <formula>ISODD(ROW())</formula>
    </cfRule>
  </conditionalFormatting>
  <conditionalFormatting sqref="I134">
    <cfRule type="expression" dxfId="1874" priority="266">
      <formula>ISODD(ROW())</formula>
    </cfRule>
  </conditionalFormatting>
  <conditionalFormatting sqref="I164">
    <cfRule type="expression" dxfId="1873" priority="227">
      <formula>ISODD(ROW())</formula>
    </cfRule>
  </conditionalFormatting>
  <conditionalFormatting sqref="I194">
    <cfRule type="expression" dxfId="1872" priority="189">
      <formula>ISODD(ROW())</formula>
    </cfRule>
  </conditionalFormatting>
  <conditionalFormatting sqref="I224">
    <cfRule type="expression" dxfId="1871" priority="151">
      <formula>ISODD(ROW())</formula>
    </cfRule>
  </conditionalFormatting>
  <conditionalFormatting sqref="I254">
    <cfRule type="expression" dxfId="1870" priority="113">
      <formula>ISODD(ROW())</formula>
    </cfRule>
  </conditionalFormatting>
  <conditionalFormatting sqref="R15:X16 R17 T17:X17">
    <cfRule type="expression" priority="240">
      <formula>"ISODD(RƠ())"</formula>
    </cfRule>
  </conditionalFormatting>
  <conditionalFormatting sqref="R1:AC1">
    <cfRule type="expression" dxfId="1869" priority="406">
      <formula>MOD(ROW(),2)=1</formula>
    </cfRule>
    <cfRule type="expression" dxfId="1868" priority="403">
      <formula>-ISODD(ROW())</formula>
    </cfRule>
    <cfRule type="expression" dxfId="1867" priority="404">
      <formula>ISOODD(ROW())</formula>
    </cfRule>
    <cfRule type="expression" dxfId="1866" priority="405">
      <formula>ISODD(ROW())</formula>
    </cfRule>
    <cfRule type="expression" dxfId="1865" priority="402">
      <formula>ISODD(ROW())</formula>
    </cfRule>
  </conditionalFormatting>
  <conditionalFormatting sqref="T2 V2 X2 Z2 R2:R3">
    <cfRule type="expression" dxfId="1864" priority="355">
      <formula>"IF(A4:A299);ISODD(ROW()))"</formula>
    </cfRule>
    <cfRule type="expression" dxfId="1863" priority="356">
      <formula>ISODD(ROW())</formula>
    </cfRule>
    <cfRule type="expression" dxfId="1862" priority="357">
      <formula>ISODD(ROW())</formula>
    </cfRule>
    <cfRule type="expression" dxfId="1861" priority="363">
      <formula>ISODD(RƠ())</formula>
    </cfRule>
    <cfRule type="expression" priority="362">
      <formula>ISODD(ROW())</formula>
    </cfRule>
    <cfRule type="expression" priority="361">
      <formula>"ISODD(ROW())"</formula>
    </cfRule>
    <cfRule type="expression" priority="359">
      <formula>is(ROW())</formula>
    </cfRule>
    <cfRule type="expression" dxfId="1860" priority="360">
      <formula>ISODD(ROW())</formula>
    </cfRule>
    <cfRule type="expression" dxfId="1859" priority="358">
      <formula>ISODD(ROW())</formula>
    </cfRule>
  </conditionalFormatting>
  <pageMargins left="0.45" right="0" top="0.25" bottom="0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A588-7BE5-4703-A38B-B57EAEAB82D3}">
  <dimension ref="A1:AC390"/>
  <sheetViews>
    <sheetView topLeftCell="A100" zoomScale="90" zoomScaleNormal="90" workbookViewId="0">
      <selection activeCell="B365" sqref="B365:D380"/>
    </sheetView>
  </sheetViews>
  <sheetFormatPr defaultColWidth="8.75" defaultRowHeight="18.75" x14ac:dyDescent="0.3"/>
  <cols>
    <col min="1" max="1" width="4.5" style="18" customWidth="1"/>
    <col min="2" max="2" width="23.75" style="18" customWidth="1"/>
    <col min="3" max="3" width="9.125" style="18" customWidth="1"/>
    <col min="4" max="4" width="12.125" style="18" customWidth="1"/>
    <col min="5" max="8" width="7.625" style="18" customWidth="1"/>
    <col min="9" max="9" width="7.625" style="42" customWidth="1"/>
    <col min="10" max="16" width="7.625" style="18" customWidth="1"/>
    <col min="17" max="17" width="10.125" style="18" customWidth="1"/>
    <col min="18" max="18" width="8.875" style="18" bestFit="1" customWidth="1"/>
    <col min="19" max="16384" width="8.75" style="18"/>
  </cols>
  <sheetData>
    <row r="1" spans="1:29" ht="18.600000000000001" customHeight="1" x14ac:dyDescent="0.3">
      <c r="A1" s="445" t="s">
        <v>964</v>
      </c>
      <c r="B1" s="445"/>
      <c r="C1" s="445"/>
      <c r="D1" s="445"/>
      <c r="E1" s="445"/>
      <c r="F1" s="445"/>
      <c r="G1" s="445"/>
      <c r="H1" s="445"/>
      <c r="I1" s="212">
        <v>1</v>
      </c>
      <c r="J1" s="213"/>
      <c r="K1" s="213"/>
      <c r="L1" s="213"/>
      <c r="M1" s="214"/>
      <c r="N1" s="214"/>
      <c r="O1" s="214"/>
      <c r="P1" s="214"/>
      <c r="Q1" s="202"/>
      <c r="R1" s="450" t="s">
        <v>1163</v>
      </c>
      <c r="S1" s="450"/>
      <c r="T1" s="450" t="s">
        <v>1164</v>
      </c>
      <c r="U1" s="450"/>
      <c r="V1" s="450" t="s">
        <v>1165</v>
      </c>
      <c r="W1" s="450"/>
      <c r="X1" s="450" t="s">
        <v>1166</v>
      </c>
      <c r="Y1" s="450"/>
      <c r="Z1" s="450" t="s">
        <v>1167</v>
      </c>
      <c r="AA1" s="450"/>
      <c r="AB1" s="451" t="s">
        <v>748</v>
      </c>
      <c r="AC1" s="451"/>
    </row>
    <row r="2" spans="1:29" ht="18.600000000000001" customHeight="1" x14ac:dyDescent="0.3">
      <c r="A2" s="28"/>
      <c r="B2" s="29"/>
      <c r="C2" s="30"/>
      <c r="D2" s="36"/>
      <c r="E2" s="28"/>
      <c r="F2" s="28"/>
      <c r="G2" s="28"/>
      <c r="H2" s="28"/>
      <c r="I2" s="79"/>
      <c r="J2" s="28"/>
      <c r="K2" s="28"/>
      <c r="L2" s="28"/>
      <c r="M2" s="28"/>
      <c r="N2" s="28"/>
      <c r="O2" s="28"/>
      <c r="P2" s="28"/>
      <c r="Q2" s="211" t="s">
        <v>1040</v>
      </c>
      <c r="R2" s="452">
        <f>SUBTOTAL(9,G5:G60)</f>
        <v>0</v>
      </c>
      <c r="S2" s="452"/>
      <c r="T2" s="452">
        <f>SUBTOTAL(9,I5:I60)</f>
        <v>2</v>
      </c>
      <c r="U2" s="452"/>
      <c r="V2" s="452">
        <f>SUBTOTAL(9,K5:K60)</f>
        <v>0</v>
      </c>
      <c r="W2" s="452"/>
      <c r="X2" s="452">
        <f t="shared" ref="X2" si="0">SUBTOTAL(9,M5:M60)</f>
        <v>0</v>
      </c>
      <c r="Y2" s="452"/>
      <c r="Z2" s="452">
        <f>SUBTOTAL(9,O5:O60)</f>
        <v>0</v>
      </c>
      <c r="AA2" s="452"/>
      <c r="AB2" s="453">
        <f>SUM(R2:Z2)</f>
        <v>2</v>
      </c>
      <c r="AC2" s="453"/>
    </row>
    <row r="3" spans="1:29" ht="18.600000000000001" customHeight="1" x14ac:dyDescent="0.3">
      <c r="A3" s="435" t="s">
        <v>374</v>
      </c>
      <c r="B3" s="435" t="s">
        <v>380</v>
      </c>
      <c r="C3" s="435" t="s">
        <v>383</v>
      </c>
      <c r="D3" s="437" t="s">
        <v>384</v>
      </c>
      <c r="E3" s="438" t="s">
        <v>385</v>
      </c>
      <c r="F3" s="439"/>
      <c r="G3" s="432" t="str">
        <f>$R$1</f>
        <v>Đợt 6</v>
      </c>
      <c r="H3" s="433"/>
      <c r="I3" s="432" t="str">
        <f>$T$1</f>
        <v>Đợt 7</v>
      </c>
      <c r="J3" s="433"/>
      <c r="K3" s="432" t="str">
        <f>V1</f>
        <v>Đợt 8</v>
      </c>
      <c r="L3" s="433"/>
      <c r="M3" s="432" t="str">
        <f>$X$1</f>
        <v>Đợt 9</v>
      </c>
      <c r="N3" s="433"/>
      <c r="O3" s="432" t="str">
        <f>$Z$1</f>
        <v>Đợt 10</v>
      </c>
      <c r="P3" s="454"/>
      <c r="Q3" s="66" t="s">
        <v>71</v>
      </c>
      <c r="R3" s="447">
        <v>0</v>
      </c>
      <c r="S3" s="447"/>
      <c r="T3" s="447">
        <f t="shared" ref="T3" si="1">I210+I330</f>
        <v>0</v>
      </c>
      <c r="U3" s="447"/>
      <c r="V3" s="447">
        <f t="shared" ref="V3" si="2">K210+K330</f>
        <v>0</v>
      </c>
      <c r="W3" s="447"/>
      <c r="X3" s="447">
        <f t="shared" ref="X3" si="3">M210+M330</f>
        <v>0</v>
      </c>
      <c r="Y3" s="447"/>
      <c r="Z3" s="447">
        <f t="shared" ref="Z3" si="4">O210+O330</f>
        <v>0</v>
      </c>
      <c r="AA3" s="447"/>
      <c r="AB3" s="455">
        <f t="shared" ref="AB3:AB5" si="5">SUM(R3:Z3)</f>
        <v>0</v>
      </c>
      <c r="AC3" s="455"/>
    </row>
    <row r="4" spans="1:29" ht="18.600000000000001" customHeight="1" x14ac:dyDescent="0.3">
      <c r="A4" s="436"/>
      <c r="B4" s="436"/>
      <c r="C4" s="436"/>
      <c r="D4" s="436"/>
      <c r="E4" s="31" t="s">
        <v>381</v>
      </c>
      <c r="F4" s="31" t="s">
        <v>382</v>
      </c>
      <c r="G4" s="31" t="s">
        <v>381</v>
      </c>
      <c r="H4" s="31" t="s">
        <v>382</v>
      </c>
      <c r="I4" s="80" t="s">
        <v>381</v>
      </c>
      <c r="J4" s="31" t="s">
        <v>382</v>
      </c>
      <c r="K4" s="31"/>
      <c r="L4" s="31"/>
      <c r="M4" s="31" t="s">
        <v>381</v>
      </c>
      <c r="N4" s="31" t="s">
        <v>382</v>
      </c>
      <c r="O4" s="31" t="s">
        <v>381</v>
      </c>
      <c r="P4" s="207" t="s">
        <v>382</v>
      </c>
      <c r="Q4" s="31" t="s">
        <v>1041</v>
      </c>
      <c r="R4" s="446">
        <f>SUBTOTAL(9,G5:G150)</f>
        <v>0</v>
      </c>
      <c r="S4" s="446"/>
      <c r="T4" s="446">
        <f t="shared" ref="T4" si="6">SUBTOTAL(9,I5:I150)</f>
        <v>14</v>
      </c>
      <c r="U4" s="446"/>
      <c r="V4" s="446">
        <f t="shared" ref="V4" si="7">SUBTOTAL(9,K5:K150)</f>
        <v>0</v>
      </c>
      <c r="W4" s="446"/>
      <c r="X4" s="446">
        <f t="shared" ref="X4" si="8">SUBTOTAL(9,M5:M150)</f>
        <v>0</v>
      </c>
      <c r="Y4" s="446"/>
      <c r="Z4" s="446">
        <f t="shared" ref="Z4" si="9">SUBTOTAL(9,O5:O150)</f>
        <v>0</v>
      </c>
      <c r="AA4" s="446"/>
      <c r="AB4" s="455">
        <f t="shared" si="5"/>
        <v>14</v>
      </c>
      <c r="AC4" s="455"/>
    </row>
    <row r="5" spans="1:29" ht="18.600000000000001" customHeight="1" x14ac:dyDescent="0.3">
      <c r="A5" s="32">
        <v>1</v>
      </c>
      <c r="B5" s="3" t="s">
        <v>1181</v>
      </c>
      <c r="C5" s="26" t="s">
        <v>14</v>
      </c>
      <c r="D5" s="25"/>
      <c r="E5" s="32"/>
      <c r="F5" s="34"/>
      <c r="G5" s="32"/>
      <c r="H5" s="34"/>
      <c r="I5" s="81"/>
      <c r="J5" s="34"/>
      <c r="K5" s="34"/>
      <c r="L5" s="34"/>
      <c r="M5" s="32"/>
      <c r="N5" s="34"/>
      <c r="O5" s="32"/>
      <c r="P5" s="208"/>
      <c r="Q5" s="202" t="s">
        <v>518</v>
      </c>
      <c r="R5" s="446">
        <f>G180+G240+G270+G300</f>
        <v>0</v>
      </c>
      <c r="S5" s="446"/>
      <c r="T5" s="446">
        <f t="shared" ref="T5" si="10">I180+I240+I270+I300</f>
        <v>0</v>
      </c>
      <c r="U5" s="446"/>
      <c r="V5" s="446">
        <f t="shared" ref="V5" si="11">K180+K240+K270+K300</f>
        <v>0</v>
      </c>
      <c r="W5" s="446"/>
      <c r="X5" s="446">
        <f t="shared" ref="X5" si="12">M180+M240+M270+M300</f>
        <v>0</v>
      </c>
      <c r="Y5" s="446"/>
      <c r="Z5" s="446">
        <f t="shared" ref="Z5" si="13">O180+O240+O270+O300</f>
        <v>0</v>
      </c>
      <c r="AA5" s="446"/>
      <c r="AB5" s="455">
        <f t="shared" si="5"/>
        <v>0</v>
      </c>
      <c r="AC5" s="455"/>
    </row>
    <row r="6" spans="1:29" ht="18.600000000000001" customHeight="1" x14ac:dyDescent="0.3">
      <c r="A6" s="7">
        <f t="shared" ref="A6:A29" si="14">A5+1</f>
        <v>2</v>
      </c>
      <c r="B6" s="253" t="s">
        <v>1180</v>
      </c>
      <c r="C6" s="26" t="s">
        <v>95</v>
      </c>
      <c r="D6" s="25"/>
      <c r="E6" s="7"/>
      <c r="F6" s="7"/>
      <c r="G6" s="7"/>
      <c r="H6" s="7"/>
      <c r="I6" s="82"/>
      <c r="J6" s="7"/>
      <c r="K6" s="7"/>
      <c r="L6" s="7"/>
      <c r="M6" s="7"/>
      <c r="N6" s="7"/>
      <c r="O6" s="7"/>
      <c r="P6" s="209"/>
      <c r="Q6" s="202"/>
      <c r="R6" s="448">
        <f>SUM(R3:S5)</f>
        <v>0</v>
      </c>
      <c r="S6" s="449"/>
      <c r="T6" s="448">
        <f t="shared" ref="T6" si="15">SUM(T3:U5)</f>
        <v>14</v>
      </c>
      <c r="U6" s="449"/>
      <c r="V6" s="448">
        <f t="shared" ref="V6" si="16">SUM(V3:W5)</f>
        <v>0</v>
      </c>
      <c r="W6" s="449"/>
      <c r="X6" s="448">
        <f t="shared" ref="X6" si="17">SUM(X3:Y5)</f>
        <v>0</v>
      </c>
      <c r="Y6" s="449"/>
      <c r="Z6" s="448">
        <f t="shared" ref="Z6" si="18">SUM(Z3:AA5)</f>
        <v>0</v>
      </c>
      <c r="AA6" s="449"/>
      <c r="AB6" s="448">
        <f t="shared" ref="AB6" si="19">SUM(AB3:AC5)</f>
        <v>14</v>
      </c>
      <c r="AC6" s="449"/>
    </row>
    <row r="7" spans="1:29" ht="18.600000000000001" customHeight="1" x14ac:dyDescent="0.3">
      <c r="A7" s="7">
        <f t="shared" si="14"/>
        <v>3</v>
      </c>
      <c r="B7" s="3" t="s">
        <v>1183</v>
      </c>
      <c r="C7" s="26" t="s">
        <v>6</v>
      </c>
      <c r="D7" s="25"/>
      <c r="E7" s="7"/>
      <c r="F7" s="7"/>
      <c r="G7" s="7"/>
      <c r="H7" s="7"/>
      <c r="I7" s="82"/>
      <c r="J7" s="7"/>
      <c r="K7" s="7"/>
      <c r="L7" s="7"/>
      <c r="M7" s="7"/>
      <c r="N7" s="7"/>
      <c r="O7" s="7"/>
      <c r="P7" s="7"/>
    </row>
    <row r="8" spans="1:29" ht="18.600000000000001" customHeight="1" x14ac:dyDescent="0.3">
      <c r="A8" s="7">
        <f t="shared" si="14"/>
        <v>4</v>
      </c>
      <c r="B8" s="174" t="s">
        <v>903</v>
      </c>
      <c r="C8" s="24" t="s">
        <v>518</v>
      </c>
      <c r="D8" s="163"/>
      <c r="E8" s="7"/>
      <c r="F8" s="7"/>
      <c r="G8" s="7"/>
      <c r="H8" s="7"/>
      <c r="I8" s="82"/>
      <c r="J8" s="7"/>
      <c r="K8" s="7"/>
      <c r="L8" s="7"/>
      <c r="M8" s="7"/>
      <c r="N8" s="7"/>
      <c r="O8" s="7"/>
      <c r="P8" s="7"/>
      <c r="Z8" s="20"/>
    </row>
    <row r="9" spans="1:29" ht="18.600000000000001" customHeight="1" x14ac:dyDescent="0.3">
      <c r="A9" s="6">
        <f t="shared" si="14"/>
        <v>5</v>
      </c>
      <c r="B9" s="253" t="s">
        <v>548</v>
      </c>
      <c r="C9" s="26" t="s">
        <v>49</v>
      </c>
      <c r="D9" s="25"/>
      <c r="E9" s="16"/>
      <c r="F9" s="16"/>
      <c r="G9" s="16"/>
      <c r="H9" s="16"/>
      <c r="I9" s="83"/>
      <c r="J9" s="16"/>
      <c r="K9" s="16"/>
      <c r="L9" s="16"/>
      <c r="M9" s="16"/>
      <c r="N9" s="16"/>
      <c r="O9" s="16"/>
      <c r="P9" s="16"/>
      <c r="S9" s="431" t="s">
        <v>403</v>
      </c>
      <c r="T9" s="431"/>
    </row>
    <row r="10" spans="1:29" ht="18.600000000000001" customHeight="1" x14ac:dyDescent="0.3">
      <c r="A10" s="56">
        <f t="shared" si="14"/>
        <v>6</v>
      </c>
      <c r="B10" s="3" t="s">
        <v>566</v>
      </c>
      <c r="C10" s="26" t="s">
        <v>116</v>
      </c>
      <c r="D10" s="25"/>
      <c r="E10" s="2"/>
      <c r="F10" s="2"/>
      <c r="G10" s="2"/>
      <c r="H10" s="2"/>
      <c r="I10" s="84"/>
      <c r="J10" s="2"/>
      <c r="K10" s="2"/>
      <c r="L10" s="2"/>
      <c r="M10" s="2"/>
      <c r="N10" s="2"/>
      <c r="O10" s="2"/>
      <c r="P10" s="2"/>
      <c r="R10" s="18">
        <v>1</v>
      </c>
      <c r="S10" s="18" t="s">
        <v>404</v>
      </c>
    </row>
    <row r="11" spans="1:29" ht="18.600000000000001" customHeight="1" x14ac:dyDescent="0.3">
      <c r="A11" s="6">
        <f t="shared" si="14"/>
        <v>7</v>
      </c>
      <c r="B11" s="3" t="s">
        <v>1172</v>
      </c>
      <c r="C11" s="26" t="s">
        <v>532</v>
      </c>
      <c r="D11" s="25"/>
      <c r="E11" s="4"/>
      <c r="F11" s="4"/>
      <c r="G11" s="4"/>
      <c r="H11" s="4"/>
      <c r="I11" s="85"/>
      <c r="J11" s="4"/>
      <c r="K11" s="4"/>
      <c r="L11" s="4"/>
      <c r="M11" s="4"/>
      <c r="N11" s="4"/>
      <c r="O11" s="4"/>
      <c r="P11" s="4"/>
      <c r="R11" s="18">
        <v>2</v>
      </c>
      <c r="S11" s="18" t="s">
        <v>405</v>
      </c>
    </row>
    <row r="12" spans="1:29" ht="18.600000000000001" customHeight="1" x14ac:dyDescent="0.3">
      <c r="A12" s="6">
        <f t="shared" si="14"/>
        <v>8</v>
      </c>
      <c r="B12" s="253" t="s">
        <v>18</v>
      </c>
      <c r="C12" s="26" t="s">
        <v>24</v>
      </c>
      <c r="D12" s="25"/>
      <c r="E12" s="4"/>
      <c r="F12" s="4"/>
      <c r="G12" s="4"/>
      <c r="H12" s="4"/>
      <c r="I12" s="85"/>
      <c r="J12" s="4"/>
      <c r="K12" s="4"/>
      <c r="L12" s="4"/>
      <c r="M12" s="4"/>
      <c r="N12" s="4"/>
      <c r="O12" s="4"/>
      <c r="P12" s="4"/>
      <c r="R12" s="18">
        <v>3</v>
      </c>
      <c r="S12" s="18" t="s">
        <v>406</v>
      </c>
    </row>
    <row r="13" spans="1:29" ht="18.600000000000001" customHeight="1" x14ac:dyDescent="0.3">
      <c r="A13" s="6">
        <f t="shared" si="14"/>
        <v>9</v>
      </c>
      <c r="B13" s="3" t="s">
        <v>1170</v>
      </c>
      <c r="C13" s="26" t="s">
        <v>24</v>
      </c>
      <c r="D13" s="25"/>
      <c r="E13" s="4"/>
      <c r="F13" s="4"/>
      <c r="G13" s="4"/>
      <c r="H13" s="4"/>
      <c r="I13" s="85"/>
      <c r="J13" s="4"/>
      <c r="K13" s="4"/>
      <c r="L13" s="4"/>
      <c r="M13" s="4"/>
      <c r="N13" s="4"/>
      <c r="O13" s="4"/>
      <c r="P13" s="4"/>
      <c r="R13" s="18">
        <v>4</v>
      </c>
      <c r="S13" s="18" t="s">
        <v>407</v>
      </c>
    </row>
    <row r="14" spans="1:29" ht="18.600000000000001" customHeight="1" x14ac:dyDescent="0.3">
      <c r="A14" s="10">
        <f t="shared" si="14"/>
        <v>10</v>
      </c>
      <c r="B14" s="253" t="s">
        <v>900</v>
      </c>
      <c r="C14" s="26" t="s">
        <v>34</v>
      </c>
      <c r="D14" s="25"/>
      <c r="E14" s="12"/>
      <c r="F14" s="12"/>
      <c r="G14" s="12"/>
      <c r="H14" s="12"/>
      <c r="I14" s="86"/>
      <c r="J14" s="12"/>
      <c r="K14" s="12"/>
      <c r="L14" s="12"/>
      <c r="M14" s="12"/>
      <c r="N14" s="12"/>
      <c r="O14" s="12"/>
      <c r="P14" s="12"/>
      <c r="R14" s="18">
        <v>5</v>
      </c>
      <c r="S14" s="18" t="s">
        <v>408</v>
      </c>
    </row>
    <row r="15" spans="1:29" ht="18.600000000000001" customHeight="1" x14ac:dyDescent="0.3">
      <c r="A15" s="35">
        <f t="shared" si="14"/>
        <v>11</v>
      </c>
      <c r="B15" s="3" t="s">
        <v>1184</v>
      </c>
      <c r="C15" s="26" t="s">
        <v>19</v>
      </c>
      <c r="D15" s="25"/>
      <c r="E15" s="14"/>
      <c r="F15" s="14"/>
      <c r="G15" s="14"/>
      <c r="H15" s="14"/>
      <c r="I15" s="87"/>
      <c r="J15" s="14"/>
      <c r="K15" s="14"/>
      <c r="L15" s="14"/>
      <c r="M15" s="14"/>
      <c r="N15" s="14"/>
      <c r="O15" s="14"/>
      <c r="P15" s="14"/>
    </row>
    <row r="16" spans="1:29" ht="18.600000000000001" customHeight="1" x14ac:dyDescent="0.3">
      <c r="A16" s="7">
        <f t="shared" si="14"/>
        <v>12</v>
      </c>
      <c r="B16" s="3" t="s">
        <v>1169</v>
      </c>
      <c r="C16" s="26" t="s">
        <v>19</v>
      </c>
      <c r="D16" s="25"/>
      <c r="E16" s="4"/>
      <c r="F16" s="4"/>
      <c r="G16" s="4"/>
      <c r="H16" s="4"/>
      <c r="I16" s="85"/>
      <c r="J16" s="4"/>
      <c r="K16" s="4"/>
      <c r="L16" s="4"/>
      <c r="M16" s="4"/>
      <c r="N16" s="4"/>
      <c r="O16" s="4"/>
      <c r="P16" s="4"/>
    </row>
    <row r="17" spans="1:19" ht="18.600000000000001" customHeight="1" x14ac:dyDescent="0.3">
      <c r="A17" s="7">
        <f t="shared" si="14"/>
        <v>13</v>
      </c>
      <c r="B17" s="253" t="s">
        <v>10</v>
      </c>
      <c r="C17" s="26" t="s">
        <v>37</v>
      </c>
      <c r="D17" s="25"/>
      <c r="E17" s="4"/>
      <c r="F17" s="4"/>
      <c r="G17" s="4"/>
      <c r="H17" s="4"/>
      <c r="I17" s="85"/>
      <c r="J17" s="4"/>
      <c r="K17" s="4"/>
      <c r="L17" s="4"/>
      <c r="M17" s="4"/>
      <c r="N17" s="4"/>
      <c r="O17" s="4"/>
      <c r="P17" s="4"/>
      <c r="S17" s="18" t="s">
        <v>856</v>
      </c>
    </row>
    <row r="18" spans="1:19" ht="18.600000000000001" customHeight="1" x14ac:dyDescent="0.3">
      <c r="A18" s="7">
        <f t="shared" si="14"/>
        <v>14</v>
      </c>
      <c r="B18" s="3" t="s">
        <v>209</v>
      </c>
      <c r="C18" s="26" t="s">
        <v>92</v>
      </c>
      <c r="D18" s="25"/>
      <c r="E18" s="4"/>
      <c r="F18" s="4"/>
      <c r="G18" s="4"/>
      <c r="H18" s="4"/>
      <c r="I18" s="85"/>
      <c r="J18" s="4"/>
      <c r="K18" s="4"/>
      <c r="L18" s="4"/>
      <c r="M18" s="4"/>
      <c r="N18" s="4"/>
      <c r="O18" s="4"/>
      <c r="P18" s="4"/>
    </row>
    <row r="19" spans="1:19" ht="18.600000000000001" customHeight="1" x14ac:dyDescent="0.3">
      <c r="A19" s="6">
        <f t="shared" si="14"/>
        <v>15</v>
      </c>
      <c r="B19" s="3" t="s">
        <v>1168</v>
      </c>
      <c r="C19" s="26" t="s">
        <v>92</v>
      </c>
      <c r="D19" s="25"/>
      <c r="E19" s="16"/>
      <c r="F19" s="16"/>
      <c r="G19" s="16"/>
      <c r="H19" s="16"/>
      <c r="I19" s="83"/>
      <c r="J19" s="16"/>
      <c r="K19" s="16"/>
      <c r="L19" s="16"/>
      <c r="M19" s="16"/>
      <c r="N19" s="16"/>
      <c r="O19" s="16"/>
      <c r="P19" s="16"/>
    </row>
    <row r="20" spans="1:19" ht="18.600000000000001" customHeight="1" x14ac:dyDescent="0.3">
      <c r="A20" s="32">
        <f t="shared" si="14"/>
        <v>16</v>
      </c>
      <c r="B20" s="3" t="s">
        <v>1171</v>
      </c>
      <c r="C20" s="26" t="s">
        <v>92</v>
      </c>
      <c r="D20" s="25"/>
      <c r="E20" s="2"/>
      <c r="F20" s="2"/>
      <c r="G20" s="2"/>
      <c r="H20" s="2"/>
      <c r="I20" s="84"/>
      <c r="J20" s="2"/>
      <c r="K20" s="2"/>
      <c r="L20" s="2"/>
      <c r="M20" s="2"/>
      <c r="N20" s="2"/>
      <c r="O20" s="2"/>
      <c r="P20" s="2"/>
    </row>
    <row r="21" spans="1:19" ht="18.600000000000001" customHeight="1" x14ac:dyDescent="0.3">
      <c r="A21" s="7">
        <f t="shared" si="14"/>
        <v>17</v>
      </c>
      <c r="B21" s="254" t="s">
        <v>105</v>
      </c>
      <c r="C21" s="24" t="s">
        <v>115</v>
      </c>
      <c r="D21" s="163"/>
      <c r="E21" s="4"/>
      <c r="F21" s="4"/>
      <c r="G21" s="4"/>
      <c r="H21" s="4"/>
      <c r="I21" s="85"/>
      <c r="J21" s="4"/>
      <c r="K21" s="4"/>
      <c r="L21" s="4"/>
      <c r="M21" s="4"/>
      <c r="N21" s="4"/>
      <c r="O21" s="4"/>
      <c r="P21" s="4"/>
    </row>
    <row r="22" spans="1:19" ht="18.600000000000001" customHeight="1" x14ac:dyDescent="0.3">
      <c r="A22" s="7">
        <f t="shared" si="14"/>
        <v>18</v>
      </c>
      <c r="B22" s="254" t="s">
        <v>56</v>
      </c>
      <c r="C22" s="24" t="s">
        <v>27</v>
      </c>
      <c r="D22" s="163"/>
      <c r="E22" s="4"/>
      <c r="F22" s="4"/>
      <c r="G22" s="4"/>
      <c r="H22" s="4"/>
      <c r="I22" s="85"/>
      <c r="J22" s="4"/>
      <c r="K22" s="4"/>
      <c r="L22" s="4"/>
      <c r="M22" s="4"/>
      <c r="N22" s="4"/>
      <c r="O22" s="4"/>
      <c r="P22" s="4"/>
    </row>
    <row r="23" spans="1:19" ht="18.600000000000001" customHeight="1" x14ac:dyDescent="0.3">
      <c r="A23" s="7">
        <f t="shared" si="14"/>
        <v>19</v>
      </c>
      <c r="B23" s="3" t="s">
        <v>1182</v>
      </c>
      <c r="C23" s="26" t="s">
        <v>5</v>
      </c>
      <c r="D23" s="25"/>
      <c r="E23" s="4"/>
      <c r="F23" s="4"/>
      <c r="G23" s="4"/>
      <c r="H23" s="4"/>
      <c r="I23" s="85"/>
      <c r="J23" s="4"/>
      <c r="K23" s="4"/>
      <c r="L23" s="4"/>
      <c r="M23" s="4"/>
      <c r="N23" s="4"/>
      <c r="O23" s="4"/>
      <c r="P23" s="4"/>
    </row>
    <row r="24" spans="1:19" ht="18.600000000000001" customHeight="1" x14ac:dyDescent="0.3">
      <c r="A24" s="10">
        <f t="shared" si="14"/>
        <v>20</v>
      </c>
      <c r="B24" s="11"/>
      <c r="C24" s="12"/>
      <c r="D24" s="9"/>
      <c r="E24" s="12"/>
      <c r="F24" s="12"/>
      <c r="G24" s="12"/>
      <c r="H24" s="12"/>
      <c r="I24" s="86"/>
      <c r="J24" s="12"/>
      <c r="K24" s="12"/>
      <c r="L24" s="12"/>
      <c r="M24" s="12"/>
      <c r="N24" s="12"/>
      <c r="O24" s="12"/>
      <c r="P24" s="12"/>
    </row>
    <row r="25" spans="1:19" ht="18.600000000000001" customHeight="1" x14ac:dyDescent="0.3">
      <c r="A25" s="35">
        <f t="shared" si="14"/>
        <v>21</v>
      </c>
      <c r="B25" s="13"/>
      <c r="C25" s="14"/>
      <c r="D25" s="37"/>
      <c r="E25" s="14"/>
      <c r="F25" s="14"/>
      <c r="G25" s="14"/>
      <c r="H25" s="14"/>
      <c r="I25" s="87"/>
      <c r="J25" s="14"/>
      <c r="K25" s="14"/>
      <c r="L25" s="14"/>
      <c r="M25" s="14"/>
      <c r="N25" s="14"/>
      <c r="O25" s="14"/>
      <c r="P25" s="14"/>
    </row>
    <row r="26" spans="1:19" ht="18.600000000000001" customHeight="1" x14ac:dyDescent="0.3">
      <c r="A26" s="7">
        <f t="shared" si="14"/>
        <v>22</v>
      </c>
      <c r="B26" s="3"/>
      <c r="C26" s="4"/>
      <c r="D26" s="8"/>
      <c r="E26" s="4"/>
      <c r="F26" s="4"/>
      <c r="G26" s="4"/>
      <c r="H26" s="4"/>
      <c r="I26" s="85"/>
      <c r="J26" s="4"/>
      <c r="K26" s="4"/>
      <c r="L26" s="4"/>
      <c r="M26" s="4"/>
      <c r="N26" s="4"/>
      <c r="O26" s="4"/>
      <c r="P26" s="4"/>
    </row>
    <row r="27" spans="1:19" ht="18.600000000000001" customHeight="1" x14ac:dyDescent="0.3">
      <c r="A27" s="35">
        <f t="shared" si="14"/>
        <v>23</v>
      </c>
      <c r="B27" s="3"/>
      <c r="C27" s="4"/>
      <c r="D27" s="8"/>
      <c r="E27" s="4"/>
      <c r="F27" s="4"/>
      <c r="G27" s="4"/>
      <c r="H27" s="4"/>
      <c r="I27" s="85"/>
      <c r="J27" s="4"/>
      <c r="K27" s="4"/>
      <c r="L27" s="4"/>
      <c r="M27" s="4"/>
      <c r="N27" s="4"/>
      <c r="O27" s="4"/>
      <c r="P27" s="4"/>
    </row>
    <row r="28" spans="1:19" ht="18.600000000000001" customHeight="1" x14ac:dyDescent="0.3">
      <c r="A28" s="7">
        <f t="shared" si="14"/>
        <v>24</v>
      </c>
      <c r="B28" s="3"/>
      <c r="C28" s="4"/>
      <c r="D28" s="8"/>
      <c r="E28" s="4"/>
      <c r="F28" s="4"/>
      <c r="G28" s="4"/>
      <c r="H28" s="4"/>
      <c r="I28" s="85"/>
      <c r="J28" s="4"/>
      <c r="K28" s="4"/>
      <c r="L28" s="4"/>
      <c r="M28" s="4"/>
      <c r="N28" s="4"/>
      <c r="O28" s="4"/>
      <c r="P28" s="4"/>
    </row>
    <row r="29" spans="1:19" ht="18.600000000000001" customHeight="1" x14ac:dyDescent="0.3">
      <c r="A29" s="35">
        <f t="shared" si="14"/>
        <v>25</v>
      </c>
      <c r="B29" s="11"/>
      <c r="C29" s="12"/>
      <c r="D29" s="9"/>
      <c r="E29" s="12"/>
      <c r="F29" s="12"/>
      <c r="G29" s="12"/>
      <c r="H29" s="12"/>
      <c r="I29" s="86"/>
      <c r="J29" s="12"/>
      <c r="K29" s="12"/>
      <c r="L29" s="12"/>
      <c r="M29" s="12"/>
      <c r="N29" s="12"/>
      <c r="O29" s="12"/>
      <c r="P29" s="12"/>
    </row>
    <row r="30" spans="1:19" ht="18.600000000000001" customHeight="1" x14ac:dyDescent="0.3">
      <c r="A30" s="147"/>
      <c r="B30" s="148"/>
      <c r="C30" s="147"/>
      <c r="D30" s="149"/>
      <c r="E30" s="215">
        <f>SUBTOTAL(9,E5:E29)</f>
        <v>0</v>
      </c>
      <c r="F30" s="216"/>
      <c r="G30" s="215">
        <f t="shared" ref="G30" si="20">SUBTOTAL(9,G5:G29)</f>
        <v>0</v>
      </c>
      <c r="H30" s="216"/>
      <c r="I30" s="215">
        <f t="shared" ref="I30" si="21">SUBTOTAL(9,I5:I29)</f>
        <v>0</v>
      </c>
      <c r="J30" s="216"/>
      <c r="K30" s="216"/>
      <c r="L30" s="216"/>
      <c r="M30" s="215">
        <f t="shared" ref="M30" si="22">SUBTOTAL(9,M5:M29)</f>
        <v>0</v>
      </c>
      <c r="N30" s="216"/>
      <c r="O30" s="215">
        <f t="shared" ref="O30" si="23">SUBTOTAL(9,O5:O29)</f>
        <v>0</v>
      </c>
      <c r="P30" s="216"/>
    </row>
    <row r="31" spans="1:19" ht="18.600000000000001" customHeight="1" x14ac:dyDescent="0.3">
      <c r="A31" s="445" t="str">
        <f>A1</f>
        <v>DANH SÁCH LỚP VĂN</v>
      </c>
      <c r="B31" s="445"/>
      <c r="C31" s="445"/>
      <c r="D31" s="445"/>
      <c r="E31" s="445"/>
      <c r="F31" s="445"/>
      <c r="G31" s="445"/>
      <c r="H31" s="445"/>
      <c r="I31" s="212">
        <v>2</v>
      </c>
      <c r="J31" s="213"/>
      <c r="K31" s="213"/>
      <c r="L31" s="213"/>
      <c r="M31" s="214"/>
      <c r="N31" s="214"/>
      <c r="O31" s="214"/>
      <c r="P31" s="214"/>
    </row>
    <row r="32" spans="1:19" ht="18.600000000000001" customHeight="1" x14ac:dyDescent="0.3">
      <c r="A32" s="28"/>
      <c r="B32" s="29"/>
      <c r="C32" s="30"/>
      <c r="D32" s="36"/>
      <c r="E32" s="28"/>
      <c r="F32" s="28"/>
      <c r="G32" s="28"/>
      <c r="H32" s="28"/>
      <c r="I32" s="79"/>
      <c r="J32" s="28"/>
      <c r="K32" s="28"/>
      <c r="L32" s="28"/>
      <c r="M32" s="28"/>
      <c r="N32" s="28"/>
      <c r="O32" s="28"/>
      <c r="P32" s="28"/>
    </row>
    <row r="33" spans="1:16" ht="18.600000000000001" customHeight="1" x14ac:dyDescent="0.3">
      <c r="A33" s="435" t="s">
        <v>374</v>
      </c>
      <c r="B33" s="435" t="s">
        <v>380</v>
      </c>
      <c r="C33" s="435" t="s">
        <v>383</v>
      </c>
      <c r="D33" s="437" t="s">
        <v>384</v>
      </c>
      <c r="E33" s="438" t="s">
        <v>385</v>
      </c>
      <c r="F33" s="439"/>
      <c r="G33" s="432" t="str">
        <f>$R$1</f>
        <v>Đợt 6</v>
      </c>
      <c r="H33" s="433"/>
      <c r="I33" s="432" t="str">
        <f>$T$1</f>
        <v>Đợt 7</v>
      </c>
      <c r="J33" s="433"/>
      <c r="K33" s="432" t="str">
        <f>$V$1</f>
        <v>Đợt 8</v>
      </c>
      <c r="L33" s="433"/>
      <c r="M33" s="432" t="str">
        <f>$X$1</f>
        <v>Đợt 9</v>
      </c>
      <c r="N33" s="433"/>
      <c r="O33" s="432" t="str">
        <f>$Z$1</f>
        <v>Đợt 10</v>
      </c>
      <c r="P33" s="433"/>
    </row>
    <row r="34" spans="1:16" ht="18.600000000000001" customHeight="1" x14ac:dyDescent="0.3">
      <c r="A34" s="436"/>
      <c r="B34" s="436"/>
      <c r="C34" s="436"/>
      <c r="D34" s="436"/>
      <c r="E34" s="31" t="s">
        <v>381</v>
      </c>
      <c r="F34" s="31" t="s">
        <v>382</v>
      </c>
      <c r="G34" s="31" t="s">
        <v>381</v>
      </c>
      <c r="H34" s="31" t="s">
        <v>382</v>
      </c>
      <c r="I34" s="80" t="s">
        <v>381</v>
      </c>
      <c r="J34" s="31" t="s">
        <v>382</v>
      </c>
      <c r="K34" s="80" t="s">
        <v>381</v>
      </c>
      <c r="L34" s="31" t="s">
        <v>382</v>
      </c>
      <c r="M34" s="31" t="s">
        <v>381</v>
      </c>
      <c r="N34" s="31" t="s">
        <v>382</v>
      </c>
      <c r="O34" s="31" t="s">
        <v>381</v>
      </c>
      <c r="P34" s="31" t="s">
        <v>382</v>
      </c>
    </row>
    <row r="35" spans="1:16" ht="18.600000000000001" customHeight="1" x14ac:dyDescent="0.3">
      <c r="A35" s="32">
        <v>1</v>
      </c>
      <c r="B35" s="143" t="s">
        <v>906</v>
      </c>
      <c r="C35" s="146" t="s">
        <v>10</v>
      </c>
      <c r="D35" s="143"/>
      <c r="E35" s="32"/>
      <c r="F35" s="34"/>
      <c r="G35" s="32"/>
      <c r="H35" s="93"/>
      <c r="I35" s="81"/>
      <c r="J35" s="34"/>
      <c r="K35" s="34"/>
      <c r="L35" s="34"/>
      <c r="M35" s="32"/>
      <c r="N35" s="34"/>
      <c r="O35" s="32"/>
      <c r="P35" s="34"/>
    </row>
    <row r="36" spans="1:16" ht="18.600000000000001" customHeight="1" x14ac:dyDescent="0.3">
      <c r="A36" s="7">
        <f t="shared" ref="A36:A59" si="24">A35+1</f>
        <v>2</v>
      </c>
      <c r="B36" s="143" t="s">
        <v>908</v>
      </c>
      <c r="C36" s="146" t="s">
        <v>14</v>
      </c>
      <c r="D36" s="143"/>
      <c r="E36" s="7"/>
      <c r="F36" s="7"/>
      <c r="G36" s="7"/>
      <c r="H36" s="7"/>
      <c r="I36" s="82"/>
      <c r="J36" s="7"/>
      <c r="K36" s="7"/>
      <c r="L36" s="7"/>
      <c r="M36" s="7"/>
      <c r="N36" s="7"/>
      <c r="O36" s="7"/>
      <c r="P36" s="7"/>
    </row>
    <row r="37" spans="1:16" ht="18.600000000000001" customHeight="1" x14ac:dyDescent="0.3">
      <c r="A37" s="7">
        <f t="shared" si="24"/>
        <v>3</v>
      </c>
      <c r="B37" s="161" t="s">
        <v>1173</v>
      </c>
      <c r="C37" s="25" t="s">
        <v>14</v>
      </c>
      <c r="D37" s="24"/>
      <c r="E37" s="7"/>
      <c r="F37" s="7"/>
      <c r="G37" s="7"/>
      <c r="H37" s="7"/>
      <c r="I37" s="82"/>
      <c r="J37" s="7"/>
      <c r="K37" s="7"/>
      <c r="L37" s="7"/>
      <c r="M37" s="7"/>
      <c r="N37" s="7"/>
      <c r="O37" s="7"/>
      <c r="P37" s="7"/>
    </row>
    <row r="38" spans="1:16" ht="18.600000000000001" customHeight="1" x14ac:dyDescent="0.3">
      <c r="A38" s="7">
        <f t="shared" si="24"/>
        <v>4</v>
      </c>
      <c r="B38" s="26" t="s">
        <v>884</v>
      </c>
      <c r="C38" s="26" t="s">
        <v>15</v>
      </c>
      <c r="D38" s="26">
        <v>907370931</v>
      </c>
      <c r="E38" s="7"/>
      <c r="F38" s="7"/>
      <c r="G38" s="7"/>
      <c r="H38" s="7"/>
      <c r="I38" s="82"/>
      <c r="J38" s="7"/>
      <c r="K38" s="7"/>
      <c r="L38" s="7"/>
      <c r="M38" s="7"/>
      <c r="N38" s="7"/>
      <c r="O38" s="7"/>
      <c r="P38" s="7"/>
    </row>
    <row r="39" spans="1:16" ht="18.600000000000001" customHeight="1" x14ac:dyDescent="0.3">
      <c r="A39" s="6">
        <f t="shared" si="24"/>
        <v>5</v>
      </c>
      <c r="B39" s="143" t="s">
        <v>907</v>
      </c>
      <c r="C39" s="146" t="s">
        <v>49</v>
      </c>
      <c r="D39" s="143"/>
      <c r="E39" s="16"/>
      <c r="F39" s="16"/>
      <c r="G39" s="16"/>
      <c r="H39" s="16"/>
      <c r="I39" s="83"/>
      <c r="J39" s="16"/>
      <c r="K39" s="16"/>
      <c r="L39" s="16"/>
      <c r="M39" s="16"/>
      <c r="N39" s="16"/>
      <c r="O39" s="16"/>
      <c r="P39" s="16"/>
    </row>
    <row r="40" spans="1:16" ht="18.600000000000001" customHeight="1" x14ac:dyDescent="0.3">
      <c r="A40" s="56">
        <f t="shared" si="24"/>
        <v>6</v>
      </c>
      <c r="B40" s="26" t="s">
        <v>925</v>
      </c>
      <c r="C40" s="26" t="s">
        <v>68</v>
      </c>
      <c r="D40" s="25"/>
      <c r="E40" s="2"/>
      <c r="F40" s="2"/>
      <c r="G40" s="2"/>
      <c r="H40" s="2"/>
      <c r="I40" s="84"/>
      <c r="J40" s="2"/>
      <c r="K40" s="2"/>
      <c r="L40" s="2"/>
      <c r="M40" s="2"/>
      <c r="N40" s="2"/>
      <c r="O40" s="2"/>
      <c r="P40" s="2"/>
    </row>
    <row r="41" spans="1:16" ht="18.600000000000001" customHeight="1" x14ac:dyDescent="0.3">
      <c r="A41" s="6">
        <f t="shared" si="24"/>
        <v>7</v>
      </c>
      <c r="B41" s="143" t="s">
        <v>909</v>
      </c>
      <c r="C41" s="146" t="s">
        <v>24</v>
      </c>
      <c r="D41" s="143"/>
      <c r="E41" s="4"/>
      <c r="F41" s="4"/>
      <c r="G41" s="4"/>
      <c r="H41" s="4"/>
      <c r="I41" s="85"/>
      <c r="J41" s="4"/>
      <c r="K41" s="4"/>
      <c r="L41" s="4"/>
      <c r="M41" s="4"/>
      <c r="N41" s="4"/>
      <c r="O41" s="4"/>
      <c r="P41" s="4"/>
    </row>
    <row r="42" spans="1:16" ht="18.600000000000001" customHeight="1" x14ac:dyDescent="0.3">
      <c r="A42" s="6">
        <f t="shared" si="24"/>
        <v>8</v>
      </c>
      <c r="B42" s="25" t="s">
        <v>996</v>
      </c>
      <c r="C42" s="25" t="s">
        <v>26</v>
      </c>
      <c r="D42" s="24"/>
      <c r="E42" s="4"/>
      <c r="F42" s="4"/>
      <c r="G42" s="4"/>
      <c r="H42" s="4"/>
      <c r="I42" s="85"/>
      <c r="J42" s="4"/>
      <c r="K42" s="4"/>
      <c r="L42" s="4"/>
      <c r="M42" s="4"/>
      <c r="N42" s="4"/>
      <c r="O42" s="4"/>
      <c r="P42" s="4"/>
    </row>
    <row r="43" spans="1:16" ht="18.600000000000001" customHeight="1" x14ac:dyDescent="0.3">
      <c r="A43" s="6">
        <f t="shared" si="24"/>
        <v>9</v>
      </c>
      <c r="B43" s="143" t="s">
        <v>840</v>
      </c>
      <c r="C43" s="143" t="s">
        <v>832</v>
      </c>
      <c r="D43" s="143" t="s">
        <v>841</v>
      </c>
      <c r="E43" s="4"/>
      <c r="F43" s="4"/>
      <c r="G43" s="4"/>
      <c r="H43" s="4"/>
      <c r="I43" s="85"/>
      <c r="J43" s="4"/>
      <c r="K43" s="4"/>
      <c r="L43" s="4"/>
      <c r="M43" s="4"/>
      <c r="N43" s="4"/>
      <c r="O43" s="4"/>
      <c r="P43" s="4"/>
    </row>
    <row r="44" spans="1:16" ht="18.600000000000001" customHeight="1" x14ac:dyDescent="0.3">
      <c r="A44" s="10">
        <f t="shared" si="24"/>
        <v>10</v>
      </c>
      <c r="B44" s="143" t="s">
        <v>157</v>
      </c>
      <c r="C44" s="146" t="s">
        <v>65</v>
      </c>
      <c r="D44" s="143"/>
      <c r="E44" s="12"/>
      <c r="F44" s="12"/>
      <c r="G44" s="12"/>
      <c r="H44" s="12"/>
      <c r="I44" s="86"/>
      <c r="J44" s="12"/>
      <c r="K44" s="12"/>
      <c r="L44" s="12"/>
      <c r="M44" s="12"/>
      <c r="N44" s="12"/>
      <c r="O44" s="12"/>
      <c r="P44" s="12"/>
    </row>
    <row r="45" spans="1:16" ht="18.600000000000001" customHeight="1" x14ac:dyDescent="0.3">
      <c r="A45" s="35">
        <f t="shared" si="24"/>
        <v>11</v>
      </c>
      <c r="B45" s="143" t="s">
        <v>800</v>
      </c>
      <c r="C45" s="143" t="s">
        <v>499</v>
      </c>
      <c r="D45" s="143">
        <v>338072410</v>
      </c>
      <c r="E45" s="14"/>
      <c r="F45" s="14"/>
      <c r="G45" s="14"/>
      <c r="H45" s="14"/>
      <c r="I45" s="87"/>
      <c r="J45" s="14"/>
      <c r="K45" s="14"/>
      <c r="L45" s="14"/>
      <c r="M45" s="14"/>
      <c r="N45" s="14"/>
      <c r="O45" s="14"/>
      <c r="P45" s="14"/>
    </row>
    <row r="46" spans="1:16" ht="18.600000000000001" customHeight="1" x14ac:dyDescent="0.3">
      <c r="A46" s="7">
        <f t="shared" si="24"/>
        <v>12</v>
      </c>
      <c r="B46" s="26"/>
      <c r="C46" s="26"/>
      <c r="D46" s="22"/>
      <c r="E46" s="4"/>
      <c r="F46" s="4"/>
      <c r="G46" s="4"/>
      <c r="H46" s="4"/>
      <c r="I46" s="85"/>
      <c r="J46" s="4"/>
      <c r="K46" s="4"/>
      <c r="L46" s="4"/>
      <c r="M46" s="4"/>
      <c r="N46" s="4"/>
      <c r="O46" s="4"/>
      <c r="P46" s="4"/>
    </row>
    <row r="47" spans="1:16" ht="18.600000000000001" customHeight="1" x14ac:dyDescent="0.3">
      <c r="A47" s="7">
        <f t="shared" si="24"/>
        <v>13</v>
      </c>
      <c r="B47" s="26"/>
      <c r="C47" s="26"/>
      <c r="D47" s="22"/>
      <c r="E47" s="4"/>
      <c r="F47" s="4"/>
      <c r="G47" s="4"/>
      <c r="H47" s="4"/>
      <c r="I47" s="85"/>
      <c r="J47" s="4"/>
      <c r="K47" s="4"/>
      <c r="L47" s="4"/>
      <c r="M47" s="4"/>
      <c r="N47" s="4"/>
      <c r="O47" s="4"/>
      <c r="P47" s="4"/>
    </row>
    <row r="48" spans="1:16" ht="18.600000000000001" customHeight="1" x14ac:dyDescent="0.3">
      <c r="A48" s="7">
        <f t="shared" si="24"/>
        <v>14</v>
      </c>
      <c r="B48" s="3"/>
      <c r="C48" s="4"/>
      <c r="D48" s="8"/>
      <c r="E48" s="4"/>
      <c r="F48" s="4"/>
      <c r="G48" s="4"/>
      <c r="H48" s="4"/>
      <c r="I48" s="85"/>
      <c r="J48" s="4"/>
      <c r="K48" s="4"/>
      <c r="L48" s="4"/>
      <c r="M48" s="4"/>
      <c r="N48" s="4"/>
      <c r="O48" s="4"/>
      <c r="P48" s="4"/>
    </row>
    <row r="49" spans="1:16" ht="18.600000000000001" customHeight="1" x14ac:dyDescent="0.3">
      <c r="A49" s="6">
        <f t="shared" si="24"/>
        <v>15</v>
      </c>
      <c r="B49" s="15"/>
      <c r="C49" s="16"/>
      <c r="D49" s="5"/>
      <c r="E49" s="16"/>
      <c r="F49" s="16"/>
      <c r="G49" s="16"/>
      <c r="H49" s="16"/>
      <c r="I49" s="83"/>
      <c r="J49" s="16"/>
      <c r="K49" s="16"/>
      <c r="L49" s="16"/>
      <c r="M49" s="16"/>
      <c r="N49" s="16"/>
      <c r="O49" s="16"/>
      <c r="P49" s="16"/>
    </row>
    <row r="50" spans="1:16" ht="18.600000000000001" customHeight="1" x14ac:dyDescent="0.3">
      <c r="A50" s="32">
        <f t="shared" si="24"/>
        <v>16</v>
      </c>
      <c r="B50" s="1"/>
      <c r="C50" s="2"/>
      <c r="D50" s="33"/>
      <c r="E50" s="2"/>
      <c r="F50" s="2"/>
      <c r="G50" s="2"/>
      <c r="H50" s="2"/>
      <c r="I50" s="84"/>
      <c r="J50" s="2"/>
      <c r="K50" s="2"/>
      <c r="L50" s="2"/>
      <c r="M50" s="2"/>
      <c r="N50" s="2"/>
      <c r="O50" s="2"/>
      <c r="P50" s="2"/>
    </row>
    <row r="51" spans="1:16" ht="18.600000000000001" customHeight="1" x14ac:dyDescent="0.3">
      <c r="A51" s="7">
        <f t="shared" si="24"/>
        <v>17</v>
      </c>
      <c r="B51" s="3"/>
      <c r="C51" s="4"/>
      <c r="D51" s="8"/>
      <c r="E51" s="4"/>
      <c r="F51" s="4"/>
      <c r="G51" s="4"/>
      <c r="H51" s="4"/>
      <c r="I51" s="85"/>
      <c r="J51" s="4"/>
      <c r="K51" s="4"/>
      <c r="L51" s="4"/>
      <c r="M51" s="4"/>
      <c r="N51" s="4"/>
      <c r="O51" s="4"/>
      <c r="P51" s="4"/>
    </row>
    <row r="52" spans="1:16" ht="18.600000000000001" customHeight="1" x14ac:dyDescent="0.3">
      <c r="A52" s="7">
        <f t="shared" si="24"/>
        <v>18</v>
      </c>
      <c r="B52" s="3"/>
      <c r="C52" s="4"/>
      <c r="D52" s="8"/>
      <c r="E52" s="4"/>
      <c r="F52" s="4"/>
      <c r="G52" s="4"/>
      <c r="H52" s="4"/>
      <c r="I52" s="85"/>
      <c r="J52" s="4"/>
      <c r="K52" s="4"/>
      <c r="L52" s="4"/>
      <c r="M52" s="4"/>
      <c r="N52" s="4"/>
      <c r="O52" s="4"/>
      <c r="P52" s="4"/>
    </row>
    <row r="53" spans="1:16" ht="18.600000000000001" customHeight="1" x14ac:dyDescent="0.3">
      <c r="A53" s="7">
        <f t="shared" si="24"/>
        <v>19</v>
      </c>
      <c r="B53" s="3"/>
      <c r="C53" s="4"/>
      <c r="D53" s="8"/>
      <c r="E53" s="4"/>
      <c r="F53" s="4"/>
      <c r="G53" s="4"/>
      <c r="H53" s="4"/>
      <c r="I53" s="85"/>
      <c r="J53" s="4"/>
      <c r="K53" s="4"/>
      <c r="L53" s="4"/>
      <c r="M53" s="4"/>
      <c r="N53" s="4"/>
      <c r="O53" s="4"/>
      <c r="P53" s="4"/>
    </row>
    <row r="54" spans="1:16" ht="18.600000000000001" customHeight="1" x14ac:dyDescent="0.3">
      <c r="A54" s="10">
        <f t="shared" si="24"/>
        <v>20</v>
      </c>
      <c r="B54" s="11"/>
      <c r="C54" s="12"/>
      <c r="D54" s="9"/>
      <c r="E54" s="12"/>
      <c r="F54" s="12"/>
      <c r="G54" s="12"/>
      <c r="H54" s="12"/>
      <c r="I54" s="86"/>
      <c r="J54" s="12"/>
      <c r="K54" s="12"/>
      <c r="L54" s="12"/>
      <c r="M54" s="12"/>
      <c r="N54" s="12"/>
      <c r="O54" s="12"/>
      <c r="P54" s="12"/>
    </row>
    <row r="55" spans="1:16" ht="18.600000000000001" customHeight="1" x14ac:dyDescent="0.3">
      <c r="A55" s="35">
        <f t="shared" si="24"/>
        <v>21</v>
      </c>
      <c r="B55" s="13"/>
      <c r="C55" s="14"/>
      <c r="D55" s="37"/>
      <c r="E55" s="14"/>
      <c r="F55" s="14"/>
      <c r="G55" s="14"/>
      <c r="H55" s="14"/>
      <c r="I55" s="87"/>
      <c r="J55" s="14"/>
      <c r="K55" s="14"/>
      <c r="L55" s="14"/>
      <c r="M55" s="14"/>
      <c r="N55" s="14"/>
      <c r="O55" s="14"/>
      <c r="P55" s="14"/>
    </row>
    <row r="56" spans="1:16" ht="18.600000000000001" customHeight="1" x14ac:dyDescent="0.3">
      <c r="A56" s="7">
        <f t="shared" si="24"/>
        <v>22</v>
      </c>
      <c r="B56" s="3"/>
      <c r="C56" s="4"/>
      <c r="D56" s="8"/>
      <c r="E56" s="4"/>
      <c r="F56" s="4"/>
      <c r="G56" s="4"/>
      <c r="H56" s="4"/>
      <c r="I56" s="85"/>
      <c r="J56" s="4"/>
      <c r="K56" s="4"/>
      <c r="L56" s="4"/>
      <c r="M56" s="4"/>
      <c r="N56" s="4"/>
      <c r="O56" s="4"/>
      <c r="P56" s="4"/>
    </row>
    <row r="57" spans="1:16" ht="18.600000000000001" customHeight="1" x14ac:dyDescent="0.3">
      <c r="A57" s="35">
        <f t="shared" si="24"/>
        <v>23</v>
      </c>
      <c r="B57" s="3"/>
      <c r="C57" s="4"/>
      <c r="D57" s="8"/>
      <c r="E57" s="4"/>
      <c r="F57" s="4"/>
      <c r="G57" s="4"/>
      <c r="H57" s="4"/>
      <c r="I57" s="85"/>
      <c r="J57" s="4"/>
      <c r="K57" s="4"/>
      <c r="L57" s="4"/>
      <c r="M57" s="4"/>
      <c r="N57" s="4"/>
      <c r="O57" s="4"/>
      <c r="P57" s="4"/>
    </row>
    <row r="58" spans="1:16" ht="18.600000000000001" customHeight="1" x14ac:dyDescent="0.3">
      <c r="A58" s="7">
        <f t="shared" si="24"/>
        <v>24</v>
      </c>
      <c r="B58" s="3"/>
      <c r="C58" s="4"/>
      <c r="D58" s="8"/>
      <c r="E58" s="4"/>
      <c r="F58" s="4"/>
      <c r="G58" s="4"/>
      <c r="H58" s="4"/>
      <c r="I58" s="85"/>
      <c r="J58" s="4"/>
      <c r="K58" s="4"/>
      <c r="L58" s="4"/>
      <c r="M58" s="4"/>
      <c r="N58" s="4"/>
      <c r="O58" s="4"/>
      <c r="P58" s="4"/>
    </row>
    <row r="59" spans="1:16" ht="18.600000000000001" customHeight="1" x14ac:dyDescent="0.3">
      <c r="A59" s="35">
        <f t="shared" si="24"/>
        <v>25</v>
      </c>
      <c r="B59" s="11"/>
      <c r="C59" s="12"/>
      <c r="D59" s="9"/>
      <c r="E59" s="12"/>
      <c r="F59" s="12"/>
      <c r="G59" s="12"/>
      <c r="H59" s="12"/>
      <c r="I59" s="86"/>
      <c r="J59" s="12"/>
      <c r="K59" s="12"/>
      <c r="L59" s="12"/>
      <c r="M59" s="12"/>
      <c r="N59" s="12"/>
      <c r="O59" s="12"/>
      <c r="P59" s="12"/>
    </row>
    <row r="60" spans="1:16" ht="18.600000000000001" customHeight="1" x14ac:dyDescent="0.3">
      <c r="A60" s="147"/>
      <c r="B60" s="148"/>
      <c r="C60" s="147"/>
      <c r="D60" s="149"/>
      <c r="E60" s="215">
        <f>SUBTOTAL(9,E35:E59)</f>
        <v>0</v>
      </c>
      <c r="F60" s="147"/>
      <c r="G60" s="215">
        <f t="shared" ref="G60" si="25">SUBTOTAL(9,G35:G59)</f>
        <v>0</v>
      </c>
      <c r="H60" s="147"/>
      <c r="I60" s="215">
        <f t="shared" ref="I60" si="26">SUBTOTAL(9,I35:I59)</f>
        <v>0</v>
      </c>
      <c r="J60" s="147"/>
      <c r="K60" s="147"/>
      <c r="L60" s="147"/>
      <c r="M60" s="215">
        <f t="shared" ref="M60" si="27">SUBTOTAL(9,M35:M59)</f>
        <v>0</v>
      </c>
      <c r="N60" s="147"/>
      <c r="O60" s="215">
        <f t="shared" ref="O60" si="28">SUBTOTAL(9,O35:O59)</f>
        <v>0</v>
      </c>
      <c r="P60" s="147"/>
    </row>
    <row r="61" spans="1:16" ht="18.600000000000001" customHeight="1" x14ac:dyDescent="0.3">
      <c r="A61" s="445" t="str">
        <f>A31</f>
        <v>DANH SÁCH LỚP VĂN</v>
      </c>
      <c r="B61" s="445"/>
      <c r="C61" s="445"/>
      <c r="D61" s="445"/>
      <c r="E61" s="445"/>
      <c r="F61" s="445"/>
      <c r="G61" s="445"/>
      <c r="H61" s="445"/>
      <c r="I61" s="212">
        <v>3</v>
      </c>
      <c r="J61" s="213"/>
      <c r="K61" s="213"/>
      <c r="L61" s="213"/>
      <c r="M61" s="214"/>
      <c r="N61" s="214"/>
      <c r="O61" s="214"/>
      <c r="P61" s="214"/>
    </row>
    <row r="62" spans="1:16" ht="18.600000000000001" customHeight="1" x14ac:dyDescent="0.3">
      <c r="A62" s="28"/>
      <c r="B62" s="29"/>
      <c r="C62" s="30"/>
      <c r="D62" s="36"/>
      <c r="E62" s="28"/>
      <c r="F62" s="28"/>
      <c r="G62" s="28"/>
      <c r="H62" s="28"/>
      <c r="I62" s="79"/>
      <c r="J62" s="28"/>
      <c r="K62" s="28"/>
      <c r="L62" s="28"/>
      <c r="M62" s="28"/>
      <c r="N62" s="28"/>
      <c r="O62" s="28"/>
      <c r="P62" s="28"/>
    </row>
    <row r="63" spans="1:16" ht="18.600000000000001" customHeight="1" x14ac:dyDescent="0.3">
      <c r="A63" s="435" t="s">
        <v>374</v>
      </c>
      <c r="B63" s="435" t="s">
        <v>380</v>
      </c>
      <c r="C63" s="435" t="s">
        <v>383</v>
      </c>
      <c r="D63" s="437" t="s">
        <v>384</v>
      </c>
      <c r="E63" s="438" t="s">
        <v>385</v>
      </c>
      <c r="F63" s="439"/>
      <c r="G63" s="432" t="str">
        <f>$R$1</f>
        <v>Đợt 6</v>
      </c>
      <c r="H63" s="433"/>
      <c r="I63" s="432" t="str">
        <f>$T$1</f>
        <v>Đợt 7</v>
      </c>
      <c r="J63" s="433"/>
      <c r="K63" s="432" t="str">
        <f>$V$1</f>
        <v>Đợt 8</v>
      </c>
      <c r="L63" s="433"/>
      <c r="M63" s="432" t="str">
        <f>$X$1</f>
        <v>Đợt 9</v>
      </c>
      <c r="N63" s="433"/>
      <c r="O63" s="432" t="str">
        <f>$Z$1</f>
        <v>Đợt 10</v>
      </c>
      <c r="P63" s="433"/>
    </row>
    <row r="64" spans="1:16" ht="18.600000000000001" customHeight="1" x14ac:dyDescent="0.3">
      <c r="A64" s="436"/>
      <c r="B64" s="436"/>
      <c r="C64" s="436"/>
      <c r="D64" s="436"/>
      <c r="E64" s="31" t="s">
        <v>381</v>
      </c>
      <c r="F64" s="31" t="s">
        <v>382</v>
      </c>
      <c r="G64" s="31" t="s">
        <v>381</v>
      </c>
      <c r="H64" s="31" t="s">
        <v>382</v>
      </c>
      <c r="I64" s="80" t="s">
        <v>381</v>
      </c>
      <c r="J64" s="31" t="s">
        <v>382</v>
      </c>
      <c r="K64" s="80" t="s">
        <v>381</v>
      </c>
      <c r="L64" s="31" t="s">
        <v>382</v>
      </c>
      <c r="M64" s="31" t="s">
        <v>381</v>
      </c>
      <c r="N64" s="31" t="s">
        <v>382</v>
      </c>
      <c r="O64" s="31" t="s">
        <v>381</v>
      </c>
      <c r="P64" s="31" t="s">
        <v>382</v>
      </c>
    </row>
    <row r="65" spans="1:16" ht="18.600000000000001" customHeight="1" x14ac:dyDescent="0.3">
      <c r="A65" s="32">
        <v>1</v>
      </c>
      <c r="B65" s="25" t="s">
        <v>124</v>
      </c>
      <c r="C65" s="25" t="s">
        <v>14</v>
      </c>
      <c r="D65" s="25"/>
      <c r="E65" s="32"/>
      <c r="F65" s="34"/>
      <c r="G65" s="32"/>
      <c r="H65" s="93"/>
      <c r="I65" s="81"/>
      <c r="J65" s="34"/>
      <c r="K65" s="34"/>
      <c r="L65" s="34"/>
      <c r="M65" s="32"/>
      <c r="N65" s="34"/>
      <c r="O65" s="32"/>
      <c r="P65" s="34"/>
    </row>
    <row r="66" spans="1:16" ht="18.600000000000001" customHeight="1" x14ac:dyDescent="0.3">
      <c r="A66" s="7">
        <f t="shared" ref="A66:A89" si="29">A65+1</f>
        <v>2</v>
      </c>
      <c r="B66" s="26" t="s">
        <v>475</v>
      </c>
      <c r="C66" s="26" t="s">
        <v>106</v>
      </c>
      <c r="D66" s="163">
        <v>366300151</v>
      </c>
      <c r="E66" s="7"/>
      <c r="F66" s="7"/>
      <c r="G66" s="7"/>
      <c r="H66" s="7"/>
      <c r="I66" s="82"/>
      <c r="J66" s="7"/>
      <c r="K66" s="7"/>
      <c r="L66" s="7"/>
      <c r="M66" s="7"/>
      <c r="N66" s="7"/>
      <c r="O66" s="7"/>
      <c r="P66" s="7"/>
    </row>
    <row r="67" spans="1:16" ht="18.600000000000001" customHeight="1" x14ac:dyDescent="0.3">
      <c r="A67" s="7">
        <f t="shared" si="29"/>
        <v>3</v>
      </c>
      <c r="B67" s="26" t="s">
        <v>476</v>
      </c>
      <c r="C67" s="26" t="s">
        <v>23</v>
      </c>
      <c r="D67" s="163">
        <v>325376472</v>
      </c>
      <c r="E67" s="7"/>
      <c r="F67" s="7"/>
      <c r="G67" s="7"/>
      <c r="H67" s="7"/>
      <c r="I67" s="82"/>
      <c r="J67" s="7"/>
      <c r="K67" s="7"/>
      <c r="L67" s="7"/>
      <c r="M67" s="7"/>
      <c r="N67" s="7"/>
      <c r="O67" s="7"/>
      <c r="P67" s="7"/>
    </row>
    <row r="68" spans="1:16" ht="18.600000000000001" customHeight="1" x14ac:dyDescent="0.3">
      <c r="A68" s="7">
        <f t="shared" si="29"/>
        <v>4</v>
      </c>
      <c r="B68" s="24" t="s">
        <v>910</v>
      </c>
      <c r="C68" s="24" t="s">
        <v>19</v>
      </c>
      <c r="D68" s="24"/>
      <c r="E68" s="7"/>
      <c r="F68" s="7"/>
      <c r="G68" s="7"/>
      <c r="H68" s="7"/>
      <c r="I68" s="82"/>
      <c r="J68" s="7"/>
      <c r="K68" s="7"/>
      <c r="L68" s="7"/>
      <c r="M68" s="7"/>
      <c r="N68" s="7"/>
      <c r="O68" s="7"/>
      <c r="P68" s="7"/>
    </row>
    <row r="69" spans="1:16" ht="18.600000000000001" customHeight="1" x14ac:dyDescent="0.3">
      <c r="A69" s="6">
        <f t="shared" si="29"/>
        <v>5</v>
      </c>
      <c r="B69" s="24" t="s">
        <v>833</v>
      </c>
      <c r="C69" s="24" t="s">
        <v>92</v>
      </c>
      <c r="D69" s="163"/>
      <c r="E69" s="16"/>
      <c r="F69" s="16"/>
      <c r="G69" s="16"/>
      <c r="H69" s="16"/>
      <c r="I69" s="83"/>
      <c r="J69" s="16"/>
      <c r="K69" s="16"/>
      <c r="L69" s="16"/>
      <c r="M69" s="16"/>
      <c r="N69" s="16"/>
      <c r="O69" s="16"/>
      <c r="P69" s="16"/>
    </row>
    <row r="70" spans="1:16" ht="18.600000000000001" customHeight="1" x14ac:dyDescent="0.3">
      <c r="A70" s="56">
        <f t="shared" si="29"/>
        <v>6</v>
      </c>
      <c r="B70" s="26" t="s">
        <v>881</v>
      </c>
      <c r="C70" s="26" t="s">
        <v>55</v>
      </c>
      <c r="D70" s="26"/>
      <c r="E70" s="2"/>
      <c r="F70" s="2"/>
      <c r="G70" s="2"/>
      <c r="H70" s="2"/>
      <c r="I70" s="84"/>
      <c r="J70" s="2"/>
      <c r="K70" s="2"/>
      <c r="L70" s="2"/>
      <c r="M70" s="2"/>
      <c r="N70" s="2"/>
      <c r="O70" s="2"/>
      <c r="P70" s="2"/>
    </row>
    <row r="71" spans="1:16" ht="18.600000000000001" customHeight="1" x14ac:dyDescent="0.3">
      <c r="A71" s="6">
        <f t="shared" si="29"/>
        <v>7</v>
      </c>
      <c r="B71" s="25" t="s">
        <v>926</v>
      </c>
      <c r="C71" s="25" t="s">
        <v>5</v>
      </c>
      <c r="D71" s="25"/>
      <c r="E71" s="4"/>
      <c r="F71" s="4"/>
      <c r="G71" s="4"/>
      <c r="H71" s="4"/>
      <c r="I71" s="85"/>
      <c r="J71" s="4"/>
      <c r="K71" s="4"/>
      <c r="L71" s="4"/>
      <c r="M71" s="4"/>
      <c r="N71" s="4"/>
      <c r="O71" s="4"/>
      <c r="P71" s="4"/>
    </row>
    <row r="72" spans="1:16" ht="18.600000000000001" customHeight="1" x14ac:dyDescent="0.3">
      <c r="A72" s="6">
        <f t="shared" si="29"/>
        <v>8</v>
      </c>
      <c r="B72" s="24" t="s">
        <v>269</v>
      </c>
      <c r="C72" s="24" t="s">
        <v>5</v>
      </c>
      <c r="D72" s="24"/>
      <c r="E72" s="4"/>
      <c r="F72" s="4"/>
      <c r="G72" s="4"/>
      <c r="H72" s="4"/>
      <c r="I72" s="85"/>
      <c r="J72" s="4"/>
      <c r="K72" s="4"/>
      <c r="L72" s="4"/>
      <c r="M72" s="4"/>
      <c r="N72" s="4"/>
      <c r="O72" s="4"/>
      <c r="P72" s="4"/>
    </row>
    <row r="73" spans="1:16" ht="18.600000000000001" customHeight="1" x14ac:dyDescent="0.3">
      <c r="A73" s="6">
        <f t="shared" si="29"/>
        <v>9</v>
      </c>
      <c r="B73" s="145" t="s">
        <v>797</v>
      </c>
      <c r="C73" s="145" t="s">
        <v>93</v>
      </c>
      <c r="D73" s="145">
        <v>898026107</v>
      </c>
      <c r="E73" s="4"/>
      <c r="F73" s="4"/>
      <c r="G73" s="4"/>
      <c r="H73" s="4"/>
      <c r="I73" s="85"/>
      <c r="J73" s="4"/>
      <c r="K73" s="4"/>
      <c r="L73" s="4"/>
      <c r="M73" s="4"/>
      <c r="N73" s="4"/>
      <c r="O73" s="4"/>
      <c r="P73" s="4"/>
    </row>
    <row r="74" spans="1:16" ht="18.600000000000001" customHeight="1" x14ac:dyDescent="0.3">
      <c r="A74" s="10">
        <f t="shared" si="29"/>
        <v>10</v>
      </c>
      <c r="B74" s="25" t="s">
        <v>159</v>
      </c>
      <c r="C74" s="25" t="s">
        <v>47</v>
      </c>
      <c r="D74" s="25"/>
      <c r="E74" s="12"/>
      <c r="F74" s="12"/>
      <c r="G74" s="12"/>
      <c r="H74" s="12"/>
      <c r="I74" s="86"/>
      <c r="J74" s="12"/>
      <c r="K74" s="12"/>
      <c r="L74" s="12"/>
      <c r="M74" s="12"/>
      <c r="N74" s="12"/>
      <c r="O74" s="12"/>
      <c r="P74" s="12"/>
    </row>
    <row r="75" spans="1:16" ht="18.600000000000001" customHeight="1" x14ac:dyDescent="0.3">
      <c r="A75" s="35">
        <f t="shared" si="29"/>
        <v>11</v>
      </c>
      <c r="B75" s="60"/>
      <c r="C75" s="60"/>
      <c r="D75" s="61"/>
      <c r="E75" s="14"/>
      <c r="F75" s="14"/>
      <c r="G75" s="14"/>
      <c r="H75" s="14"/>
      <c r="I75" s="87"/>
      <c r="J75" s="14"/>
      <c r="K75" s="14"/>
      <c r="L75" s="14"/>
      <c r="M75" s="14"/>
      <c r="N75" s="14"/>
      <c r="O75" s="14"/>
      <c r="P75" s="14"/>
    </row>
    <row r="76" spans="1:16" ht="18.600000000000001" customHeight="1" x14ac:dyDescent="0.3">
      <c r="A76" s="7">
        <f t="shared" si="29"/>
        <v>12</v>
      </c>
      <c r="B76" s="26"/>
      <c r="C76" s="26"/>
      <c r="D76" s="22"/>
      <c r="E76" s="4"/>
      <c r="F76" s="4"/>
      <c r="G76" s="4"/>
      <c r="H76" s="4"/>
      <c r="I76" s="85"/>
      <c r="J76" s="4"/>
      <c r="K76" s="4"/>
      <c r="L76" s="4"/>
      <c r="M76" s="4"/>
      <c r="N76" s="4"/>
      <c r="O76" s="4"/>
      <c r="P76" s="4"/>
    </row>
    <row r="77" spans="1:16" ht="18.600000000000001" customHeight="1" x14ac:dyDescent="0.3">
      <c r="A77" s="7">
        <f t="shared" si="29"/>
        <v>13</v>
      </c>
      <c r="B77" s="26"/>
      <c r="C77" s="26"/>
      <c r="D77" s="22"/>
      <c r="E77" s="4"/>
      <c r="F77" s="4"/>
      <c r="G77" s="4"/>
      <c r="H77" s="4"/>
      <c r="I77" s="85"/>
      <c r="J77" s="4"/>
      <c r="K77" s="4"/>
      <c r="L77" s="4"/>
      <c r="M77" s="4"/>
      <c r="N77" s="4"/>
      <c r="O77" s="4"/>
      <c r="P77" s="4"/>
    </row>
    <row r="78" spans="1:16" ht="18.600000000000001" customHeight="1" x14ac:dyDescent="0.3">
      <c r="A78" s="7">
        <f t="shared" si="29"/>
        <v>14</v>
      </c>
      <c r="B78" s="3"/>
      <c r="C78" s="4"/>
      <c r="D78" s="8"/>
      <c r="E78" s="4"/>
      <c r="F78" s="4"/>
      <c r="G78" s="4"/>
      <c r="H78" s="4"/>
      <c r="I78" s="85"/>
      <c r="J78" s="4"/>
      <c r="K78" s="4"/>
      <c r="L78" s="4"/>
      <c r="M78" s="4"/>
      <c r="N78" s="4"/>
      <c r="O78" s="4"/>
      <c r="P78" s="4"/>
    </row>
    <row r="79" spans="1:16" ht="18.600000000000001" customHeight="1" x14ac:dyDescent="0.3">
      <c r="A79" s="6">
        <f t="shared" si="29"/>
        <v>15</v>
      </c>
      <c r="B79" s="15"/>
      <c r="C79" s="16"/>
      <c r="D79" s="5"/>
      <c r="E79" s="16"/>
      <c r="F79" s="16"/>
      <c r="G79" s="16"/>
      <c r="H79" s="16"/>
      <c r="I79" s="83"/>
      <c r="J79" s="16"/>
      <c r="K79" s="16"/>
      <c r="L79" s="16"/>
      <c r="M79" s="16"/>
      <c r="N79" s="16"/>
      <c r="O79" s="16"/>
      <c r="P79" s="16"/>
    </row>
    <row r="80" spans="1:16" ht="18.600000000000001" customHeight="1" x14ac:dyDescent="0.3">
      <c r="A80" s="32">
        <f t="shared" si="29"/>
        <v>16</v>
      </c>
      <c r="B80" s="1"/>
      <c r="C80" s="2"/>
      <c r="D80" s="33"/>
      <c r="E80" s="2"/>
      <c r="F80" s="2"/>
      <c r="G80" s="2"/>
      <c r="H80" s="2"/>
      <c r="I80" s="84"/>
      <c r="J80" s="2"/>
      <c r="K80" s="2"/>
      <c r="L80" s="2"/>
      <c r="M80" s="2"/>
      <c r="N80" s="2"/>
      <c r="O80" s="2"/>
      <c r="P80" s="2"/>
    </row>
    <row r="81" spans="1:16" ht="18.600000000000001" customHeight="1" x14ac:dyDescent="0.3">
      <c r="A81" s="7">
        <f t="shared" si="29"/>
        <v>17</v>
      </c>
      <c r="B81" s="3"/>
      <c r="C81" s="4"/>
      <c r="D81" s="8"/>
      <c r="E81" s="4"/>
      <c r="F81" s="4"/>
      <c r="G81" s="4"/>
      <c r="H81" s="4"/>
      <c r="I81" s="85"/>
      <c r="J81" s="4"/>
      <c r="K81" s="4"/>
      <c r="L81" s="4"/>
      <c r="M81" s="4"/>
      <c r="N81" s="4"/>
      <c r="O81" s="4"/>
      <c r="P81" s="4"/>
    </row>
    <row r="82" spans="1:16" ht="18.600000000000001" customHeight="1" x14ac:dyDescent="0.3">
      <c r="A82" s="7">
        <f t="shared" si="29"/>
        <v>18</v>
      </c>
      <c r="B82" s="3"/>
      <c r="C82" s="4"/>
      <c r="D82" s="8"/>
      <c r="E82" s="4"/>
      <c r="F82" s="4"/>
      <c r="G82" s="4"/>
      <c r="H82" s="4"/>
      <c r="I82" s="85"/>
      <c r="J82" s="4"/>
      <c r="K82" s="4"/>
      <c r="L82" s="4"/>
      <c r="M82" s="4"/>
      <c r="N82" s="4"/>
      <c r="O82" s="4"/>
      <c r="P82" s="4"/>
    </row>
    <row r="83" spans="1:16" ht="18.600000000000001" customHeight="1" x14ac:dyDescent="0.3">
      <c r="A83" s="7">
        <f t="shared" si="29"/>
        <v>19</v>
      </c>
      <c r="B83" s="3"/>
      <c r="C83" s="4"/>
      <c r="D83" s="8"/>
      <c r="E83" s="4"/>
      <c r="F83" s="4"/>
      <c r="G83" s="4"/>
      <c r="H83" s="4"/>
      <c r="I83" s="85"/>
      <c r="J83" s="4"/>
      <c r="K83" s="4"/>
      <c r="L83" s="4"/>
      <c r="M83" s="4"/>
      <c r="N83" s="4"/>
      <c r="O83" s="4"/>
      <c r="P83" s="4"/>
    </row>
    <row r="84" spans="1:16" ht="18.600000000000001" customHeight="1" x14ac:dyDescent="0.3">
      <c r="A84" s="10">
        <f t="shared" si="29"/>
        <v>20</v>
      </c>
      <c r="B84" s="11"/>
      <c r="C84" s="12"/>
      <c r="D84" s="9"/>
      <c r="E84" s="12"/>
      <c r="F84" s="12"/>
      <c r="G84" s="12"/>
      <c r="H84" s="12"/>
      <c r="I84" s="86"/>
      <c r="J84" s="12"/>
      <c r="K84" s="12"/>
      <c r="L84" s="12"/>
      <c r="M84" s="12"/>
      <c r="N84" s="12"/>
      <c r="O84" s="12"/>
      <c r="P84" s="12"/>
    </row>
    <row r="85" spans="1:16" ht="18.600000000000001" customHeight="1" x14ac:dyDescent="0.3">
      <c r="A85" s="35">
        <f t="shared" si="29"/>
        <v>21</v>
      </c>
      <c r="B85" s="13"/>
      <c r="C85" s="14"/>
      <c r="D85" s="37"/>
      <c r="E85" s="14"/>
      <c r="F85" s="14"/>
      <c r="G85" s="14"/>
      <c r="H85" s="14"/>
      <c r="I85" s="87"/>
      <c r="J85" s="14"/>
      <c r="K85" s="14"/>
      <c r="L85" s="14"/>
      <c r="M85" s="14"/>
      <c r="N85" s="14"/>
      <c r="O85" s="14"/>
      <c r="P85" s="14"/>
    </row>
    <row r="86" spans="1:16" ht="18.600000000000001" customHeight="1" x14ac:dyDescent="0.3">
      <c r="A86" s="7">
        <f t="shared" si="29"/>
        <v>22</v>
      </c>
      <c r="B86" s="3"/>
      <c r="C86" s="4"/>
      <c r="D86" s="8"/>
      <c r="E86" s="4"/>
      <c r="F86" s="4"/>
      <c r="G86" s="4"/>
      <c r="H86" s="4"/>
      <c r="I86" s="85"/>
      <c r="J86" s="4"/>
      <c r="K86" s="4"/>
      <c r="L86" s="4"/>
      <c r="M86" s="4"/>
      <c r="N86" s="4"/>
      <c r="O86" s="4"/>
      <c r="P86" s="4"/>
    </row>
    <row r="87" spans="1:16" ht="18.600000000000001" customHeight="1" x14ac:dyDescent="0.3">
      <c r="A87" s="35">
        <f t="shared" si="29"/>
        <v>23</v>
      </c>
      <c r="B87" s="3"/>
      <c r="C87" s="4"/>
      <c r="D87" s="8"/>
      <c r="E87" s="4"/>
      <c r="F87" s="4"/>
      <c r="G87" s="4"/>
      <c r="H87" s="4"/>
      <c r="I87" s="85"/>
      <c r="J87" s="4"/>
      <c r="K87" s="4"/>
      <c r="L87" s="4"/>
      <c r="M87" s="4"/>
      <c r="N87" s="4"/>
      <c r="O87" s="4"/>
      <c r="P87" s="4"/>
    </row>
    <row r="88" spans="1:16" ht="18.600000000000001" customHeight="1" x14ac:dyDescent="0.3">
      <c r="A88" s="7">
        <f t="shared" si="29"/>
        <v>24</v>
      </c>
      <c r="B88" s="3"/>
      <c r="C88" s="4"/>
      <c r="D88" s="8"/>
      <c r="E88" s="4"/>
      <c r="F88" s="4"/>
      <c r="G88" s="4"/>
      <c r="H88" s="4"/>
      <c r="I88" s="85"/>
      <c r="J88" s="4"/>
      <c r="K88" s="4"/>
      <c r="L88" s="4"/>
      <c r="M88" s="4"/>
      <c r="N88" s="4"/>
      <c r="O88" s="4"/>
      <c r="P88" s="4"/>
    </row>
    <row r="89" spans="1:16" ht="18.600000000000001" customHeight="1" x14ac:dyDescent="0.3">
      <c r="A89" s="35">
        <f t="shared" si="29"/>
        <v>25</v>
      </c>
      <c r="B89" s="11"/>
      <c r="C89" s="12"/>
      <c r="D89" s="9"/>
      <c r="E89" s="12"/>
      <c r="F89" s="12"/>
      <c r="G89" s="12"/>
      <c r="H89" s="12"/>
      <c r="I89" s="86"/>
      <c r="J89" s="12"/>
      <c r="K89" s="12"/>
      <c r="L89" s="12"/>
      <c r="M89" s="12"/>
      <c r="N89" s="12"/>
      <c r="O89" s="12"/>
      <c r="P89" s="12"/>
    </row>
    <row r="90" spans="1:16" ht="18.600000000000001" customHeight="1" x14ac:dyDescent="0.3">
      <c r="A90" s="147"/>
      <c r="B90" s="148"/>
      <c r="C90" s="147"/>
      <c r="D90" s="149"/>
      <c r="E90" s="215">
        <f>SUBTOTAL(9,E65:E89)</f>
        <v>0</v>
      </c>
      <c r="F90" s="147"/>
      <c r="G90" s="215">
        <f t="shared" ref="G90" si="30">SUBTOTAL(9,G65:G89)</f>
        <v>0</v>
      </c>
      <c r="H90" s="147"/>
      <c r="I90" s="215">
        <f t="shared" ref="I90" si="31">SUBTOTAL(9,I65:I89)</f>
        <v>0</v>
      </c>
      <c r="J90" s="147"/>
      <c r="K90" s="147"/>
      <c r="L90" s="147"/>
      <c r="M90" s="215">
        <f t="shared" ref="M90" si="32">SUBTOTAL(9,M65:M89)</f>
        <v>0</v>
      </c>
      <c r="N90" s="147"/>
      <c r="O90" s="215">
        <f t="shared" ref="O90" si="33">SUBTOTAL(9,O65:O89)</f>
        <v>0</v>
      </c>
      <c r="P90" s="147"/>
    </row>
    <row r="91" spans="1:16" ht="18.600000000000001" customHeight="1" x14ac:dyDescent="0.3">
      <c r="A91" s="445" t="str">
        <f>A61</f>
        <v>DANH SÁCH LỚP VĂN</v>
      </c>
      <c r="B91" s="445"/>
      <c r="C91" s="445"/>
      <c r="D91" s="445"/>
      <c r="E91" s="445"/>
      <c r="F91" s="445"/>
      <c r="G91" s="445"/>
      <c r="H91" s="445"/>
      <c r="I91" s="212">
        <v>4</v>
      </c>
      <c r="J91" s="213"/>
      <c r="K91" s="213"/>
      <c r="L91" s="213"/>
      <c r="M91" s="214"/>
      <c r="N91" s="214"/>
      <c r="O91" s="214"/>
      <c r="P91" s="214"/>
    </row>
    <row r="92" spans="1:16" ht="18.600000000000001" customHeight="1" x14ac:dyDescent="0.3">
      <c r="A92" s="28"/>
      <c r="B92" s="29"/>
      <c r="C92" s="30"/>
      <c r="D92" s="36"/>
      <c r="E92" s="28"/>
      <c r="F92" s="28"/>
      <c r="G92" s="28"/>
      <c r="H92" s="28"/>
      <c r="I92" s="79"/>
      <c r="J92" s="28"/>
      <c r="K92" s="28"/>
      <c r="L92" s="28"/>
      <c r="M92" s="28"/>
      <c r="N92" s="28"/>
      <c r="O92" s="28"/>
      <c r="P92" s="28"/>
    </row>
    <row r="93" spans="1:16" ht="18.600000000000001" customHeight="1" x14ac:dyDescent="0.3">
      <c r="A93" s="435" t="s">
        <v>374</v>
      </c>
      <c r="B93" s="435" t="s">
        <v>380</v>
      </c>
      <c r="C93" s="435" t="s">
        <v>383</v>
      </c>
      <c r="D93" s="437" t="s">
        <v>384</v>
      </c>
      <c r="E93" s="438" t="s">
        <v>385</v>
      </c>
      <c r="F93" s="439"/>
      <c r="G93" s="432" t="str">
        <f>$R$1</f>
        <v>Đợt 6</v>
      </c>
      <c r="H93" s="433"/>
      <c r="I93" s="432" t="str">
        <f>$T$1</f>
        <v>Đợt 7</v>
      </c>
      <c r="J93" s="433"/>
      <c r="K93" s="432" t="str">
        <f>$V$1</f>
        <v>Đợt 8</v>
      </c>
      <c r="L93" s="433"/>
      <c r="M93" s="432" t="str">
        <f>$X$1</f>
        <v>Đợt 9</v>
      </c>
      <c r="N93" s="433"/>
      <c r="O93" s="432" t="str">
        <f>$Z$1</f>
        <v>Đợt 10</v>
      </c>
      <c r="P93" s="433"/>
    </row>
    <row r="94" spans="1:16" ht="18.600000000000001" customHeight="1" x14ac:dyDescent="0.3">
      <c r="A94" s="436"/>
      <c r="B94" s="436"/>
      <c r="C94" s="436"/>
      <c r="D94" s="436"/>
      <c r="E94" s="31" t="s">
        <v>381</v>
      </c>
      <c r="F94" s="31" t="s">
        <v>382</v>
      </c>
      <c r="G94" s="31" t="s">
        <v>381</v>
      </c>
      <c r="H94" s="31" t="s">
        <v>382</v>
      </c>
      <c r="I94" s="80" t="s">
        <v>381</v>
      </c>
      <c r="J94" s="31" t="s">
        <v>382</v>
      </c>
      <c r="K94" s="80" t="s">
        <v>381</v>
      </c>
      <c r="L94" s="31" t="s">
        <v>382</v>
      </c>
      <c r="M94" s="31" t="s">
        <v>381</v>
      </c>
      <c r="N94" s="31" t="s">
        <v>382</v>
      </c>
      <c r="O94" s="31" t="s">
        <v>381</v>
      </c>
      <c r="P94" s="31" t="s">
        <v>382</v>
      </c>
    </row>
    <row r="95" spans="1:16" ht="18.600000000000001" customHeight="1" x14ac:dyDescent="0.3">
      <c r="A95" s="32">
        <v>1</v>
      </c>
      <c r="B95" s="143" t="s">
        <v>1174</v>
      </c>
      <c r="C95" s="143" t="s">
        <v>14</v>
      </c>
      <c r="D95" s="143"/>
      <c r="E95" s="32"/>
      <c r="F95" s="34"/>
      <c r="G95" s="32"/>
      <c r="H95" s="93"/>
      <c r="I95" s="81"/>
      <c r="J95" s="34"/>
      <c r="K95" s="34"/>
      <c r="L95" s="34"/>
      <c r="M95" s="32"/>
      <c r="N95" s="34"/>
      <c r="O95" s="32"/>
      <c r="P95" s="34"/>
    </row>
    <row r="96" spans="1:16" ht="18.600000000000001" customHeight="1" x14ac:dyDescent="0.3">
      <c r="A96" s="7">
        <f t="shared" ref="A96:A119" si="34">A95+1</f>
        <v>2</v>
      </c>
      <c r="B96" s="143" t="s">
        <v>1175</v>
      </c>
      <c r="C96" s="143" t="s">
        <v>105</v>
      </c>
      <c r="D96" s="143"/>
      <c r="E96" s="7"/>
      <c r="F96" s="7"/>
      <c r="G96" s="7"/>
      <c r="H96" s="7"/>
      <c r="I96" s="82"/>
      <c r="J96" s="7"/>
      <c r="K96" s="7"/>
      <c r="L96" s="7"/>
      <c r="M96" s="7"/>
      <c r="N96" s="7"/>
      <c r="O96" s="7"/>
      <c r="P96" s="7"/>
    </row>
    <row r="97" spans="1:16" ht="18.600000000000001" customHeight="1" x14ac:dyDescent="0.3">
      <c r="A97" s="7">
        <f t="shared" si="34"/>
        <v>3</v>
      </c>
      <c r="B97" s="26" t="s">
        <v>529</v>
      </c>
      <c r="C97" s="26" t="s">
        <v>112</v>
      </c>
      <c r="D97" s="163"/>
      <c r="E97" s="7"/>
      <c r="F97" s="7"/>
      <c r="G97" s="7"/>
      <c r="H97" s="7"/>
      <c r="I97" s="82"/>
      <c r="J97" s="7"/>
      <c r="K97" s="7"/>
      <c r="L97" s="7"/>
      <c r="M97" s="7"/>
      <c r="N97" s="7"/>
      <c r="O97" s="7"/>
      <c r="P97" s="7"/>
    </row>
    <row r="98" spans="1:16" ht="18.600000000000001" customHeight="1" x14ac:dyDescent="0.3">
      <c r="A98" s="7">
        <f t="shared" si="34"/>
        <v>4</v>
      </c>
      <c r="B98" s="143" t="s">
        <v>913</v>
      </c>
      <c r="C98" s="143" t="s">
        <v>4</v>
      </c>
      <c r="D98" s="143"/>
      <c r="E98" s="7"/>
      <c r="F98" s="7"/>
      <c r="G98" s="7"/>
      <c r="H98" s="7"/>
      <c r="I98" s="82"/>
      <c r="J98" s="7"/>
      <c r="K98" s="7"/>
      <c r="L98" s="7"/>
      <c r="M98" s="7"/>
      <c r="N98" s="7"/>
      <c r="O98" s="7"/>
      <c r="P98" s="7"/>
    </row>
    <row r="99" spans="1:16" ht="18.600000000000001" customHeight="1" x14ac:dyDescent="0.3">
      <c r="A99" s="6">
        <f t="shared" si="34"/>
        <v>5</v>
      </c>
      <c r="B99" s="143" t="s">
        <v>171</v>
      </c>
      <c r="C99" s="143" t="s">
        <v>6</v>
      </c>
      <c r="D99" s="143"/>
      <c r="E99" s="16"/>
      <c r="F99" s="16"/>
      <c r="G99" s="16"/>
      <c r="H99" s="16"/>
      <c r="I99" s="83"/>
      <c r="J99" s="16"/>
      <c r="K99" s="16"/>
      <c r="L99" s="16"/>
      <c r="M99" s="16"/>
      <c r="N99" s="16"/>
      <c r="O99" s="16"/>
      <c r="P99" s="16"/>
    </row>
    <row r="100" spans="1:16" ht="18.600000000000001" customHeight="1" x14ac:dyDescent="0.3">
      <c r="A100" s="56">
        <f t="shared" si="34"/>
        <v>6</v>
      </c>
      <c r="B100" s="143" t="s">
        <v>912</v>
      </c>
      <c r="C100" s="143" t="s">
        <v>678</v>
      </c>
      <c r="D100" s="143">
        <v>366106050</v>
      </c>
      <c r="E100" s="2"/>
      <c r="F100" s="2"/>
      <c r="G100" s="2"/>
      <c r="H100" s="2"/>
      <c r="I100" s="84"/>
      <c r="J100" s="2"/>
      <c r="K100" s="2"/>
      <c r="L100" s="2"/>
      <c r="M100" s="2"/>
      <c r="N100" s="2"/>
      <c r="O100" s="2"/>
      <c r="P100" s="2"/>
    </row>
    <row r="101" spans="1:16" ht="18.600000000000001" customHeight="1" x14ac:dyDescent="0.3">
      <c r="A101" s="6">
        <f t="shared" si="34"/>
        <v>7</v>
      </c>
      <c r="B101" s="24" t="s">
        <v>1058</v>
      </c>
      <c r="C101" s="24" t="s">
        <v>68</v>
      </c>
      <c r="D101" s="26">
        <v>372523625</v>
      </c>
      <c r="E101" s="4"/>
      <c r="F101" s="4"/>
      <c r="G101" s="4"/>
      <c r="H101" s="4"/>
      <c r="I101" s="85"/>
      <c r="J101" s="4"/>
      <c r="K101" s="4"/>
      <c r="L101" s="4"/>
      <c r="M101" s="4"/>
      <c r="N101" s="4"/>
      <c r="O101" s="4"/>
      <c r="P101" s="4"/>
    </row>
    <row r="102" spans="1:16" ht="18.600000000000001" customHeight="1" x14ac:dyDescent="0.3">
      <c r="A102" s="6">
        <f t="shared" si="34"/>
        <v>8</v>
      </c>
      <c r="B102" s="143" t="s">
        <v>1101</v>
      </c>
      <c r="C102" s="143" t="s">
        <v>64</v>
      </c>
      <c r="D102" s="143"/>
      <c r="E102" s="4"/>
      <c r="F102" s="4"/>
      <c r="G102" s="4"/>
      <c r="H102" s="4"/>
      <c r="I102" s="85"/>
      <c r="J102" s="4"/>
      <c r="K102" s="4"/>
      <c r="L102" s="4"/>
      <c r="M102" s="4"/>
      <c r="N102" s="4"/>
      <c r="O102" s="4"/>
      <c r="P102" s="4"/>
    </row>
    <row r="103" spans="1:16" ht="18.600000000000001" customHeight="1" x14ac:dyDescent="0.3">
      <c r="A103" s="6">
        <f t="shared" si="34"/>
        <v>9</v>
      </c>
      <c r="B103" s="39" t="s">
        <v>198</v>
      </c>
      <c r="C103" s="24" t="s">
        <v>90</v>
      </c>
      <c r="D103" s="163"/>
      <c r="E103" s="4"/>
      <c r="F103" s="4"/>
      <c r="G103" s="4"/>
      <c r="H103" s="4"/>
      <c r="I103" s="85"/>
      <c r="J103" s="4"/>
      <c r="K103" s="4"/>
      <c r="L103" s="4"/>
      <c r="M103" s="4"/>
      <c r="N103" s="4"/>
      <c r="O103" s="4"/>
      <c r="P103" s="4"/>
    </row>
    <row r="104" spans="1:16" ht="18.600000000000001" customHeight="1" x14ac:dyDescent="0.3">
      <c r="A104" s="10">
        <f t="shared" si="34"/>
        <v>10</v>
      </c>
      <c r="B104" s="143" t="s">
        <v>977</v>
      </c>
      <c r="C104" s="143" t="s">
        <v>788</v>
      </c>
      <c r="D104" s="143"/>
      <c r="E104" s="12"/>
      <c r="F104" s="12"/>
      <c r="G104" s="12"/>
      <c r="H104" s="12"/>
      <c r="I104" s="86"/>
      <c r="J104" s="12"/>
      <c r="K104" s="12"/>
      <c r="L104" s="12"/>
      <c r="M104" s="12"/>
      <c r="N104" s="12"/>
      <c r="O104" s="12"/>
      <c r="P104" s="12"/>
    </row>
    <row r="105" spans="1:16" ht="18.600000000000001" customHeight="1" x14ac:dyDescent="0.3">
      <c r="A105" s="35">
        <f t="shared" si="34"/>
        <v>11</v>
      </c>
      <c r="B105" s="143" t="s">
        <v>137</v>
      </c>
      <c r="C105" s="143" t="s">
        <v>875</v>
      </c>
      <c r="D105" s="143"/>
      <c r="E105" s="14"/>
      <c r="F105" s="14"/>
      <c r="G105" s="14"/>
      <c r="H105" s="14"/>
      <c r="I105" s="87"/>
      <c r="J105" s="14"/>
      <c r="K105" s="14"/>
      <c r="L105" s="14"/>
      <c r="M105" s="14"/>
      <c r="N105" s="14"/>
      <c r="O105" s="14"/>
      <c r="P105" s="14"/>
    </row>
    <row r="106" spans="1:16" ht="18.600000000000001" customHeight="1" x14ac:dyDescent="0.3">
      <c r="A106" s="7">
        <f t="shared" si="34"/>
        <v>12</v>
      </c>
      <c r="B106" s="143" t="s">
        <v>141</v>
      </c>
      <c r="C106" s="143" t="s">
        <v>11</v>
      </c>
      <c r="D106" s="143">
        <v>76456326</v>
      </c>
      <c r="E106" s="4"/>
      <c r="F106" s="4"/>
      <c r="G106" s="4"/>
      <c r="H106" s="4"/>
      <c r="I106" s="85"/>
      <c r="J106" s="4"/>
      <c r="K106" s="4"/>
      <c r="L106" s="4"/>
      <c r="M106" s="4"/>
      <c r="N106" s="4"/>
      <c r="O106" s="4"/>
      <c r="P106" s="4"/>
    </row>
    <row r="107" spans="1:16" ht="18.600000000000001" customHeight="1" x14ac:dyDescent="0.3">
      <c r="A107" s="7">
        <f t="shared" si="34"/>
        <v>13</v>
      </c>
      <c r="B107" s="143" t="s">
        <v>1176</v>
      </c>
      <c r="C107" s="143" t="s">
        <v>11</v>
      </c>
      <c r="D107" s="143"/>
      <c r="E107" s="4"/>
      <c r="F107" s="4"/>
      <c r="G107" s="4"/>
      <c r="H107" s="4"/>
      <c r="I107" s="85"/>
      <c r="J107" s="4"/>
      <c r="K107" s="4"/>
      <c r="L107" s="4"/>
      <c r="M107" s="4"/>
      <c r="N107" s="4"/>
      <c r="O107" s="4"/>
      <c r="P107" s="4"/>
    </row>
    <row r="108" spans="1:16" ht="18.600000000000001" customHeight="1" x14ac:dyDescent="0.3">
      <c r="A108" s="7">
        <f t="shared" si="34"/>
        <v>14</v>
      </c>
      <c r="B108" s="143" t="s">
        <v>775</v>
      </c>
      <c r="C108" s="146" t="s">
        <v>11</v>
      </c>
      <c r="D108" s="143">
        <v>858778474</v>
      </c>
      <c r="E108" s="4"/>
      <c r="F108" s="4"/>
      <c r="G108" s="4"/>
      <c r="H108" s="4"/>
      <c r="I108" s="85"/>
      <c r="J108" s="4"/>
      <c r="K108" s="4"/>
      <c r="L108" s="4"/>
      <c r="M108" s="4"/>
      <c r="N108" s="4"/>
      <c r="O108" s="4"/>
      <c r="P108" s="4"/>
    </row>
    <row r="109" spans="1:16" ht="18.600000000000001" customHeight="1" x14ac:dyDescent="0.3">
      <c r="A109" s="6">
        <f t="shared" si="34"/>
        <v>15</v>
      </c>
      <c r="B109" s="25" t="s">
        <v>137</v>
      </c>
      <c r="C109" s="25" t="s">
        <v>80</v>
      </c>
      <c r="D109" s="163" t="s">
        <v>874</v>
      </c>
      <c r="E109" s="16"/>
      <c r="F109" s="16"/>
      <c r="G109" s="16"/>
      <c r="H109" s="16"/>
      <c r="I109" s="83"/>
      <c r="J109" s="16"/>
      <c r="K109" s="16"/>
      <c r="L109" s="16"/>
      <c r="M109" s="16"/>
      <c r="N109" s="16"/>
      <c r="O109" s="16"/>
      <c r="P109" s="16"/>
    </row>
    <row r="110" spans="1:16" ht="18.600000000000001" customHeight="1" x14ac:dyDescent="0.3">
      <c r="A110" s="32">
        <f t="shared" si="34"/>
        <v>16</v>
      </c>
      <c r="B110" s="1"/>
      <c r="C110" s="2"/>
      <c r="D110" s="33"/>
      <c r="E110" s="2"/>
      <c r="F110" s="2"/>
      <c r="G110" s="2"/>
      <c r="H110" s="2"/>
      <c r="I110" s="84"/>
      <c r="J110" s="2"/>
      <c r="K110" s="2"/>
      <c r="L110" s="2"/>
      <c r="M110" s="2"/>
      <c r="N110" s="2"/>
      <c r="O110" s="2"/>
      <c r="P110" s="2"/>
    </row>
    <row r="111" spans="1:16" ht="18.600000000000001" customHeight="1" x14ac:dyDescent="0.3">
      <c r="A111" s="7">
        <f t="shared" si="34"/>
        <v>17</v>
      </c>
      <c r="B111" s="3"/>
      <c r="C111" s="4"/>
      <c r="D111" s="8"/>
      <c r="E111" s="4"/>
      <c r="F111" s="4"/>
      <c r="G111" s="4"/>
      <c r="H111" s="4"/>
      <c r="I111" s="85"/>
      <c r="J111" s="4"/>
      <c r="K111" s="4"/>
      <c r="L111" s="4"/>
      <c r="M111" s="4"/>
      <c r="N111" s="4"/>
      <c r="O111" s="4"/>
      <c r="P111" s="4"/>
    </row>
    <row r="112" spans="1:16" ht="18.600000000000001" customHeight="1" x14ac:dyDescent="0.3">
      <c r="A112" s="7">
        <f t="shared" si="34"/>
        <v>18</v>
      </c>
      <c r="B112" s="3"/>
      <c r="C112" s="4"/>
      <c r="D112" s="8"/>
      <c r="E112" s="4"/>
      <c r="F112" s="4"/>
      <c r="G112" s="4"/>
      <c r="H112" s="4"/>
      <c r="I112" s="85"/>
      <c r="J112" s="4"/>
      <c r="K112" s="4"/>
      <c r="L112" s="4"/>
      <c r="M112" s="4"/>
      <c r="N112" s="4"/>
      <c r="O112" s="4"/>
      <c r="P112" s="4"/>
    </row>
    <row r="113" spans="1:16" ht="18.600000000000001" customHeight="1" x14ac:dyDescent="0.3">
      <c r="A113" s="7">
        <f t="shared" si="34"/>
        <v>19</v>
      </c>
      <c r="B113" s="3"/>
      <c r="C113" s="4"/>
      <c r="D113" s="8"/>
      <c r="E113" s="4"/>
      <c r="F113" s="4"/>
      <c r="G113" s="4"/>
      <c r="H113" s="4"/>
      <c r="I113" s="85"/>
      <c r="J113" s="4"/>
      <c r="K113" s="4"/>
      <c r="L113" s="4"/>
      <c r="M113" s="4"/>
      <c r="N113" s="4"/>
      <c r="O113" s="4"/>
      <c r="P113" s="4"/>
    </row>
    <row r="114" spans="1:16" ht="18.600000000000001" customHeight="1" x14ac:dyDescent="0.3">
      <c r="A114" s="10">
        <f t="shared" si="34"/>
        <v>20</v>
      </c>
      <c r="B114" s="11"/>
      <c r="C114" s="12"/>
      <c r="D114" s="9"/>
      <c r="E114" s="12"/>
      <c r="F114" s="12"/>
      <c r="G114" s="12"/>
      <c r="H114" s="12"/>
      <c r="I114" s="86"/>
      <c r="J114" s="12"/>
      <c r="K114" s="12"/>
      <c r="L114" s="12"/>
      <c r="M114" s="12"/>
      <c r="N114" s="12"/>
      <c r="O114" s="12"/>
      <c r="P114" s="12"/>
    </row>
    <row r="115" spans="1:16" ht="18.600000000000001" customHeight="1" x14ac:dyDescent="0.3">
      <c r="A115" s="35">
        <f t="shared" si="34"/>
        <v>21</v>
      </c>
      <c r="B115" s="13"/>
      <c r="C115" s="14"/>
      <c r="D115" s="37"/>
      <c r="E115" s="14"/>
      <c r="F115" s="14"/>
      <c r="G115" s="14"/>
      <c r="H115" s="14"/>
      <c r="I115" s="87"/>
      <c r="J115" s="14"/>
      <c r="K115" s="14"/>
      <c r="L115" s="14"/>
      <c r="M115" s="14"/>
      <c r="N115" s="14"/>
      <c r="O115" s="14"/>
      <c r="P115" s="14"/>
    </row>
    <row r="116" spans="1:16" ht="18.600000000000001" customHeight="1" x14ac:dyDescent="0.3">
      <c r="A116" s="7">
        <f t="shared" si="34"/>
        <v>22</v>
      </c>
      <c r="B116" s="3"/>
      <c r="C116" s="4"/>
      <c r="D116" s="8"/>
      <c r="E116" s="4"/>
      <c r="F116" s="4"/>
      <c r="G116" s="4"/>
      <c r="H116" s="4"/>
      <c r="I116" s="85"/>
      <c r="J116" s="4"/>
      <c r="K116" s="4"/>
      <c r="L116" s="4"/>
      <c r="M116" s="4"/>
      <c r="N116" s="4"/>
      <c r="O116" s="4"/>
      <c r="P116" s="4"/>
    </row>
    <row r="117" spans="1:16" ht="18.600000000000001" customHeight="1" x14ac:dyDescent="0.3">
      <c r="A117" s="35">
        <f t="shared" si="34"/>
        <v>23</v>
      </c>
      <c r="B117" s="3"/>
      <c r="C117" s="4"/>
      <c r="D117" s="8"/>
      <c r="E117" s="4"/>
      <c r="F117" s="4"/>
      <c r="G117" s="4"/>
      <c r="H117" s="4"/>
      <c r="I117" s="85"/>
      <c r="J117" s="4"/>
      <c r="K117" s="4"/>
      <c r="L117" s="4"/>
      <c r="M117" s="4"/>
      <c r="N117" s="4"/>
      <c r="O117" s="4"/>
      <c r="P117" s="4"/>
    </row>
    <row r="118" spans="1:16" ht="18.600000000000001" customHeight="1" x14ac:dyDescent="0.3">
      <c r="A118" s="7">
        <f t="shared" si="34"/>
        <v>24</v>
      </c>
      <c r="B118" s="3"/>
      <c r="C118" s="4"/>
      <c r="D118" s="8"/>
      <c r="E118" s="4"/>
      <c r="F118" s="4"/>
      <c r="G118" s="4"/>
      <c r="H118" s="4"/>
      <c r="I118" s="85"/>
      <c r="J118" s="4"/>
      <c r="K118" s="4"/>
      <c r="L118" s="4"/>
      <c r="M118" s="4"/>
      <c r="N118" s="4"/>
      <c r="O118" s="4"/>
      <c r="P118" s="4"/>
    </row>
    <row r="119" spans="1:16" ht="18.600000000000001" customHeight="1" x14ac:dyDescent="0.3">
      <c r="A119" s="35">
        <f t="shared" si="34"/>
        <v>25</v>
      </c>
      <c r="B119" s="11"/>
      <c r="C119" s="12"/>
      <c r="D119" s="9"/>
      <c r="E119" s="12"/>
      <c r="F119" s="12"/>
      <c r="G119" s="12"/>
      <c r="H119" s="12"/>
      <c r="I119" s="86"/>
      <c r="J119" s="12"/>
      <c r="K119" s="12"/>
      <c r="L119" s="12"/>
      <c r="M119" s="12"/>
      <c r="N119" s="12"/>
      <c r="O119" s="12"/>
      <c r="P119" s="12"/>
    </row>
    <row r="120" spans="1:16" ht="18.600000000000001" customHeight="1" x14ac:dyDescent="0.3">
      <c r="A120" s="147"/>
      <c r="B120" s="148"/>
      <c r="C120" s="147"/>
      <c r="D120" s="149"/>
      <c r="E120" s="215">
        <f>SUBTOTAL(9,E95:E119)</f>
        <v>0</v>
      </c>
      <c r="F120" s="147"/>
      <c r="G120" s="215">
        <f t="shared" ref="G120" si="35">SUBTOTAL(9,G95:G119)</f>
        <v>0</v>
      </c>
      <c r="H120" s="147"/>
      <c r="I120" s="215">
        <f t="shared" ref="I120" si="36">SUBTOTAL(9,I95:I119)</f>
        <v>0</v>
      </c>
      <c r="J120" s="147"/>
      <c r="K120" s="147"/>
      <c r="L120" s="147"/>
      <c r="M120" s="215">
        <f t="shared" ref="M120" si="37">SUBTOTAL(9,M95:M119)</f>
        <v>0</v>
      </c>
      <c r="N120" s="147"/>
      <c r="O120" s="215">
        <f t="shared" ref="O120" si="38">SUBTOTAL(9,O95:O119)</f>
        <v>0</v>
      </c>
      <c r="P120" s="147"/>
    </row>
    <row r="121" spans="1:16" ht="18.600000000000001" customHeight="1" x14ac:dyDescent="0.3">
      <c r="A121" s="445" t="str">
        <f>A91</f>
        <v>DANH SÁCH LỚP VĂN</v>
      </c>
      <c r="B121" s="445"/>
      <c r="C121" s="445"/>
      <c r="D121" s="445"/>
      <c r="E121" s="445"/>
      <c r="F121" s="445"/>
      <c r="G121" s="445"/>
      <c r="H121" s="445"/>
      <c r="I121" s="212">
        <v>5</v>
      </c>
      <c r="J121" s="213"/>
      <c r="K121" s="213"/>
      <c r="L121" s="213"/>
      <c r="M121" s="214"/>
      <c r="N121" s="214"/>
      <c r="O121" s="214"/>
      <c r="P121" s="214"/>
    </row>
    <row r="122" spans="1:16" ht="18.600000000000001" customHeight="1" x14ac:dyDescent="0.3">
      <c r="A122" s="28"/>
      <c r="B122" s="29"/>
      <c r="C122" s="30"/>
      <c r="D122" s="36"/>
      <c r="E122" s="28"/>
      <c r="F122" s="28"/>
      <c r="G122" s="28"/>
      <c r="H122" s="28"/>
      <c r="I122" s="79"/>
      <c r="J122" s="28"/>
      <c r="K122" s="28"/>
      <c r="L122" s="28"/>
      <c r="M122" s="28"/>
      <c r="N122" s="28"/>
      <c r="O122" s="28"/>
      <c r="P122" s="28"/>
    </row>
    <row r="123" spans="1:16" ht="18.600000000000001" customHeight="1" x14ac:dyDescent="0.3">
      <c r="A123" s="435" t="s">
        <v>374</v>
      </c>
      <c r="B123" s="435" t="s">
        <v>380</v>
      </c>
      <c r="C123" s="435" t="s">
        <v>383</v>
      </c>
      <c r="D123" s="437" t="s">
        <v>384</v>
      </c>
      <c r="E123" s="438" t="s">
        <v>385</v>
      </c>
      <c r="F123" s="439"/>
      <c r="G123" s="432" t="str">
        <f>$R$1</f>
        <v>Đợt 6</v>
      </c>
      <c r="H123" s="433"/>
      <c r="I123" s="432" t="str">
        <f>$T$1</f>
        <v>Đợt 7</v>
      </c>
      <c r="J123" s="433"/>
      <c r="K123" s="432" t="str">
        <f>$V$1</f>
        <v>Đợt 8</v>
      </c>
      <c r="L123" s="433"/>
      <c r="M123" s="432" t="str">
        <f>$X$1</f>
        <v>Đợt 9</v>
      </c>
      <c r="N123" s="433"/>
      <c r="O123" s="432" t="str">
        <f>$Z$1</f>
        <v>Đợt 10</v>
      </c>
      <c r="P123" s="433"/>
    </row>
    <row r="124" spans="1:16" ht="18.600000000000001" customHeight="1" x14ac:dyDescent="0.3">
      <c r="A124" s="436"/>
      <c r="B124" s="436"/>
      <c r="C124" s="436"/>
      <c r="D124" s="436"/>
      <c r="E124" s="31" t="s">
        <v>381</v>
      </c>
      <c r="F124" s="31" t="s">
        <v>382</v>
      </c>
      <c r="G124" s="31" t="s">
        <v>381</v>
      </c>
      <c r="H124" s="31" t="s">
        <v>382</v>
      </c>
      <c r="I124" s="80" t="s">
        <v>381</v>
      </c>
      <c r="J124" s="31" t="s">
        <v>382</v>
      </c>
      <c r="K124" s="80" t="s">
        <v>381</v>
      </c>
      <c r="L124" s="31" t="s">
        <v>382</v>
      </c>
      <c r="M124" s="31" t="s">
        <v>381</v>
      </c>
      <c r="N124" s="31" t="s">
        <v>382</v>
      </c>
      <c r="O124" s="31" t="s">
        <v>381</v>
      </c>
      <c r="P124" s="31" t="s">
        <v>382</v>
      </c>
    </row>
    <row r="125" spans="1:16" ht="18.600000000000001" customHeight="1" x14ac:dyDescent="0.3">
      <c r="A125" s="32">
        <v>1</v>
      </c>
      <c r="B125" s="143" t="s">
        <v>835</v>
      </c>
      <c r="C125" s="143" t="s">
        <v>10</v>
      </c>
      <c r="D125" s="143">
        <v>356568249</v>
      </c>
      <c r="E125" s="32"/>
      <c r="F125" s="34"/>
      <c r="G125" s="32"/>
      <c r="H125" s="93"/>
      <c r="I125" s="81"/>
      <c r="J125" s="34"/>
      <c r="K125" s="34"/>
      <c r="L125" s="34"/>
      <c r="M125" s="32"/>
      <c r="N125" s="34"/>
      <c r="O125" s="32"/>
      <c r="P125" s="34"/>
    </row>
    <row r="126" spans="1:16" ht="18.600000000000001" customHeight="1" x14ac:dyDescent="0.3">
      <c r="A126" s="7">
        <f t="shared" ref="A126:A149" si="39">A125+1</f>
        <v>2</v>
      </c>
      <c r="B126" s="26" t="s">
        <v>157</v>
      </c>
      <c r="C126" s="26" t="s">
        <v>22</v>
      </c>
      <c r="D126" s="26">
        <v>939026923</v>
      </c>
      <c r="E126" s="7"/>
      <c r="F126" s="7"/>
      <c r="G126" s="7"/>
      <c r="H126" s="7"/>
      <c r="I126" s="82"/>
      <c r="J126" s="7"/>
      <c r="K126" s="7"/>
      <c r="L126" s="7"/>
      <c r="M126" s="7"/>
      <c r="N126" s="7"/>
      <c r="O126" s="7"/>
      <c r="P126" s="7"/>
    </row>
    <row r="127" spans="1:16" ht="18.600000000000001" customHeight="1" x14ac:dyDescent="0.3">
      <c r="A127" s="7">
        <f t="shared" si="39"/>
        <v>3</v>
      </c>
      <c r="B127" s="143" t="s">
        <v>878</v>
      </c>
      <c r="C127" s="143" t="s">
        <v>14</v>
      </c>
      <c r="D127" s="143"/>
      <c r="E127" s="7"/>
      <c r="F127" s="7"/>
      <c r="G127" s="7"/>
      <c r="H127" s="7"/>
      <c r="I127" s="82"/>
      <c r="J127" s="7"/>
      <c r="K127" s="7"/>
      <c r="L127" s="7"/>
      <c r="M127" s="7"/>
      <c r="N127" s="7"/>
      <c r="O127" s="7"/>
      <c r="P127" s="7"/>
    </row>
    <row r="128" spans="1:16" ht="18.600000000000001" customHeight="1" x14ac:dyDescent="0.3">
      <c r="A128" s="7">
        <f t="shared" si="39"/>
        <v>4</v>
      </c>
      <c r="B128" s="26" t="s">
        <v>160</v>
      </c>
      <c r="C128" s="26" t="s">
        <v>15</v>
      </c>
      <c r="D128" s="24"/>
      <c r="E128" s="7"/>
      <c r="F128" s="7"/>
      <c r="G128" s="7"/>
      <c r="H128" s="7"/>
      <c r="I128" s="82"/>
      <c r="J128" s="7"/>
      <c r="K128" s="7"/>
      <c r="L128" s="7"/>
      <c r="M128" s="7"/>
      <c r="N128" s="7"/>
      <c r="O128" s="7"/>
      <c r="P128" s="7"/>
    </row>
    <row r="129" spans="1:16" ht="18.600000000000001" customHeight="1" x14ac:dyDescent="0.3">
      <c r="A129" s="6">
        <f t="shared" si="39"/>
        <v>5</v>
      </c>
      <c r="B129" s="26" t="s">
        <v>459</v>
      </c>
      <c r="C129" s="26" t="s">
        <v>460</v>
      </c>
      <c r="D129" s="25"/>
      <c r="E129" s="16"/>
      <c r="F129" s="16"/>
      <c r="G129" s="16"/>
      <c r="H129" s="16"/>
      <c r="I129" s="83"/>
      <c r="J129" s="16"/>
      <c r="K129" s="16"/>
      <c r="L129" s="16"/>
      <c r="M129" s="16"/>
      <c r="N129" s="16"/>
      <c r="O129" s="16"/>
      <c r="P129" s="16"/>
    </row>
    <row r="130" spans="1:16" ht="18.600000000000001" customHeight="1" x14ac:dyDescent="0.3">
      <c r="A130" s="56">
        <f t="shared" si="39"/>
        <v>6</v>
      </c>
      <c r="B130" s="26" t="s">
        <v>158</v>
      </c>
      <c r="C130" s="26" t="s">
        <v>23</v>
      </c>
      <c r="D130" s="164"/>
      <c r="E130" s="2"/>
      <c r="F130" s="2"/>
      <c r="G130" s="2"/>
      <c r="H130" s="2"/>
      <c r="I130" s="84"/>
      <c r="J130" s="2"/>
      <c r="K130" s="2"/>
      <c r="L130" s="2"/>
      <c r="M130" s="2"/>
      <c r="N130" s="2"/>
      <c r="O130" s="2"/>
      <c r="P130" s="2"/>
    </row>
    <row r="131" spans="1:16" ht="18.600000000000001" customHeight="1" x14ac:dyDescent="0.3">
      <c r="A131" s="6">
        <f t="shared" si="39"/>
        <v>7</v>
      </c>
      <c r="B131" s="26" t="s">
        <v>632</v>
      </c>
      <c r="C131" s="26" t="s">
        <v>13</v>
      </c>
      <c r="D131" s="163"/>
      <c r="E131" s="4"/>
      <c r="F131" s="4"/>
      <c r="G131" s="4"/>
      <c r="H131" s="4"/>
      <c r="I131" s="85"/>
      <c r="J131" s="4"/>
      <c r="K131" s="4"/>
      <c r="L131" s="4"/>
      <c r="M131" s="4"/>
      <c r="N131" s="4"/>
      <c r="O131" s="4"/>
      <c r="P131" s="4"/>
    </row>
    <row r="132" spans="1:16" ht="18.600000000000001" customHeight="1" x14ac:dyDescent="0.3">
      <c r="A132" s="6">
        <f t="shared" si="39"/>
        <v>8</v>
      </c>
      <c r="B132" s="254" t="s">
        <v>900</v>
      </c>
      <c r="C132" s="24" t="s">
        <v>80</v>
      </c>
      <c r="D132" s="24"/>
      <c r="E132" s="4"/>
      <c r="F132" s="4"/>
      <c r="G132" s="4"/>
      <c r="H132" s="4"/>
      <c r="I132" s="85"/>
      <c r="J132" s="4"/>
      <c r="K132" s="4"/>
      <c r="L132" s="4"/>
      <c r="M132" s="4"/>
      <c r="N132" s="4"/>
      <c r="O132" s="4"/>
      <c r="P132" s="4"/>
    </row>
    <row r="133" spans="1:16" ht="18.600000000000001" customHeight="1" x14ac:dyDescent="0.3">
      <c r="A133" s="6">
        <f t="shared" si="39"/>
        <v>9</v>
      </c>
      <c r="B133" s="24" t="s">
        <v>1177</v>
      </c>
      <c r="C133" s="24" t="s">
        <v>16</v>
      </c>
      <c r="D133" s="24"/>
      <c r="E133" s="4"/>
      <c r="F133" s="4"/>
      <c r="G133" s="4"/>
      <c r="H133" s="4"/>
      <c r="I133" s="85"/>
      <c r="J133" s="4"/>
      <c r="K133" s="4"/>
      <c r="L133" s="4"/>
      <c r="M133" s="4"/>
      <c r="N133" s="4"/>
      <c r="O133" s="4"/>
      <c r="P133" s="4"/>
    </row>
    <row r="134" spans="1:16" ht="18.600000000000001" customHeight="1" x14ac:dyDescent="0.3">
      <c r="A134" s="10">
        <f t="shared" si="39"/>
        <v>10</v>
      </c>
      <c r="B134" s="143" t="s">
        <v>1067</v>
      </c>
      <c r="C134" s="143" t="s">
        <v>20</v>
      </c>
      <c r="D134" s="143"/>
      <c r="E134" s="12"/>
      <c r="F134" s="12"/>
      <c r="G134" s="12"/>
      <c r="H134" s="12"/>
      <c r="I134" s="86"/>
      <c r="J134" s="12"/>
      <c r="K134" s="12"/>
      <c r="L134" s="12"/>
      <c r="M134" s="12"/>
      <c r="N134" s="12"/>
      <c r="O134" s="12"/>
      <c r="P134" s="12"/>
    </row>
    <row r="135" spans="1:16" ht="18.600000000000001" customHeight="1" x14ac:dyDescent="0.3">
      <c r="A135" s="35">
        <f t="shared" si="39"/>
        <v>11</v>
      </c>
      <c r="B135" s="24" t="s">
        <v>358</v>
      </c>
      <c r="C135" s="24" t="s">
        <v>1149</v>
      </c>
      <c r="D135" s="24"/>
      <c r="E135" s="14"/>
      <c r="F135" s="14"/>
      <c r="G135" s="14"/>
      <c r="H135" s="14"/>
      <c r="I135" s="87"/>
      <c r="J135" s="14"/>
      <c r="K135" s="14"/>
      <c r="L135" s="14"/>
      <c r="M135" s="14"/>
      <c r="N135" s="14"/>
      <c r="O135" s="14"/>
      <c r="P135" s="14"/>
    </row>
    <row r="136" spans="1:16" ht="18.600000000000001" customHeight="1" x14ac:dyDescent="0.3">
      <c r="A136" s="7">
        <f t="shared" si="39"/>
        <v>12</v>
      </c>
      <c r="B136" s="26"/>
      <c r="C136" s="26"/>
      <c r="D136" s="22"/>
      <c r="E136" s="4"/>
      <c r="F136" s="4"/>
      <c r="G136" s="4"/>
      <c r="H136" s="4"/>
      <c r="I136" s="85"/>
      <c r="J136" s="4"/>
      <c r="K136" s="4"/>
      <c r="L136" s="4"/>
      <c r="M136" s="4"/>
      <c r="N136" s="4"/>
      <c r="O136" s="4"/>
      <c r="P136" s="4"/>
    </row>
    <row r="137" spans="1:16" ht="18.600000000000001" customHeight="1" x14ac:dyDescent="0.3">
      <c r="A137" s="7">
        <f t="shared" si="39"/>
        <v>13</v>
      </c>
      <c r="B137" s="26"/>
      <c r="C137" s="26"/>
      <c r="D137" s="22"/>
      <c r="E137" s="4"/>
      <c r="F137" s="4"/>
      <c r="G137" s="4"/>
      <c r="H137" s="4"/>
      <c r="I137" s="85"/>
      <c r="J137" s="4"/>
      <c r="K137" s="4"/>
      <c r="L137" s="4"/>
      <c r="M137" s="4"/>
      <c r="N137" s="4"/>
      <c r="O137" s="4"/>
      <c r="P137" s="4"/>
    </row>
    <row r="138" spans="1:16" ht="18.600000000000001" customHeight="1" x14ac:dyDescent="0.3">
      <c r="A138" s="7">
        <f t="shared" si="39"/>
        <v>14</v>
      </c>
      <c r="B138" s="3"/>
      <c r="C138" s="4"/>
      <c r="D138" s="8"/>
      <c r="E138" s="4"/>
      <c r="F138" s="4"/>
      <c r="G138" s="4"/>
      <c r="H138" s="4"/>
      <c r="I138" s="85"/>
      <c r="J138" s="4"/>
      <c r="K138" s="4"/>
      <c r="L138" s="4"/>
      <c r="M138" s="4"/>
      <c r="N138" s="4"/>
      <c r="O138" s="4"/>
      <c r="P138" s="4"/>
    </row>
    <row r="139" spans="1:16" ht="18.600000000000001" customHeight="1" x14ac:dyDescent="0.3">
      <c r="A139" s="6">
        <f t="shared" si="39"/>
        <v>15</v>
      </c>
      <c r="B139" s="15"/>
      <c r="C139" s="16"/>
      <c r="D139" s="5"/>
      <c r="E139" s="16"/>
      <c r="F139" s="16"/>
      <c r="G139" s="16"/>
      <c r="H139" s="16"/>
      <c r="I139" s="83"/>
      <c r="J139" s="16"/>
      <c r="K139" s="16"/>
      <c r="L139" s="16"/>
      <c r="M139" s="16"/>
      <c r="N139" s="16"/>
      <c r="O139" s="16"/>
      <c r="P139" s="16"/>
    </row>
    <row r="140" spans="1:16" ht="18.600000000000001" customHeight="1" x14ac:dyDescent="0.3">
      <c r="A140" s="32">
        <f t="shared" si="39"/>
        <v>16</v>
      </c>
      <c r="B140" s="1"/>
      <c r="C140" s="2"/>
      <c r="D140" s="33"/>
      <c r="E140" s="2"/>
      <c r="F140" s="2"/>
      <c r="G140" s="2"/>
      <c r="H140" s="2"/>
      <c r="I140" s="84"/>
      <c r="J140" s="2"/>
      <c r="K140" s="2"/>
      <c r="L140" s="2"/>
      <c r="M140" s="2"/>
      <c r="N140" s="2"/>
      <c r="O140" s="2"/>
      <c r="P140" s="2"/>
    </row>
    <row r="141" spans="1:16" ht="18.600000000000001" customHeight="1" x14ac:dyDescent="0.3">
      <c r="A141" s="7">
        <f t="shared" si="39"/>
        <v>17</v>
      </c>
      <c r="B141" s="3"/>
      <c r="C141" s="4"/>
      <c r="D141" s="8"/>
      <c r="E141" s="4"/>
      <c r="F141" s="4"/>
      <c r="G141" s="4"/>
      <c r="H141" s="4"/>
      <c r="I141" s="85"/>
      <c r="J141" s="4"/>
      <c r="K141" s="4"/>
      <c r="L141" s="4"/>
      <c r="M141" s="4"/>
      <c r="N141" s="4"/>
      <c r="O141" s="4"/>
      <c r="P141" s="4"/>
    </row>
    <row r="142" spans="1:16" ht="18.600000000000001" customHeight="1" x14ac:dyDescent="0.3">
      <c r="A142" s="7">
        <f t="shared" si="39"/>
        <v>18</v>
      </c>
      <c r="B142" s="3"/>
      <c r="C142" s="4"/>
      <c r="D142" s="8"/>
      <c r="E142" s="4"/>
      <c r="F142" s="4"/>
      <c r="G142" s="4"/>
      <c r="H142" s="4"/>
      <c r="I142" s="85"/>
      <c r="J142" s="4"/>
      <c r="K142" s="4"/>
      <c r="L142" s="4"/>
      <c r="M142" s="4"/>
      <c r="N142" s="4"/>
      <c r="O142" s="4"/>
      <c r="P142" s="4"/>
    </row>
    <row r="143" spans="1:16" ht="18.600000000000001" customHeight="1" x14ac:dyDescent="0.3">
      <c r="A143" s="7">
        <f t="shared" si="39"/>
        <v>19</v>
      </c>
      <c r="B143" s="3"/>
      <c r="C143" s="4"/>
      <c r="D143" s="8"/>
      <c r="E143" s="4"/>
      <c r="F143" s="4"/>
      <c r="G143" s="4"/>
      <c r="H143" s="4"/>
      <c r="I143" s="85"/>
      <c r="J143" s="4"/>
      <c r="K143" s="4"/>
      <c r="L143" s="4"/>
      <c r="M143" s="4"/>
      <c r="N143" s="4"/>
      <c r="O143" s="4"/>
      <c r="P143" s="4"/>
    </row>
    <row r="144" spans="1:16" ht="18.600000000000001" customHeight="1" x14ac:dyDescent="0.3">
      <c r="A144" s="10">
        <f t="shared" si="39"/>
        <v>20</v>
      </c>
      <c r="B144" s="11"/>
      <c r="C144" s="12"/>
      <c r="D144" s="9"/>
      <c r="E144" s="12"/>
      <c r="F144" s="12"/>
      <c r="G144" s="12"/>
      <c r="H144" s="12"/>
      <c r="I144" s="86"/>
      <c r="J144" s="12"/>
      <c r="K144" s="12"/>
      <c r="L144" s="12"/>
      <c r="M144" s="12"/>
      <c r="N144" s="12"/>
      <c r="O144" s="12"/>
      <c r="P144" s="12"/>
    </row>
    <row r="145" spans="1:16" ht="18.600000000000001" customHeight="1" x14ac:dyDescent="0.3">
      <c r="A145" s="35">
        <f t="shared" si="39"/>
        <v>21</v>
      </c>
      <c r="B145" s="13"/>
      <c r="C145" s="14"/>
      <c r="D145" s="37"/>
      <c r="E145" s="14"/>
      <c r="F145" s="14"/>
      <c r="G145" s="14"/>
      <c r="H145" s="14"/>
      <c r="I145" s="87"/>
      <c r="J145" s="14"/>
      <c r="K145" s="14"/>
      <c r="L145" s="14"/>
      <c r="M145" s="14"/>
      <c r="N145" s="14"/>
      <c r="O145" s="14"/>
      <c r="P145" s="14"/>
    </row>
    <row r="146" spans="1:16" ht="18.600000000000001" customHeight="1" x14ac:dyDescent="0.3">
      <c r="A146" s="7">
        <f t="shared" si="39"/>
        <v>22</v>
      </c>
      <c r="B146" s="3"/>
      <c r="C146" s="4"/>
      <c r="D146" s="8"/>
      <c r="E146" s="4"/>
      <c r="F146" s="4"/>
      <c r="G146" s="4"/>
      <c r="H146" s="4"/>
      <c r="I146" s="85"/>
      <c r="J146" s="4"/>
      <c r="K146" s="4"/>
      <c r="L146" s="4"/>
      <c r="M146" s="4"/>
      <c r="N146" s="4"/>
      <c r="O146" s="4"/>
      <c r="P146" s="4"/>
    </row>
    <row r="147" spans="1:16" ht="18.600000000000001" customHeight="1" x14ac:dyDescent="0.3">
      <c r="A147" s="35">
        <f t="shared" si="39"/>
        <v>23</v>
      </c>
      <c r="B147" s="3"/>
      <c r="C147" s="4"/>
      <c r="D147" s="8"/>
      <c r="E147" s="4"/>
      <c r="F147" s="4"/>
      <c r="G147" s="4"/>
      <c r="H147" s="4"/>
      <c r="I147" s="85"/>
      <c r="J147" s="4"/>
      <c r="K147" s="4"/>
      <c r="L147" s="4"/>
      <c r="M147" s="4"/>
      <c r="N147" s="4"/>
      <c r="O147" s="4"/>
      <c r="P147" s="4"/>
    </row>
    <row r="148" spans="1:16" ht="18.600000000000001" customHeight="1" x14ac:dyDescent="0.3">
      <c r="A148" s="7">
        <f t="shared" si="39"/>
        <v>24</v>
      </c>
      <c r="B148" s="3"/>
      <c r="C148" s="4"/>
      <c r="D148" s="8"/>
      <c r="E148" s="4"/>
      <c r="F148" s="4"/>
      <c r="G148" s="4"/>
      <c r="H148" s="4"/>
      <c r="I148" s="85"/>
      <c r="J148" s="4"/>
      <c r="K148" s="4"/>
      <c r="L148" s="4"/>
      <c r="M148" s="4"/>
      <c r="N148" s="4"/>
      <c r="O148" s="4"/>
      <c r="P148" s="4"/>
    </row>
    <row r="149" spans="1:16" ht="18.600000000000001" customHeight="1" x14ac:dyDescent="0.3">
      <c r="A149" s="35">
        <f t="shared" si="39"/>
        <v>25</v>
      </c>
      <c r="B149" s="11"/>
      <c r="C149" s="12"/>
      <c r="D149" s="9"/>
      <c r="E149" s="12"/>
      <c r="F149" s="12"/>
      <c r="G149" s="12"/>
      <c r="H149" s="12"/>
      <c r="I149" s="86"/>
      <c r="J149" s="12"/>
      <c r="K149" s="12"/>
      <c r="L149" s="12"/>
      <c r="M149" s="12"/>
      <c r="N149" s="12"/>
      <c r="O149" s="12"/>
      <c r="P149" s="12"/>
    </row>
    <row r="150" spans="1:16" ht="18.600000000000001" customHeight="1" x14ac:dyDescent="0.3">
      <c r="A150" s="147"/>
      <c r="B150" s="148"/>
      <c r="C150" s="147"/>
      <c r="D150" s="149"/>
      <c r="E150" s="215">
        <f>SUBTOTAL(9,E125:E149)</f>
        <v>0</v>
      </c>
      <c r="F150" s="147"/>
      <c r="G150" s="215">
        <f t="shared" ref="G150" si="40">SUBTOTAL(9,G125:G149)</f>
        <v>0</v>
      </c>
      <c r="H150" s="147"/>
      <c r="I150" s="215">
        <f t="shared" ref="I150" si="41">SUBTOTAL(9,I125:I149)</f>
        <v>0</v>
      </c>
      <c r="J150" s="147"/>
      <c r="K150" s="147"/>
      <c r="L150" s="147"/>
      <c r="M150" s="215">
        <f t="shared" ref="M150" si="42">SUBTOTAL(9,M125:M149)</f>
        <v>0</v>
      </c>
      <c r="N150" s="147"/>
      <c r="O150" s="215">
        <f t="shared" ref="O150" si="43">SUBTOTAL(9,O125:O149)</f>
        <v>0</v>
      </c>
      <c r="P150" s="147"/>
    </row>
    <row r="151" spans="1:16" ht="18.600000000000001" customHeight="1" x14ac:dyDescent="0.3">
      <c r="A151" s="445" t="str">
        <f>A121</f>
        <v>DANH SÁCH LỚP VĂN</v>
      </c>
      <c r="B151" s="445"/>
      <c r="C151" s="445"/>
      <c r="D151" s="445"/>
      <c r="E151" s="445"/>
      <c r="F151" s="445"/>
      <c r="G151" s="445"/>
      <c r="H151" s="445"/>
      <c r="I151" s="212">
        <v>6</v>
      </c>
      <c r="J151" s="213"/>
      <c r="K151" s="213"/>
      <c r="L151" s="213"/>
      <c r="M151" s="214"/>
      <c r="N151" s="214"/>
      <c r="O151" s="214"/>
      <c r="P151" s="214"/>
    </row>
    <row r="152" spans="1:16" ht="18.600000000000001" customHeight="1" x14ac:dyDescent="0.3">
      <c r="A152" s="28"/>
      <c r="B152" s="29"/>
      <c r="C152" s="30"/>
      <c r="D152" s="36"/>
      <c r="E152" s="28"/>
      <c r="F152" s="28"/>
      <c r="G152" s="28"/>
      <c r="H152" s="28"/>
      <c r="I152" s="79"/>
      <c r="J152" s="28"/>
      <c r="K152" s="28"/>
      <c r="L152" s="28"/>
      <c r="M152" s="28"/>
      <c r="N152" s="28"/>
      <c r="O152" s="28"/>
      <c r="P152" s="28"/>
    </row>
    <row r="153" spans="1:16" ht="18.600000000000001" customHeight="1" x14ac:dyDescent="0.3">
      <c r="A153" s="435" t="s">
        <v>374</v>
      </c>
      <c r="B153" s="435" t="s">
        <v>380</v>
      </c>
      <c r="C153" s="435" t="s">
        <v>383</v>
      </c>
      <c r="D153" s="437" t="s">
        <v>384</v>
      </c>
      <c r="E153" s="438" t="s">
        <v>385</v>
      </c>
      <c r="F153" s="439"/>
      <c r="G153" s="432" t="str">
        <f>$R$1</f>
        <v>Đợt 6</v>
      </c>
      <c r="H153" s="433"/>
      <c r="I153" s="432" t="str">
        <f>$T$1</f>
        <v>Đợt 7</v>
      </c>
      <c r="J153" s="433"/>
      <c r="K153" s="432" t="str">
        <f>$V$1</f>
        <v>Đợt 8</v>
      </c>
      <c r="L153" s="433"/>
      <c r="M153" s="432" t="str">
        <f>$X$1</f>
        <v>Đợt 9</v>
      </c>
      <c r="N153" s="433"/>
      <c r="O153" s="432" t="str">
        <f>$Z$1</f>
        <v>Đợt 10</v>
      </c>
      <c r="P153" s="433"/>
    </row>
    <row r="154" spans="1:16" ht="18.600000000000001" customHeight="1" x14ac:dyDescent="0.3">
      <c r="A154" s="436"/>
      <c r="B154" s="436"/>
      <c r="C154" s="436"/>
      <c r="D154" s="436"/>
      <c r="E154" s="31" t="s">
        <v>381</v>
      </c>
      <c r="F154" s="31" t="s">
        <v>382</v>
      </c>
      <c r="G154" s="31" t="s">
        <v>381</v>
      </c>
      <c r="H154" s="31" t="s">
        <v>382</v>
      </c>
      <c r="I154" s="80" t="s">
        <v>381</v>
      </c>
      <c r="J154" s="31" t="s">
        <v>382</v>
      </c>
      <c r="K154" s="80" t="s">
        <v>381</v>
      </c>
      <c r="L154" s="31" t="s">
        <v>382</v>
      </c>
      <c r="M154" s="31" t="s">
        <v>381</v>
      </c>
      <c r="N154" s="31" t="s">
        <v>382</v>
      </c>
      <c r="O154" s="31" t="s">
        <v>381</v>
      </c>
      <c r="P154" s="31" t="s">
        <v>382</v>
      </c>
    </row>
    <row r="155" spans="1:16" ht="18.600000000000001" customHeight="1" x14ac:dyDescent="0.3">
      <c r="A155" s="32">
        <v>1</v>
      </c>
      <c r="B155" s="26" t="s">
        <v>167</v>
      </c>
      <c r="C155" s="26" t="s">
        <v>14</v>
      </c>
      <c r="D155" s="26"/>
      <c r="E155" s="32"/>
      <c r="F155" s="34"/>
      <c r="G155" s="32"/>
      <c r="H155" s="93"/>
      <c r="I155" s="81"/>
      <c r="J155" s="34"/>
      <c r="K155" s="34"/>
      <c r="L155" s="34"/>
      <c r="M155" s="32"/>
      <c r="N155" s="34"/>
      <c r="O155" s="32"/>
      <c r="P155" s="34"/>
    </row>
    <row r="156" spans="1:16" ht="18.600000000000001" customHeight="1" x14ac:dyDescent="0.3">
      <c r="A156" s="7">
        <f t="shared" ref="A156:A179" si="44">A155+1</f>
        <v>2</v>
      </c>
      <c r="B156" s="160" t="s">
        <v>868</v>
      </c>
      <c r="C156" s="143" t="s">
        <v>6</v>
      </c>
      <c r="D156" s="143">
        <v>979242060</v>
      </c>
      <c r="E156" s="7"/>
      <c r="F156" s="7"/>
      <c r="G156" s="7"/>
      <c r="H156" s="7"/>
      <c r="I156" s="82"/>
      <c r="J156" s="7"/>
      <c r="K156" s="7"/>
      <c r="L156" s="7"/>
      <c r="M156" s="7"/>
      <c r="N156" s="7"/>
      <c r="O156" s="7"/>
      <c r="P156" s="7"/>
    </row>
    <row r="157" spans="1:16" ht="18.600000000000001" customHeight="1" x14ac:dyDescent="0.3">
      <c r="A157" s="7">
        <f t="shared" si="44"/>
        <v>3</v>
      </c>
      <c r="B157" s="39" t="s">
        <v>1105</v>
      </c>
      <c r="C157" s="24" t="s">
        <v>18</v>
      </c>
      <c r="D157" s="163"/>
      <c r="E157" s="7"/>
      <c r="F157" s="7"/>
      <c r="G157" s="7"/>
      <c r="H157" s="7"/>
      <c r="I157" s="82"/>
      <c r="J157" s="7"/>
      <c r="K157" s="7"/>
      <c r="L157" s="7"/>
      <c r="M157" s="7"/>
      <c r="N157" s="7"/>
      <c r="O157" s="7"/>
      <c r="P157" s="7"/>
    </row>
    <row r="158" spans="1:16" ht="18.600000000000001" customHeight="1" x14ac:dyDescent="0.3">
      <c r="A158" s="7">
        <f t="shared" si="44"/>
        <v>4</v>
      </c>
      <c r="B158" s="143" t="s">
        <v>738</v>
      </c>
      <c r="C158" s="143" t="s">
        <v>64</v>
      </c>
      <c r="D158" s="143">
        <v>382438118</v>
      </c>
      <c r="E158" s="7"/>
      <c r="F158" s="7"/>
      <c r="G158" s="7"/>
      <c r="H158" s="7"/>
      <c r="I158" s="82"/>
      <c r="J158" s="7"/>
      <c r="K158" s="7"/>
      <c r="L158" s="7"/>
      <c r="M158" s="7"/>
      <c r="N158" s="7"/>
      <c r="O158" s="7"/>
      <c r="P158" s="7"/>
    </row>
    <row r="159" spans="1:16" ht="18.600000000000001" customHeight="1" x14ac:dyDescent="0.3">
      <c r="A159" s="6">
        <f t="shared" si="44"/>
        <v>5</v>
      </c>
      <c r="B159" s="25" t="s">
        <v>208</v>
      </c>
      <c r="C159" s="25" t="s">
        <v>133</v>
      </c>
      <c r="D159" s="163"/>
      <c r="E159" s="16"/>
      <c r="F159" s="16"/>
      <c r="G159" s="16"/>
      <c r="H159" s="16"/>
      <c r="I159" s="83"/>
      <c r="J159" s="16"/>
      <c r="K159" s="16"/>
      <c r="L159" s="16"/>
      <c r="M159" s="16"/>
      <c r="N159" s="16"/>
      <c r="O159" s="16"/>
      <c r="P159" s="16"/>
    </row>
    <row r="160" spans="1:16" ht="18.600000000000001" customHeight="1" x14ac:dyDescent="0.3">
      <c r="A160" s="56">
        <f t="shared" si="44"/>
        <v>6</v>
      </c>
      <c r="B160" s="143" t="s">
        <v>728</v>
      </c>
      <c r="C160" s="143" t="s">
        <v>34</v>
      </c>
      <c r="D160" s="143">
        <v>987616217</v>
      </c>
      <c r="E160" s="2"/>
      <c r="F160" s="2"/>
      <c r="G160" s="2"/>
      <c r="H160" s="2"/>
      <c r="I160" s="84"/>
      <c r="J160" s="2"/>
      <c r="K160" s="2"/>
      <c r="L160" s="2"/>
      <c r="M160" s="2"/>
      <c r="N160" s="2"/>
      <c r="O160" s="2"/>
      <c r="P160" s="2"/>
    </row>
    <row r="161" spans="1:16" ht="18.600000000000001" customHeight="1" x14ac:dyDescent="0.3">
      <c r="A161" s="6">
        <f t="shared" si="44"/>
        <v>7</v>
      </c>
      <c r="B161" s="24" t="s">
        <v>511</v>
      </c>
      <c r="C161" s="24" t="s">
        <v>34</v>
      </c>
      <c r="D161" s="163">
        <v>396557917</v>
      </c>
      <c r="E161" s="4"/>
      <c r="F161" s="4"/>
      <c r="G161" s="4"/>
      <c r="H161" s="4"/>
      <c r="I161" s="85"/>
      <c r="J161" s="4"/>
      <c r="K161" s="4"/>
      <c r="L161" s="4"/>
      <c r="M161" s="4"/>
      <c r="N161" s="4"/>
      <c r="O161" s="4"/>
      <c r="P161" s="4"/>
    </row>
    <row r="162" spans="1:16" ht="18.600000000000001" customHeight="1" x14ac:dyDescent="0.3">
      <c r="A162" s="6">
        <f t="shared" si="44"/>
        <v>8</v>
      </c>
      <c r="B162" s="26" t="s">
        <v>727</v>
      </c>
      <c r="C162" s="26" t="s">
        <v>19</v>
      </c>
      <c r="D162" s="26"/>
      <c r="E162" s="4"/>
      <c r="F162" s="4"/>
      <c r="G162" s="4"/>
      <c r="H162" s="4"/>
      <c r="I162" s="85"/>
      <c r="J162" s="4"/>
      <c r="K162" s="4"/>
      <c r="L162" s="4"/>
      <c r="M162" s="4"/>
      <c r="N162" s="4"/>
      <c r="O162" s="4"/>
      <c r="P162" s="4"/>
    </row>
    <row r="163" spans="1:16" ht="18.600000000000001" customHeight="1" x14ac:dyDescent="0.3">
      <c r="A163" s="6">
        <f t="shared" si="44"/>
        <v>9</v>
      </c>
      <c r="B163" s="143" t="s">
        <v>796</v>
      </c>
      <c r="C163" s="143" t="s">
        <v>56</v>
      </c>
      <c r="D163" s="143">
        <v>932955580</v>
      </c>
      <c r="E163" s="4"/>
      <c r="F163" s="4"/>
      <c r="G163" s="4"/>
      <c r="H163" s="4"/>
      <c r="I163" s="85"/>
      <c r="J163" s="4"/>
      <c r="K163" s="4"/>
      <c r="L163" s="4"/>
      <c r="M163" s="4"/>
      <c r="N163" s="4"/>
      <c r="O163" s="4"/>
      <c r="P163" s="4"/>
    </row>
    <row r="164" spans="1:16" ht="18.600000000000001" customHeight="1" x14ac:dyDescent="0.3">
      <c r="A164" s="10">
        <f t="shared" si="44"/>
        <v>10</v>
      </c>
      <c r="B164" s="143" t="s">
        <v>833</v>
      </c>
      <c r="C164" s="143" t="s">
        <v>92</v>
      </c>
      <c r="D164" s="143">
        <v>349579589</v>
      </c>
      <c r="E164" s="12"/>
      <c r="F164" s="12"/>
      <c r="G164" s="12"/>
      <c r="H164" s="12"/>
      <c r="I164" s="86"/>
      <c r="J164" s="12"/>
      <c r="K164" s="12"/>
      <c r="L164" s="12"/>
      <c r="M164" s="12"/>
      <c r="N164" s="12"/>
      <c r="O164" s="12"/>
      <c r="P164" s="12"/>
    </row>
    <row r="165" spans="1:16" ht="18.600000000000001" customHeight="1" x14ac:dyDescent="0.3">
      <c r="A165" s="35">
        <f t="shared" si="44"/>
        <v>11</v>
      </c>
      <c r="B165" s="26" t="s">
        <v>1068</v>
      </c>
      <c r="C165" s="26" t="s">
        <v>762</v>
      </c>
      <c r="D165" s="26"/>
      <c r="E165" s="14"/>
      <c r="F165" s="14"/>
      <c r="G165" s="14"/>
      <c r="H165" s="14"/>
      <c r="I165" s="87"/>
      <c r="J165" s="14"/>
      <c r="K165" s="14"/>
      <c r="L165" s="14"/>
      <c r="M165" s="14"/>
      <c r="N165" s="14"/>
      <c r="O165" s="14"/>
      <c r="P165" s="14"/>
    </row>
    <row r="166" spans="1:16" ht="18.600000000000001" customHeight="1" x14ac:dyDescent="0.3">
      <c r="A166" s="7">
        <f t="shared" si="44"/>
        <v>12</v>
      </c>
      <c r="B166" s="27" t="s">
        <v>165</v>
      </c>
      <c r="C166" s="27" t="s">
        <v>27</v>
      </c>
      <c r="D166" s="24"/>
      <c r="E166" s="4"/>
      <c r="F166" s="4"/>
      <c r="G166" s="4"/>
      <c r="H166" s="4"/>
      <c r="I166" s="85"/>
      <c r="J166" s="4"/>
      <c r="K166" s="4"/>
      <c r="L166" s="4"/>
      <c r="M166" s="4"/>
      <c r="N166" s="4"/>
      <c r="O166" s="4"/>
      <c r="P166" s="4"/>
    </row>
    <row r="167" spans="1:16" ht="18.600000000000001" customHeight="1" x14ac:dyDescent="0.3">
      <c r="A167" s="7">
        <f t="shared" si="44"/>
        <v>13</v>
      </c>
      <c r="B167" s="26" t="s">
        <v>166</v>
      </c>
      <c r="C167" s="26" t="s">
        <v>28</v>
      </c>
      <c r="D167" s="163"/>
      <c r="E167" s="4"/>
      <c r="F167" s="4"/>
      <c r="G167" s="4"/>
      <c r="H167" s="4"/>
      <c r="I167" s="85"/>
      <c r="J167" s="4"/>
      <c r="K167" s="4"/>
      <c r="L167" s="4"/>
      <c r="M167" s="4"/>
      <c r="N167" s="4"/>
      <c r="O167" s="4"/>
      <c r="P167" s="4"/>
    </row>
    <row r="168" spans="1:16" ht="18.600000000000001" customHeight="1" x14ac:dyDescent="0.3">
      <c r="A168" s="7">
        <f t="shared" si="44"/>
        <v>14</v>
      </c>
      <c r="B168" s="26" t="s">
        <v>169</v>
      </c>
      <c r="C168" s="26" t="s">
        <v>30</v>
      </c>
      <c r="D168" s="163"/>
      <c r="E168" s="4"/>
      <c r="F168" s="4"/>
      <c r="G168" s="4"/>
      <c r="H168" s="4"/>
      <c r="I168" s="85"/>
      <c r="J168" s="4"/>
      <c r="K168" s="4"/>
      <c r="L168" s="4"/>
      <c r="M168" s="4"/>
      <c r="N168" s="4"/>
      <c r="O168" s="4"/>
      <c r="P168" s="4"/>
    </row>
    <row r="169" spans="1:16" ht="18.600000000000001" customHeight="1" x14ac:dyDescent="0.3">
      <c r="A169" s="6">
        <f t="shared" si="44"/>
        <v>15</v>
      </c>
      <c r="B169" s="15"/>
      <c r="C169" s="16"/>
      <c r="D169" s="5"/>
      <c r="E169" s="16"/>
      <c r="F169" s="16"/>
      <c r="G169" s="16"/>
      <c r="H169" s="16"/>
      <c r="I169" s="83"/>
      <c r="J169" s="16"/>
      <c r="K169" s="16"/>
      <c r="L169" s="16"/>
      <c r="M169" s="16"/>
      <c r="N169" s="16"/>
      <c r="O169" s="16"/>
      <c r="P169" s="16"/>
    </row>
    <row r="170" spans="1:16" ht="18.600000000000001" customHeight="1" x14ac:dyDescent="0.3">
      <c r="A170" s="32">
        <f t="shared" si="44"/>
        <v>16</v>
      </c>
      <c r="B170" s="1"/>
      <c r="C170" s="2"/>
      <c r="D170" s="33"/>
      <c r="E170" s="2"/>
      <c r="F170" s="2"/>
      <c r="G170" s="2"/>
      <c r="H170" s="2"/>
      <c r="I170" s="84"/>
      <c r="J170" s="2"/>
      <c r="K170" s="2"/>
      <c r="L170" s="2"/>
      <c r="M170" s="2"/>
      <c r="N170" s="2"/>
      <c r="O170" s="2"/>
      <c r="P170" s="2"/>
    </row>
    <row r="171" spans="1:16" ht="18.600000000000001" customHeight="1" x14ac:dyDescent="0.3">
      <c r="A171" s="7">
        <f t="shared" si="44"/>
        <v>17</v>
      </c>
      <c r="B171" s="3"/>
      <c r="C171" s="4"/>
      <c r="D171" s="8"/>
      <c r="E171" s="4"/>
      <c r="F171" s="4"/>
      <c r="G171" s="4"/>
      <c r="H171" s="4"/>
      <c r="I171" s="85"/>
      <c r="J171" s="4"/>
      <c r="K171" s="4"/>
      <c r="L171" s="4"/>
      <c r="M171" s="4"/>
      <c r="N171" s="4"/>
      <c r="O171" s="4"/>
      <c r="P171" s="4"/>
    </row>
    <row r="172" spans="1:16" ht="18.600000000000001" customHeight="1" x14ac:dyDescent="0.3">
      <c r="A172" s="7">
        <f t="shared" si="44"/>
        <v>18</v>
      </c>
      <c r="B172" s="3"/>
      <c r="C172" s="4"/>
      <c r="D172" s="8"/>
      <c r="E172" s="4"/>
      <c r="F172" s="4"/>
      <c r="G172" s="4"/>
      <c r="H172" s="4"/>
      <c r="I172" s="85"/>
      <c r="J172" s="4"/>
      <c r="K172" s="4"/>
      <c r="L172" s="4"/>
      <c r="M172" s="4"/>
      <c r="N172" s="4"/>
      <c r="O172" s="4"/>
      <c r="P172" s="4"/>
    </row>
    <row r="173" spans="1:16" ht="18.600000000000001" customHeight="1" x14ac:dyDescent="0.3">
      <c r="A173" s="7">
        <f t="shared" si="44"/>
        <v>19</v>
      </c>
      <c r="B173" s="3"/>
      <c r="C173" s="4"/>
      <c r="D173" s="8"/>
      <c r="E173" s="4"/>
      <c r="F173" s="4"/>
      <c r="G173" s="4"/>
      <c r="H173" s="4"/>
      <c r="I173" s="85"/>
      <c r="J173" s="4"/>
      <c r="K173" s="4"/>
      <c r="L173" s="4"/>
      <c r="M173" s="4"/>
      <c r="N173" s="4"/>
      <c r="O173" s="4"/>
      <c r="P173" s="4"/>
    </row>
    <row r="174" spans="1:16" ht="18.600000000000001" customHeight="1" x14ac:dyDescent="0.3">
      <c r="A174" s="10">
        <f t="shared" si="44"/>
        <v>20</v>
      </c>
      <c r="B174" s="11"/>
      <c r="C174" s="12"/>
      <c r="D174" s="9"/>
      <c r="E174" s="12"/>
      <c r="F174" s="12"/>
      <c r="G174" s="12"/>
      <c r="H174" s="12"/>
      <c r="I174" s="86"/>
      <c r="J174" s="12"/>
      <c r="K174" s="12"/>
      <c r="L174" s="12"/>
      <c r="M174" s="12"/>
      <c r="N174" s="12"/>
      <c r="O174" s="12"/>
      <c r="P174" s="12"/>
    </row>
    <row r="175" spans="1:16" ht="18.600000000000001" customHeight="1" x14ac:dyDescent="0.3">
      <c r="A175" s="35">
        <f t="shared" si="44"/>
        <v>21</v>
      </c>
      <c r="B175" s="13"/>
      <c r="C175" s="14"/>
      <c r="D175" s="37"/>
      <c r="E175" s="14"/>
      <c r="F175" s="14"/>
      <c r="G175" s="14"/>
      <c r="H175" s="14"/>
      <c r="I175" s="87"/>
      <c r="J175" s="14"/>
      <c r="K175" s="14"/>
      <c r="L175" s="14"/>
      <c r="M175" s="14"/>
      <c r="N175" s="14"/>
      <c r="O175" s="14"/>
      <c r="P175" s="14"/>
    </row>
    <row r="176" spans="1:16" ht="18.600000000000001" customHeight="1" x14ac:dyDescent="0.3">
      <c r="A176" s="7">
        <f t="shared" si="44"/>
        <v>22</v>
      </c>
      <c r="B176" s="3"/>
      <c r="C176" s="4"/>
      <c r="D176" s="8"/>
      <c r="E176" s="4"/>
      <c r="F176" s="4"/>
      <c r="G176" s="4"/>
      <c r="H176" s="4"/>
      <c r="I176" s="85"/>
      <c r="J176" s="4"/>
      <c r="K176" s="4"/>
      <c r="L176" s="4"/>
      <c r="M176" s="4"/>
      <c r="N176" s="4"/>
      <c r="O176" s="4"/>
      <c r="P176" s="4"/>
    </row>
    <row r="177" spans="1:16" ht="18.600000000000001" customHeight="1" x14ac:dyDescent="0.3">
      <c r="A177" s="35">
        <f t="shared" si="44"/>
        <v>23</v>
      </c>
      <c r="B177" s="3"/>
      <c r="C177" s="4"/>
      <c r="D177" s="8"/>
      <c r="E177" s="4"/>
      <c r="F177" s="4"/>
      <c r="G177" s="4"/>
      <c r="H177" s="4"/>
      <c r="I177" s="85"/>
      <c r="J177" s="4"/>
      <c r="K177" s="4"/>
      <c r="L177" s="4"/>
      <c r="M177" s="4"/>
      <c r="N177" s="4"/>
      <c r="O177" s="4"/>
      <c r="P177" s="4"/>
    </row>
    <row r="178" spans="1:16" ht="18.600000000000001" customHeight="1" x14ac:dyDescent="0.3">
      <c r="A178" s="7">
        <f t="shared" si="44"/>
        <v>24</v>
      </c>
      <c r="B178" s="3"/>
      <c r="C178" s="4"/>
      <c r="D178" s="8"/>
      <c r="E178" s="4"/>
      <c r="F178" s="4"/>
      <c r="G178" s="4"/>
      <c r="H178" s="4"/>
      <c r="I178" s="85"/>
      <c r="J178" s="4"/>
      <c r="K178" s="4"/>
      <c r="L178" s="4"/>
      <c r="M178" s="4"/>
      <c r="N178" s="4"/>
      <c r="O178" s="4"/>
      <c r="P178" s="4"/>
    </row>
    <row r="179" spans="1:16" ht="18.600000000000001" customHeight="1" x14ac:dyDescent="0.3">
      <c r="A179" s="35">
        <f t="shared" si="44"/>
        <v>25</v>
      </c>
      <c r="B179" s="11"/>
      <c r="C179" s="12"/>
      <c r="D179" s="9"/>
      <c r="E179" s="12"/>
      <c r="F179" s="12"/>
      <c r="G179" s="12"/>
      <c r="H179" s="12"/>
      <c r="I179" s="86"/>
      <c r="J179" s="12"/>
      <c r="K179" s="12"/>
      <c r="L179" s="12"/>
      <c r="M179" s="12"/>
      <c r="N179" s="12"/>
      <c r="O179" s="12"/>
      <c r="P179" s="12"/>
    </row>
    <row r="180" spans="1:16" ht="18.600000000000001" customHeight="1" x14ac:dyDescent="0.3">
      <c r="A180" s="147"/>
      <c r="B180" s="148"/>
      <c r="C180" s="147"/>
      <c r="D180" s="149"/>
      <c r="E180" s="215">
        <f>SUBTOTAL(9,E155:E179)</f>
        <v>0</v>
      </c>
      <c r="F180" s="147"/>
      <c r="G180" s="215">
        <f t="shared" ref="G180" si="45">SUBTOTAL(9,G155:G179)</f>
        <v>0</v>
      </c>
      <c r="H180" s="147"/>
      <c r="I180" s="215">
        <f t="shared" ref="I180" si="46">SUBTOTAL(9,I155:I179)</f>
        <v>0</v>
      </c>
      <c r="J180" s="147"/>
      <c r="K180" s="147"/>
      <c r="L180" s="147"/>
      <c r="M180" s="215">
        <f t="shared" ref="M180" si="47">SUBTOTAL(9,M155:M179)</f>
        <v>0</v>
      </c>
      <c r="N180" s="147"/>
      <c r="O180" s="215">
        <f t="shared" ref="O180" si="48">SUBTOTAL(9,O155:O179)</f>
        <v>0</v>
      </c>
      <c r="P180" s="147"/>
    </row>
    <row r="181" spans="1:16" ht="18.600000000000001" customHeight="1" x14ac:dyDescent="0.3">
      <c r="A181" s="445" t="str">
        <f>A151</f>
        <v>DANH SÁCH LỚP VĂN</v>
      </c>
      <c r="B181" s="445"/>
      <c r="C181" s="445"/>
      <c r="D181" s="445"/>
      <c r="E181" s="445"/>
      <c r="F181" s="445"/>
      <c r="G181" s="445"/>
      <c r="H181" s="445"/>
      <c r="I181" s="212" t="s">
        <v>847</v>
      </c>
      <c r="J181" s="213"/>
      <c r="K181" s="213"/>
      <c r="L181" s="213"/>
      <c r="M181" s="214"/>
      <c r="N181" s="214"/>
      <c r="O181" s="214"/>
      <c r="P181" s="214"/>
    </row>
    <row r="182" spans="1:16" ht="18.600000000000001" customHeight="1" x14ac:dyDescent="0.3">
      <c r="A182" s="28"/>
      <c r="B182" s="29"/>
      <c r="C182" s="30"/>
      <c r="D182" s="36"/>
      <c r="E182" s="28"/>
      <c r="F182" s="28"/>
      <c r="G182" s="28"/>
      <c r="H182" s="28"/>
      <c r="I182" s="79"/>
      <c r="J182" s="28"/>
      <c r="K182" s="28"/>
      <c r="L182" s="28"/>
      <c r="M182" s="28"/>
      <c r="N182" s="28"/>
      <c r="O182" s="28"/>
      <c r="P182" s="28"/>
    </row>
    <row r="183" spans="1:16" ht="18.600000000000001" customHeight="1" x14ac:dyDescent="0.3">
      <c r="A183" s="435" t="s">
        <v>374</v>
      </c>
      <c r="B183" s="435" t="s">
        <v>380</v>
      </c>
      <c r="C183" s="435" t="s">
        <v>383</v>
      </c>
      <c r="D183" s="437" t="s">
        <v>384</v>
      </c>
      <c r="E183" s="438" t="s">
        <v>385</v>
      </c>
      <c r="F183" s="439"/>
      <c r="G183" s="432" t="str">
        <f>$R$1</f>
        <v>Đợt 6</v>
      </c>
      <c r="H183" s="433"/>
      <c r="I183" s="432" t="str">
        <f>$T$1</f>
        <v>Đợt 7</v>
      </c>
      <c r="J183" s="433"/>
      <c r="K183" s="432" t="str">
        <f>$V$1</f>
        <v>Đợt 8</v>
      </c>
      <c r="L183" s="433"/>
      <c r="M183" s="432" t="str">
        <f>$X$1</f>
        <v>Đợt 9</v>
      </c>
      <c r="N183" s="433"/>
      <c r="O183" s="432" t="str">
        <f>$Z$1</f>
        <v>Đợt 10</v>
      </c>
      <c r="P183" s="433"/>
    </row>
    <row r="184" spans="1:16" ht="18.600000000000001" customHeight="1" x14ac:dyDescent="0.3">
      <c r="A184" s="436"/>
      <c r="B184" s="436"/>
      <c r="C184" s="436"/>
      <c r="D184" s="436"/>
      <c r="E184" s="31" t="s">
        <v>381</v>
      </c>
      <c r="F184" s="31" t="s">
        <v>382</v>
      </c>
      <c r="G184" s="31" t="s">
        <v>381</v>
      </c>
      <c r="H184" s="31" t="s">
        <v>382</v>
      </c>
      <c r="I184" s="80" t="s">
        <v>381</v>
      </c>
      <c r="J184" s="31" t="s">
        <v>382</v>
      </c>
      <c r="K184" s="80" t="s">
        <v>381</v>
      </c>
      <c r="L184" s="31" t="s">
        <v>382</v>
      </c>
      <c r="M184" s="31" t="s">
        <v>381</v>
      </c>
      <c r="N184" s="31" t="s">
        <v>382</v>
      </c>
      <c r="O184" s="31" t="s">
        <v>381</v>
      </c>
      <c r="P184" s="31" t="s">
        <v>382</v>
      </c>
    </row>
    <row r="185" spans="1:16" ht="18.600000000000001" customHeight="1" x14ac:dyDescent="0.3">
      <c r="A185" s="32">
        <v>1</v>
      </c>
      <c r="B185" s="143" t="s">
        <v>424</v>
      </c>
      <c r="C185" s="143" t="s">
        <v>10</v>
      </c>
      <c r="D185" s="143"/>
      <c r="E185" s="32"/>
      <c r="F185" s="34"/>
      <c r="G185" s="32"/>
      <c r="H185" s="93"/>
      <c r="I185" s="81"/>
      <c r="J185" s="34"/>
      <c r="K185" s="34"/>
      <c r="L185" s="34"/>
      <c r="M185" s="32"/>
      <c r="N185" s="34"/>
      <c r="O185" s="32"/>
      <c r="P185" s="34"/>
    </row>
    <row r="186" spans="1:16" ht="18.600000000000001" customHeight="1" x14ac:dyDescent="0.3">
      <c r="A186" s="7">
        <f t="shared" ref="A186:A209" si="49">A185+1</f>
        <v>2</v>
      </c>
      <c r="B186" s="24" t="s">
        <v>1050</v>
      </c>
      <c r="C186" s="24" t="s">
        <v>14</v>
      </c>
      <c r="D186" s="24"/>
      <c r="E186" s="7"/>
      <c r="F186" s="7"/>
      <c r="G186" s="7"/>
      <c r="H186" s="7"/>
      <c r="I186" s="82"/>
      <c r="J186" s="7"/>
      <c r="K186" s="7"/>
      <c r="L186" s="7"/>
      <c r="M186" s="7"/>
      <c r="N186" s="7"/>
      <c r="O186" s="7"/>
      <c r="P186" s="7"/>
    </row>
    <row r="187" spans="1:16" ht="18.600000000000001" customHeight="1" x14ac:dyDescent="0.3">
      <c r="A187" s="7">
        <f t="shared" si="49"/>
        <v>3</v>
      </c>
      <c r="B187" s="143" t="s">
        <v>816</v>
      </c>
      <c r="C187" s="143" t="s">
        <v>12</v>
      </c>
      <c r="D187" s="143">
        <v>912128972</v>
      </c>
      <c r="E187" s="7"/>
      <c r="F187" s="7"/>
      <c r="G187" s="7"/>
      <c r="H187" s="7"/>
      <c r="I187" s="82"/>
      <c r="J187" s="7"/>
      <c r="K187" s="7"/>
      <c r="L187" s="7"/>
      <c r="M187" s="7"/>
      <c r="N187" s="7"/>
      <c r="O187" s="7"/>
      <c r="P187" s="7"/>
    </row>
    <row r="188" spans="1:16" ht="18.600000000000001" customHeight="1" x14ac:dyDescent="0.3">
      <c r="A188" s="7">
        <f t="shared" si="49"/>
        <v>4</v>
      </c>
      <c r="B188" s="143" t="s">
        <v>813</v>
      </c>
      <c r="C188" s="143" t="s">
        <v>814</v>
      </c>
      <c r="D188" s="143">
        <v>962457413</v>
      </c>
      <c r="E188" s="7"/>
      <c r="F188" s="7"/>
      <c r="G188" s="7"/>
      <c r="H188" s="7"/>
      <c r="I188" s="82"/>
      <c r="J188" s="7"/>
      <c r="K188" s="7"/>
      <c r="L188" s="7"/>
      <c r="M188" s="7"/>
      <c r="N188" s="7"/>
      <c r="O188" s="7"/>
      <c r="P188" s="7"/>
    </row>
    <row r="189" spans="1:16" ht="18.600000000000001" customHeight="1" x14ac:dyDescent="0.3">
      <c r="A189" s="6">
        <f t="shared" si="49"/>
        <v>5</v>
      </c>
      <c r="B189" s="143" t="s">
        <v>962</v>
      </c>
      <c r="C189" s="143" t="s">
        <v>948</v>
      </c>
      <c r="D189" s="143"/>
      <c r="E189" s="16"/>
      <c r="F189" s="16"/>
      <c r="G189" s="16"/>
      <c r="H189" s="16"/>
      <c r="I189" s="83"/>
      <c r="J189" s="16"/>
      <c r="K189" s="16"/>
      <c r="L189" s="16"/>
      <c r="M189" s="16"/>
      <c r="N189" s="16"/>
      <c r="O189" s="16"/>
      <c r="P189" s="16"/>
    </row>
    <row r="190" spans="1:16" ht="18.600000000000001" customHeight="1" x14ac:dyDescent="0.3">
      <c r="A190" s="56">
        <f t="shared" si="49"/>
        <v>6</v>
      </c>
      <c r="B190" s="143" t="s">
        <v>771</v>
      </c>
      <c r="C190" s="143" t="s">
        <v>530</v>
      </c>
      <c r="D190" s="143">
        <v>348362610</v>
      </c>
      <c r="E190" s="2"/>
      <c r="F190" s="2"/>
      <c r="G190" s="2"/>
      <c r="H190" s="2"/>
      <c r="I190" s="84"/>
      <c r="J190" s="2"/>
      <c r="K190" s="2"/>
      <c r="L190" s="2"/>
      <c r="M190" s="2"/>
      <c r="N190" s="2"/>
      <c r="O190" s="2"/>
      <c r="P190" s="2"/>
    </row>
    <row r="191" spans="1:16" ht="18.600000000000001" customHeight="1" x14ac:dyDescent="0.3">
      <c r="A191" s="6">
        <f t="shared" si="49"/>
        <v>7</v>
      </c>
      <c r="B191" s="143" t="s">
        <v>793</v>
      </c>
      <c r="C191" s="143" t="s">
        <v>469</v>
      </c>
      <c r="D191" s="143">
        <v>938345215</v>
      </c>
      <c r="E191" s="4"/>
      <c r="F191" s="4"/>
      <c r="G191" s="4"/>
      <c r="H191" s="4"/>
      <c r="I191" s="85"/>
      <c r="J191" s="4"/>
      <c r="K191" s="4"/>
      <c r="L191" s="4"/>
      <c r="M191" s="4"/>
      <c r="N191" s="4"/>
      <c r="O191" s="4"/>
      <c r="P191" s="4"/>
    </row>
    <row r="192" spans="1:16" ht="18.600000000000001" customHeight="1" x14ac:dyDescent="0.3">
      <c r="A192" s="6">
        <f t="shared" si="49"/>
        <v>8</v>
      </c>
      <c r="B192" s="39" t="s">
        <v>730</v>
      </c>
      <c r="C192" s="24" t="s">
        <v>91</v>
      </c>
      <c r="D192" s="163" t="s">
        <v>995</v>
      </c>
      <c r="E192" s="4"/>
      <c r="F192" s="4"/>
      <c r="G192" s="4"/>
      <c r="H192" s="4"/>
      <c r="I192" s="85"/>
      <c r="J192" s="4"/>
      <c r="K192" s="4"/>
      <c r="L192" s="4"/>
      <c r="M192" s="4"/>
      <c r="N192" s="4"/>
      <c r="O192" s="4"/>
      <c r="P192" s="4"/>
    </row>
    <row r="193" spans="1:16" ht="18.600000000000001" customHeight="1" x14ac:dyDescent="0.3">
      <c r="A193" s="6">
        <f t="shared" si="49"/>
        <v>9</v>
      </c>
      <c r="B193" s="27" t="s">
        <v>170</v>
      </c>
      <c r="C193" s="27" t="s">
        <v>31</v>
      </c>
      <c r="D193" s="26"/>
      <c r="E193" s="4"/>
      <c r="F193" s="4"/>
      <c r="G193" s="4"/>
      <c r="H193" s="4"/>
      <c r="I193" s="85"/>
      <c r="J193" s="4"/>
      <c r="K193" s="4"/>
      <c r="L193" s="4"/>
      <c r="M193" s="4"/>
      <c r="N193" s="4"/>
      <c r="O193" s="4"/>
      <c r="P193" s="4"/>
    </row>
    <row r="194" spans="1:16" ht="18.600000000000001" customHeight="1" x14ac:dyDescent="0.3">
      <c r="A194" s="10">
        <f t="shared" si="49"/>
        <v>10</v>
      </c>
      <c r="B194" s="24" t="s">
        <v>981</v>
      </c>
      <c r="C194" s="24" t="s">
        <v>982</v>
      </c>
      <c r="D194" s="163"/>
      <c r="E194" s="12"/>
      <c r="F194" s="12"/>
      <c r="G194" s="12"/>
      <c r="H194" s="12"/>
      <c r="I194" s="86"/>
      <c r="J194" s="12"/>
      <c r="K194" s="12"/>
      <c r="L194" s="12"/>
      <c r="M194" s="12"/>
      <c r="N194" s="12"/>
      <c r="O194" s="12"/>
      <c r="P194" s="12"/>
    </row>
    <row r="195" spans="1:16" ht="18.600000000000001" customHeight="1" x14ac:dyDescent="0.3">
      <c r="A195" s="35">
        <f t="shared" si="49"/>
        <v>11</v>
      </c>
      <c r="B195" s="24" t="s">
        <v>985</v>
      </c>
      <c r="C195" s="24" t="s">
        <v>58</v>
      </c>
      <c r="D195" s="24"/>
      <c r="E195" s="14"/>
      <c r="F195" s="14"/>
      <c r="G195" s="14"/>
      <c r="H195" s="14"/>
      <c r="I195" s="87"/>
      <c r="J195" s="14"/>
      <c r="K195" s="14"/>
      <c r="L195" s="14"/>
      <c r="M195" s="14"/>
      <c r="N195" s="14"/>
      <c r="O195" s="14"/>
      <c r="P195" s="14"/>
    </row>
    <row r="196" spans="1:16" ht="18.600000000000001" customHeight="1" x14ac:dyDescent="0.3">
      <c r="A196" s="7">
        <f t="shared" si="49"/>
        <v>12</v>
      </c>
      <c r="B196" s="174" t="s">
        <v>985</v>
      </c>
      <c r="C196" s="24" t="s">
        <v>58</v>
      </c>
      <c r="D196" s="163"/>
      <c r="E196" s="4"/>
      <c r="F196" s="4"/>
      <c r="G196" s="4"/>
      <c r="H196" s="4"/>
      <c r="I196" s="85"/>
      <c r="J196" s="4"/>
      <c r="K196" s="4"/>
      <c r="L196" s="4"/>
      <c r="M196" s="4"/>
      <c r="N196" s="4"/>
      <c r="O196" s="4"/>
      <c r="P196" s="4"/>
    </row>
    <row r="197" spans="1:16" ht="18.600000000000001" customHeight="1" x14ac:dyDescent="0.3">
      <c r="A197" s="7">
        <f t="shared" si="49"/>
        <v>13</v>
      </c>
      <c r="B197" s="143" t="s">
        <v>928</v>
      </c>
      <c r="C197" s="143" t="s">
        <v>20</v>
      </c>
      <c r="D197" s="143"/>
      <c r="E197" s="4"/>
      <c r="F197" s="4"/>
      <c r="G197" s="4"/>
      <c r="H197" s="4"/>
      <c r="I197" s="85"/>
      <c r="J197" s="4"/>
      <c r="K197" s="4"/>
      <c r="L197" s="4"/>
      <c r="M197" s="4"/>
      <c r="N197" s="4"/>
      <c r="O197" s="4"/>
      <c r="P197" s="4"/>
    </row>
    <row r="198" spans="1:16" ht="18.600000000000001" customHeight="1" x14ac:dyDescent="0.3">
      <c r="A198" s="7">
        <f t="shared" si="49"/>
        <v>14</v>
      </c>
      <c r="B198" s="143"/>
      <c r="C198" s="143"/>
      <c r="D198" s="143"/>
      <c r="E198" s="4"/>
      <c r="F198" s="4"/>
      <c r="G198" s="4"/>
      <c r="H198" s="4"/>
      <c r="I198" s="85"/>
      <c r="J198" s="4"/>
      <c r="K198" s="4"/>
      <c r="L198" s="4"/>
      <c r="M198" s="4"/>
      <c r="N198" s="4"/>
      <c r="O198" s="4"/>
      <c r="P198" s="4"/>
    </row>
    <row r="199" spans="1:16" ht="18.600000000000001" customHeight="1" x14ac:dyDescent="0.3">
      <c r="A199" s="6">
        <f t="shared" si="49"/>
        <v>15</v>
      </c>
      <c r="B199" s="27"/>
      <c r="C199" s="27"/>
      <c r="D199" s="26"/>
      <c r="E199" s="16"/>
      <c r="F199" s="16"/>
      <c r="G199" s="16"/>
      <c r="H199" s="16"/>
      <c r="I199" s="83"/>
      <c r="J199" s="16"/>
      <c r="K199" s="16"/>
      <c r="L199" s="16"/>
      <c r="M199" s="16"/>
      <c r="N199" s="16"/>
      <c r="O199" s="16"/>
      <c r="P199" s="16"/>
    </row>
    <row r="200" spans="1:16" ht="18.600000000000001" customHeight="1" x14ac:dyDescent="0.3">
      <c r="A200" s="32">
        <f t="shared" si="49"/>
        <v>16</v>
      </c>
      <c r="B200" s="143"/>
      <c r="C200" s="143"/>
      <c r="D200" s="143"/>
      <c r="E200" s="2"/>
      <c r="F200" s="2"/>
      <c r="G200" s="2"/>
      <c r="H200" s="2"/>
      <c r="I200" s="84"/>
      <c r="J200" s="2"/>
      <c r="K200" s="2"/>
      <c r="L200" s="2"/>
      <c r="M200" s="2"/>
      <c r="N200" s="2"/>
      <c r="O200" s="2"/>
      <c r="P200" s="2"/>
    </row>
    <row r="201" spans="1:16" ht="18.600000000000001" customHeight="1" x14ac:dyDescent="0.3">
      <c r="A201" s="7">
        <f t="shared" si="49"/>
        <v>17</v>
      </c>
      <c r="B201" s="24"/>
      <c r="C201" s="24"/>
      <c r="D201" s="24"/>
      <c r="E201" s="4"/>
      <c r="F201" s="4"/>
      <c r="G201" s="4"/>
      <c r="H201" s="4"/>
      <c r="I201" s="85"/>
      <c r="J201" s="4"/>
      <c r="K201" s="4"/>
      <c r="L201" s="4"/>
      <c r="M201" s="4"/>
      <c r="N201" s="4"/>
      <c r="O201" s="4"/>
      <c r="P201" s="4"/>
    </row>
    <row r="202" spans="1:16" ht="18.600000000000001" customHeight="1" x14ac:dyDescent="0.3">
      <c r="A202" s="7">
        <f t="shared" si="49"/>
        <v>18</v>
      </c>
      <c r="B202" s="24"/>
      <c r="C202" s="24"/>
      <c r="D202" s="163"/>
      <c r="E202" s="4"/>
      <c r="F202" s="4"/>
      <c r="G202" s="4"/>
      <c r="H202" s="4"/>
      <c r="I202" s="85"/>
      <c r="J202" s="4"/>
      <c r="K202" s="4"/>
      <c r="L202" s="4"/>
      <c r="M202" s="4"/>
      <c r="N202" s="4"/>
      <c r="O202" s="4"/>
      <c r="P202" s="4"/>
    </row>
    <row r="203" spans="1:16" ht="18.600000000000001" customHeight="1" x14ac:dyDescent="0.3">
      <c r="A203" s="7">
        <f t="shared" si="49"/>
        <v>19</v>
      </c>
      <c r="B203" s="24"/>
      <c r="C203" s="24"/>
      <c r="D203" s="24"/>
      <c r="E203" s="4"/>
      <c r="F203" s="4"/>
      <c r="G203" s="4"/>
      <c r="H203" s="4"/>
      <c r="I203" s="85"/>
      <c r="J203" s="4"/>
      <c r="K203" s="4"/>
      <c r="L203" s="4"/>
      <c r="M203" s="4"/>
      <c r="N203" s="4"/>
      <c r="O203" s="4"/>
      <c r="P203" s="4"/>
    </row>
    <row r="204" spans="1:16" ht="18.600000000000001" customHeight="1" x14ac:dyDescent="0.3">
      <c r="A204" s="10">
        <f t="shared" si="49"/>
        <v>20</v>
      </c>
      <c r="B204" s="174"/>
      <c r="C204" s="24"/>
      <c r="D204" s="163"/>
      <c r="E204" s="12"/>
      <c r="F204" s="12"/>
      <c r="G204" s="12"/>
      <c r="H204" s="12"/>
      <c r="I204" s="86"/>
      <c r="J204" s="12"/>
      <c r="K204" s="12"/>
      <c r="L204" s="12"/>
      <c r="M204" s="12"/>
      <c r="N204" s="12"/>
      <c r="O204" s="12"/>
      <c r="P204" s="12"/>
    </row>
    <row r="205" spans="1:16" ht="18.600000000000001" customHeight="1" x14ac:dyDescent="0.3">
      <c r="A205" s="35">
        <f t="shared" si="49"/>
        <v>21</v>
      </c>
      <c r="B205" s="143"/>
      <c r="C205" s="143"/>
      <c r="D205" s="143"/>
      <c r="E205" s="14"/>
      <c r="F205" s="14"/>
      <c r="G205" s="14"/>
      <c r="H205" s="14"/>
      <c r="I205" s="87"/>
      <c r="J205" s="14"/>
      <c r="K205" s="14"/>
      <c r="L205" s="14"/>
      <c r="M205" s="14"/>
      <c r="N205" s="14"/>
      <c r="O205" s="14"/>
      <c r="P205" s="14"/>
    </row>
    <row r="206" spans="1:16" ht="18.600000000000001" customHeight="1" x14ac:dyDescent="0.3">
      <c r="A206" s="7">
        <f t="shared" si="49"/>
        <v>22</v>
      </c>
      <c r="B206" s="3"/>
      <c r="C206" s="4"/>
      <c r="D206" s="8"/>
      <c r="E206" s="4"/>
      <c r="F206" s="4"/>
      <c r="G206" s="4"/>
      <c r="H206" s="4"/>
      <c r="I206" s="85"/>
      <c r="J206" s="4"/>
      <c r="K206" s="4"/>
      <c r="L206" s="4"/>
      <c r="M206" s="4"/>
      <c r="N206" s="4"/>
      <c r="O206" s="4"/>
      <c r="P206" s="4"/>
    </row>
    <row r="207" spans="1:16" ht="18.600000000000001" customHeight="1" x14ac:dyDescent="0.3">
      <c r="A207" s="35">
        <f t="shared" si="49"/>
        <v>23</v>
      </c>
      <c r="B207" s="3"/>
      <c r="C207" s="4"/>
      <c r="D207" s="8"/>
      <c r="E207" s="4"/>
      <c r="F207" s="4"/>
      <c r="G207" s="4"/>
      <c r="H207" s="4"/>
      <c r="I207" s="85"/>
      <c r="J207" s="4"/>
      <c r="K207" s="4"/>
      <c r="L207" s="4"/>
      <c r="M207" s="4"/>
      <c r="N207" s="4"/>
      <c r="O207" s="4"/>
      <c r="P207" s="4"/>
    </row>
    <row r="208" spans="1:16" ht="18.600000000000001" customHeight="1" x14ac:dyDescent="0.3">
      <c r="A208" s="7">
        <f t="shared" si="49"/>
        <v>24</v>
      </c>
      <c r="B208" s="3"/>
      <c r="C208" s="4"/>
      <c r="D208" s="8"/>
      <c r="E208" s="4"/>
      <c r="F208" s="4"/>
      <c r="G208" s="4"/>
      <c r="H208" s="4"/>
      <c r="I208" s="85"/>
      <c r="J208" s="4"/>
      <c r="K208" s="4"/>
      <c r="L208" s="4"/>
      <c r="M208" s="4"/>
      <c r="N208" s="4"/>
      <c r="O208" s="4"/>
      <c r="P208" s="4"/>
    </row>
    <row r="209" spans="1:16" ht="18.600000000000001" customHeight="1" x14ac:dyDescent="0.3">
      <c r="A209" s="35">
        <f t="shared" si="49"/>
        <v>25</v>
      </c>
      <c r="B209" s="11"/>
      <c r="C209" s="12"/>
      <c r="D209" s="9"/>
      <c r="E209" s="12"/>
      <c r="F209" s="12"/>
      <c r="G209" s="12"/>
      <c r="H209" s="12"/>
      <c r="I209" s="86"/>
      <c r="J209" s="12"/>
      <c r="K209" s="12"/>
      <c r="L209" s="12"/>
      <c r="M209" s="12"/>
      <c r="N209" s="12"/>
      <c r="O209" s="12"/>
      <c r="P209" s="12"/>
    </row>
    <row r="210" spans="1:16" ht="18.600000000000001" customHeight="1" x14ac:dyDescent="0.3">
      <c r="A210" s="147"/>
      <c r="B210" s="148"/>
      <c r="C210" s="147"/>
      <c r="D210" s="149"/>
      <c r="E210" s="215">
        <f>SUBTOTAL(9,E185:E209)</f>
        <v>0</v>
      </c>
      <c r="F210" s="147"/>
      <c r="G210" s="215">
        <f t="shared" ref="G210" si="50">SUBTOTAL(9,G185:G209)</f>
        <v>0</v>
      </c>
      <c r="H210" s="147"/>
      <c r="I210" s="215">
        <f t="shared" ref="I210" si="51">SUBTOTAL(9,I185:I209)</f>
        <v>0</v>
      </c>
      <c r="J210" s="147"/>
      <c r="K210" s="147"/>
      <c r="L210" s="147"/>
      <c r="M210" s="215">
        <f t="shared" ref="M210" si="52">SUBTOTAL(9,M185:M209)</f>
        <v>0</v>
      </c>
      <c r="N210" s="147"/>
      <c r="O210" s="215">
        <f t="shared" ref="O210" si="53">SUBTOTAL(9,O185:O209)</f>
        <v>0</v>
      </c>
      <c r="P210" s="147"/>
    </row>
    <row r="211" spans="1:16" ht="18.600000000000001" customHeight="1" x14ac:dyDescent="0.3">
      <c r="A211" s="445" t="str">
        <f>A181</f>
        <v>DANH SÁCH LỚP VĂN</v>
      </c>
      <c r="B211" s="445"/>
      <c r="C211" s="445"/>
      <c r="D211" s="445"/>
      <c r="E211" s="445"/>
      <c r="F211" s="445"/>
      <c r="G211" s="445"/>
      <c r="H211" s="445"/>
      <c r="I211" s="212">
        <v>7</v>
      </c>
      <c r="J211" s="213"/>
      <c r="K211" s="213"/>
      <c r="L211" s="213"/>
      <c r="M211" s="214"/>
      <c r="N211" s="214"/>
      <c r="O211" s="214"/>
      <c r="P211" s="214"/>
    </row>
    <row r="212" spans="1:16" ht="18.600000000000001" customHeight="1" x14ac:dyDescent="0.3">
      <c r="A212" s="28"/>
      <c r="B212" s="29"/>
      <c r="C212" s="30"/>
      <c r="D212" s="36"/>
      <c r="E212" s="28"/>
      <c r="F212" s="28"/>
      <c r="G212" s="28"/>
      <c r="H212" s="28"/>
      <c r="I212" s="79"/>
      <c r="J212" s="28"/>
      <c r="K212" s="28"/>
      <c r="L212" s="28"/>
      <c r="M212" s="28"/>
      <c r="N212" s="28"/>
      <c r="O212" s="28"/>
      <c r="P212" s="28"/>
    </row>
    <row r="213" spans="1:16" ht="18.600000000000001" customHeight="1" x14ac:dyDescent="0.3">
      <c r="A213" s="435" t="s">
        <v>374</v>
      </c>
      <c r="B213" s="435" t="s">
        <v>380</v>
      </c>
      <c r="C213" s="435" t="s">
        <v>383</v>
      </c>
      <c r="D213" s="437" t="s">
        <v>384</v>
      </c>
      <c r="E213" s="438" t="s">
        <v>385</v>
      </c>
      <c r="F213" s="439"/>
      <c r="G213" s="432" t="str">
        <f>$R$1</f>
        <v>Đợt 6</v>
      </c>
      <c r="H213" s="433"/>
      <c r="I213" s="432" t="str">
        <f>$T$1</f>
        <v>Đợt 7</v>
      </c>
      <c r="J213" s="433"/>
      <c r="K213" s="432" t="str">
        <f>$V$1</f>
        <v>Đợt 8</v>
      </c>
      <c r="L213" s="433"/>
      <c r="M213" s="432" t="str">
        <f>$X$1</f>
        <v>Đợt 9</v>
      </c>
      <c r="N213" s="433"/>
      <c r="O213" s="432" t="str">
        <f>$Z$1</f>
        <v>Đợt 10</v>
      </c>
      <c r="P213" s="433"/>
    </row>
    <row r="214" spans="1:16" ht="18.600000000000001" customHeight="1" x14ac:dyDescent="0.3">
      <c r="A214" s="436"/>
      <c r="B214" s="436"/>
      <c r="C214" s="436"/>
      <c r="D214" s="436"/>
      <c r="E214" s="31" t="s">
        <v>381</v>
      </c>
      <c r="F214" s="31" t="s">
        <v>382</v>
      </c>
      <c r="G214" s="31" t="s">
        <v>381</v>
      </c>
      <c r="H214" s="31" t="s">
        <v>382</v>
      </c>
      <c r="I214" s="80" t="s">
        <v>381</v>
      </c>
      <c r="J214" s="31" t="s">
        <v>382</v>
      </c>
      <c r="K214" s="80" t="s">
        <v>381</v>
      </c>
      <c r="L214" s="31" t="s">
        <v>382</v>
      </c>
      <c r="M214" s="31" t="s">
        <v>381</v>
      </c>
      <c r="N214" s="31" t="s">
        <v>382</v>
      </c>
      <c r="O214" s="31" t="s">
        <v>381</v>
      </c>
      <c r="P214" s="31" t="s">
        <v>382</v>
      </c>
    </row>
    <row r="215" spans="1:16" ht="18.600000000000001" customHeight="1" x14ac:dyDescent="0.3">
      <c r="A215" s="32">
        <v>1</v>
      </c>
      <c r="B215" s="24" t="s">
        <v>1157</v>
      </c>
      <c r="C215" s="24" t="s">
        <v>14</v>
      </c>
      <c r="D215" s="24"/>
      <c r="E215" s="32"/>
      <c r="F215" s="34"/>
      <c r="G215" s="32"/>
      <c r="H215" s="93"/>
      <c r="I215" s="81"/>
      <c r="J215" s="34"/>
      <c r="K215" s="34"/>
      <c r="L215" s="34"/>
      <c r="M215" s="32"/>
      <c r="N215" s="34"/>
      <c r="O215" s="32"/>
      <c r="P215" s="34"/>
    </row>
    <row r="216" spans="1:16" ht="18.600000000000001" customHeight="1" x14ac:dyDescent="0.3">
      <c r="A216" s="7">
        <f t="shared" ref="A216:A239" si="54">A215+1</f>
        <v>2</v>
      </c>
      <c r="B216" s="25" t="s">
        <v>536</v>
      </c>
      <c r="C216" s="25" t="s">
        <v>12</v>
      </c>
      <c r="D216" s="25">
        <v>776582707</v>
      </c>
      <c r="E216" s="7"/>
      <c r="F216" s="7"/>
      <c r="G216" s="7"/>
      <c r="H216" s="7"/>
      <c r="I216" s="82"/>
      <c r="J216" s="7"/>
      <c r="K216" s="7"/>
      <c r="L216" s="7"/>
      <c r="M216" s="7"/>
      <c r="N216" s="7"/>
      <c r="O216" s="7"/>
      <c r="P216" s="7"/>
    </row>
    <row r="217" spans="1:16" ht="18.600000000000001" customHeight="1" x14ac:dyDescent="0.3">
      <c r="A217" s="7">
        <f t="shared" si="54"/>
        <v>3</v>
      </c>
      <c r="B217" s="24" t="s">
        <v>181</v>
      </c>
      <c r="C217" s="24" t="s">
        <v>4</v>
      </c>
      <c r="D217" s="24">
        <v>704798473</v>
      </c>
      <c r="E217" s="7"/>
      <c r="F217" s="7"/>
      <c r="G217" s="7"/>
      <c r="H217" s="7"/>
      <c r="I217" s="82"/>
      <c r="J217" s="7"/>
      <c r="K217" s="7"/>
      <c r="L217" s="7"/>
      <c r="M217" s="7"/>
      <c r="N217" s="7"/>
      <c r="O217" s="7"/>
      <c r="P217" s="7"/>
    </row>
    <row r="218" spans="1:16" ht="18.600000000000001" customHeight="1" x14ac:dyDescent="0.3">
      <c r="A218" s="7">
        <f t="shared" si="54"/>
        <v>4</v>
      </c>
      <c r="B218" s="25" t="s">
        <v>512</v>
      </c>
      <c r="C218" s="25" t="s">
        <v>619</v>
      </c>
      <c r="D218" s="163"/>
      <c r="E218" s="7"/>
      <c r="F218" s="7"/>
      <c r="G218" s="7"/>
      <c r="H218" s="7"/>
      <c r="I218" s="82"/>
      <c r="J218" s="7"/>
      <c r="K218" s="7"/>
      <c r="L218" s="7"/>
      <c r="M218" s="7"/>
      <c r="N218" s="7"/>
      <c r="O218" s="7"/>
      <c r="P218" s="7"/>
    </row>
    <row r="219" spans="1:16" ht="18.600000000000001" customHeight="1" x14ac:dyDescent="0.3">
      <c r="A219" s="6">
        <f t="shared" si="54"/>
        <v>5</v>
      </c>
      <c r="B219" s="24" t="s">
        <v>175</v>
      </c>
      <c r="C219" s="24" t="s">
        <v>36</v>
      </c>
      <c r="D219" s="24">
        <v>366494950</v>
      </c>
      <c r="E219" s="16"/>
      <c r="F219" s="16"/>
      <c r="G219" s="16"/>
      <c r="H219" s="16"/>
      <c r="I219" s="83"/>
      <c r="J219" s="16"/>
      <c r="K219" s="16"/>
      <c r="L219" s="16"/>
      <c r="M219" s="16"/>
      <c r="N219" s="16"/>
      <c r="O219" s="16"/>
      <c r="P219" s="16"/>
    </row>
    <row r="220" spans="1:16" ht="18.600000000000001" customHeight="1" x14ac:dyDescent="0.3">
      <c r="A220" s="56">
        <f t="shared" si="54"/>
        <v>6</v>
      </c>
      <c r="B220" s="25" t="s">
        <v>563</v>
      </c>
      <c r="C220" s="25" t="s">
        <v>562</v>
      </c>
      <c r="D220" s="163"/>
      <c r="E220" s="2"/>
      <c r="F220" s="2"/>
      <c r="G220" s="2"/>
      <c r="H220" s="2"/>
      <c r="I220" s="84"/>
      <c r="J220" s="2"/>
      <c r="K220" s="2"/>
      <c r="L220" s="2"/>
      <c r="M220" s="2"/>
      <c r="N220" s="2"/>
      <c r="O220" s="2"/>
      <c r="P220" s="2"/>
    </row>
    <row r="221" spans="1:16" ht="18.600000000000001" customHeight="1" x14ac:dyDescent="0.3">
      <c r="A221" s="6">
        <f t="shared" si="54"/>
        <v>7</v>
      </c>
      <c r="B221" s="26" t="s">
        <v>424</v>
      </c>
      <c r="C221" s="26" t="s">
        <v>425</v>
      </c>
      <c r="D221" s="26">
        <v>982987030</v>
      </c>
      <c r="E221" s="4"/>
      <c r="F221" s="4"/>
      <c r="G221" s="4"/>
      <c r="H221" s="4"/>
      <c r="I221" s="85"/>
      <c r="J221" s="4"/>
      <c r="K221" s="4"/>
      <c r="L221" s="4"/>
      <c r="M221" s="4"/>
      <c r="N221" s="4"/>
      <c r="O221" s="4"/>
      <c r="P221" s="4"/>
    </row>
    <row r="222" spans="1:16" ht="18.600000000000001" customHeight="1" x14ac:dyDescent="0.3">
      <c r="A222" s="6">
        <f t="shared" si="54"/>
        <v>8</v>
      </c>
      <c r="B222" s="26" t="s">
        <v>450</v>
      </c>
      <c r="C222" s="26" t="s">
        <v>68</v>
      </c>
      <c r="D222" s="26"/>
      <c r="E222" s="4"/>
      <c r="F222" s="4"/>
      <c r="G222" s="4"/>
      <c r="H222" s="4"/>
      <c r="I222" s="85"/>
      <c r="J222" s="4"/>
      <c r="K222" s="4"/>
      <c r="L222" s="4"/>
      <c r="M222" s="4"/>
      <c r="N222" s="4"/>
      <c r="O222" s="4"/>
      <c r="P222" s="4"/>
    </row>
    <row r="223" spans="1:16" ht="18.600000000000001" customHeight="1" x14ac:dyDescent="0.3">
      <c r="A223" s="6">
        <f t="shared" si="54"/>
        <v>9</v>
      </c>
      <c r="B223" s="24" t="s">
        <v>833</v>
      </c>
      <c r="C223" s="24" t="s">
        <v>23</v>
      </c>
      <c r="D223" s="25"/>
      <c r="E223" s="4"/>
      <c r="F223" s="4"/>
      <c r="G223" s="4"/>
      <c r="H223" s="4"/>
      <c r="I223" s="85"/>
      <c r="J223" s="4"/>
      <c r="K223" s="4"/>
      <c r="L223" s="4"/>
      <c r="M223" s="4"/>
      <c r="N223" s="4"/>
      <c r="O223" s="4"/>
      <c r="P223" s="4"/>
    </row>
    <row r="224" spans="1:16" ht="18.600000000000001" customHeight="1" x14ac:dyDescent="0.3">
      <c r="A224" s="10">
        <f t="shared" si="54"/>
        <v>10</v>
      </c>
      <c r="B224" s="26" t="s">
        <v>429</v>
      </c>
      <c r="C224" s="26" t="s">
        <v>430</v>
      </c>
      <c r="D224" s="26"/>
      <c r="E224" s="12"/>
      <c r="F224" s="12"/>
      <c r="G224" s="12"/>
      <c r="H224" s="12"/>
      <c r="I224" s="86"/>
      <c r="J224" s="12"/>
      <c r="K224" s="12"/>
      <c r="L224" s="12"/>
      <c r="M224" s="12"/>
      <c r="N224" s="12"/>
      <c r="O224" s="12"/>
      <c r="P224" s="12"/>
    </row>
    <row r="225" spans="1:16" ht="18.600000000000001" customHeight="1" x14ac:dyDescent="0.3">
      <c r="A225" s="35">
        <f t="shared" si="54"/>
        <v>11</v>
      </c>
      <c r="B225" s="24" t="s">
        <v>1113</v>
      </c>
      <c r="C225" s="24" t="s">
        <v>73</v>
      </c>
      <c r="D225" s="25"/>
      <c r="E225" s="14"/>
      <c r="F225" s="14"/>
      <c r="G225" s="14"/>
      <c r="H225" s="14"/>
      <c r="I225" s="87"/>
      <c r="J225" s="14"/>
      <c r="K225" s="14"/>
      <c r="L225" s="14"/>
      <c r="M225" s="14"/>
      <c r="N225" s="14"/>
      <c r="O225" s="14"/>
      <c r="P225" s="14"/>
    </row>
    <row r="226" spans="1:16" ht="18.600000000000001" customHeight="1" x14ac:dyDescent="0.3">
      <c r="A226" s="7">
        <f t="shared" si="54"/>
        <v>12</v>
      </c>
      <c r="B226" s="24" t="s">
        <v>173</v>
      </c>
      <c r="C226" s="24" t="s">
        <v>34</v>
      </c>
      <c r="D226" s="26"/>
      <c r="E226" s="4"/>
      <c r="F226" s="4"/>
      <c r="G226" s="4"/>
      <c r="H226" s="4"/>
      <c r="I226" s="85"/>
      <c r="J226" s="4"/>
      <c r="K226" s="4"/>
      <c r="L226" s="4"/>
      <c r="M226" s="4"/>
      <c r="N226" s="4"/>
      <c r="O226" s="4"/>
      <c r="P226" s="4"/>
    </row>
    <row r="227" spans="1:16" ht="18.600000000000001" customHeight="1" x14ac:dyDescent="0.3">
      <c r="A227" s="7">
        <f t="shared" si="54"/>
        <v>13</v>
      </c>
      <c r="B227" s="26" t="s">
        <v>440</v>
      </c>
      <c r="C227" s="26" t="s">
        <v>34</v>
      </c>
      <c r="D227" s="26"/>
      <c r="E227" s="4"/>
      <c r="F227" s="4"/>
      <c r="G227" s="4"/>
      <c r="H227" s="4"/>
      <c r="I227" s="85"/>
      <c r="J227" s="4"/>
      <c r="K227" s="4"/>
      <c r="L227" s="4"/>
      <c r="M227" s="4"/>
      <c r="N227" s="4"/>
      <c r="O227" s="4"/>
      <c r="P227" s="4"/>
    </row>
    <row r="228" spans="1:16" ht="18.600000000000001" customHeight="1" x14ac:dyDescent="0.3">
      <c r="A228" s="7">
        <f t="shared" si="54"/>
        <v>14</v>
      </c>
      <c r="B228" s="26" t="s">
        <v>539</v>
      </c>
      <c r="C228" s="26" t="s">
        <v>26</v>
      </c>
      <c r="D228" s="26">
        <v>845802625</v>
      </c>
      <c r="E228" s="4"/>
      <c r="F228" s="4"/>
      <c r="G228" s="4"/>
      <c r="H228" s="4"/>
      <c r="I228" s="85"/>
      <c r="J228" s="4"/>
      <c r="K228" s="4"/>
      <c r="L228" s="4"/>
      <c r="M228" s="4"/>
      <c r="N228" s="4"/>
      <c r="O228" s="4"/>
      <c r="P228" s="4"/>
    </row>
    <row r="229" spans="1:16" ht="18.600000000000001" customHeight="1" x14ac:dyDescent="0.3">
      <c r="A229" s="6">
        <f t="shared" si="54"/>
        <v>15</v>
      </c>
      <c r="B229" s="26" t="s">
        <v>447</v>
      </c>
      <c r="C229" s="26" t="s">
        <v>92</v>
      </c>
      <c r="D229" s="26">
        <v>968385969</v>
      </c>
      <c r="E229" s="16"/>
      <c r="F229" s="16"/>
      <c r="G229" s="16"/>
      <c r="H229" s="16"/>
      <c r="I229" s="83"/>
      <c r="J229" s="16"/>
      <c r="K229" s="16"/>
      <c r="L229" s="16"/>
      <c r="M229" s="16"/>
      <c r="N229" s="16"/>
      <c r="O229" s="16"/>
      <c r="P229" s="16"/>
    </row>
    <row r="230" spans="1:16" ht="18.600000000000001" customHeight="1" x14ac:dyDescent="0.3">
      <c r="A230" s="32">
        <f t="shared" si="54"/>
        <v>16</v>
      </c>
      <c r="B230" s="26" t="s">
        <v>172</v>
      </c>
      <c r="C230" s="26" t="s">
        <v>92</v>
      </c>
      <c r="D230" s="26">
        <v>939960241</v>
      </c>
      <c r="E230" s="2"/>
      <c r="F230" s="2"/>
      <c r="G230" s="2"/>
      <c r="H230" s="2"/>
      <c r="I230" s="84"/>
      <c r="J230" s="2"/>
      <c r="K230" s="2"/>
      <c r="L230" s="2"/>
      <c r="M230" s="2"/>
      <c r="N230" s="2"/>
      <c r="O230" s="2"/>
      <c r="P230" s="2"/>
    </row>
    <row r="231" spans="1:16" ht="18.600000000000001" customHeight="1" x14ac:dyDescent="0.3">
      <c r="A231" s="7">
        <f t="shared" si="54"/>
        <v>17</v>
      </c>
      <c r="B231" s="26" t="s">
        <v>423</v>
      </c>
      <c r="C231" s="26" t="s">
        <v>55</v>
      </c>
      <c r="D231" s="26"/>
      <c r="E231" s="4"/>
      <c r="F231" s="4"/>
      <c r="G231" s="4"/>
      <c r="H231" s="4"/>
      <c r="I231" s="85"/>
      <c r="J231" s="4"/>
      <c r="K231" s="4"/>
      <c r="L231" s="4"/>
      <c r="M231" s="4"/>
      <c r="N231" s="4"/>
      <c r="O231" s="4"/>
      <c r="P231" s="4"/>
    </row>
    <row r="232" spans="1:16" ht="18.600000000000001" customHeight="1" x14ac:dyDescent="0.3">
      <c r="A232" s="7">
        <f t="shared" si="54"/>
        <v>18</v>
      </c>
      <c r="B232" s="24" t="s">
        <v>180</v>
      </c>
      <c r="C232" s="24" t="s">
        <v>40</v>
      </c>
      <c r="D232" s="163"/>
      <c r="E232" s="4"/>
      <c r="F232" s="4"/>
      <c r="G232" s="4"/>
      <c r="H232" s="4"/>
      <c r="I232" s="85"/>
      <c r="J232" s="4"/>
      <c r="K232" s="4"/>
      <c r="L232" s="4"/>
      <c r="M232" s="4"/>
      <c r="N232" s="4"/>
      <c r="O232" s="4"/>
      <c r="P232" s="4"/>
    </row>
    <row r="233" spans="1:16" ht="18.600000000000001" customHeight="1" x14ac:dyDescent="0.3">
      <c r="A233" s="7">
        <f t="shared" si="54"/>
        <v>19</v>
      </c>
      <c r="B233" s="26" t="s">
        <v>534</v>
      </c>
      <c r="C233" s="26" t="s">
        <v>47</v>
      </c>
      <c r="D233" s="26"/>
      <c r="E233" s="4"/>
      <c r="F233" s="4"/>
      <c r="G233" s="4"/>
      <c r="H233" s="4"/>
      <c r="I233" s="85"/>
      <c r="J233" s="4"/>
      <c r="K233" s="4"/>
      <c r="L233" s="4"/>
      <c r="M233" s="4"/>
      <c r="N233" s="4"/>
      <c r="O233" s="4"/>
      <c r="P233" s="4"/>
    </row>
    <row r="234" spans="1:16" ht="18.600000000000001" customHeight="1" x14ac:dyDescent="0.3">
      <c r="A234" s="10">
        <f t="shared" si="54"/>
        <v>20</v>
      </c>
      <c r="B234" s="24" t="s">
        <v>658</v>
      </c>
      <c r="C234" s="24" t="s">
        <v>16</v>
      </c>
      <c r="D234" s="163"/>
      <c r="E234" s="12"/>
      <c r="F234" s="12"/>
      <c r="G234" s="12"/>
      <c r="H234" s="12"/>
      <c r="I234" s="86"/>
      <c r="J234" s="12"/>
      <c r="K234" s="12"/>
      <c r="L234" s="12"/>
      <c r="M234" s="12"/>
      <c r="N234" s="12"/>
      <c r="O234" s="12"/>
      <c r="P234" s="12"/>
    </row>
    <row r="235" spans="1:16" ht="18.600000000000001" customHeight="1" x14ac:dyDescent="0.3">
      <c r="A235" s="35">
        <f t="shared" si="54"/>
        <v>21</v>
      </c>
      <c r="B235" s="26" t="s">
        <v>436</v>
      </c>
      <c r="C235" s="26" t="s">
        <v>94</v>
      </c>
      <c r="D235" s="26"/>
      <c r="E235" s="14"/>
      <c r="F235" s="14"/>
      <c r="G235" s="14"/>
      <c r="H235" s="14"/>
      <c r="I235" s="87"/>
      <c r="J235" s="14"/>
      <c r="K235" s="14"/>
      <c r="L235" s="14"/>
      <c r="M235" s="14"/>
      <c r="N235" s="14"/>
      <c r="O235" s="14"/>
      <c r="P235" s="14"/>
    </row>
    <row r="236" spans="1:16" ht="18.600000000000001" customHeight="1" x14ac:dyDescent="0.3">
      <c r="A236" s="7">
        <f t="shared" si="54"/>
        <v>22</v>
      </c>
      <c r="B236" s="3"/>
      <c r="C236" s="4"/>
      <c r="D236" s="8"/>
      <c r="E236" s="4"/>
      <c r="F236" s="4"/>
      <c r="G236" s="4"/>
      <c r="H236" s="4"/>
      <c r="I236" s="85"/>
      <c r="J236" s="4"/>
      <c r="K236" s="4"/>
      <c r="L236" s="4"/>
      <c r="M236" s="4"/>
      <c r="N236" s="4"/>
      <c r="O236" s="4"/>
      <c r="P236" s="4"/>
    </row>
    <row r="237" spans="1:16" ht="18.600000000000001" customHeight="1" x14ac:dyDescent="0.3">
      <c r="A237" s="35">
        <f t="shared" si="54"/>
        <v>23</v>
      </c>
      <c r="B237" s="3"/>
      <c r="C237" s="4"/>
      <c r="D237" s="8"/>
      <c r="E237" s="4"/>
      <c r="F237" s="4"/>
      <c r="G237" s="4"/>
      <c r="H237" s="4"/>
      <c r="I237" s="85"/>
      <c r="J237" s="4"/>
      <c r="K237" s="4"/>
      <c r="L237" s="4"/>
      <c r="M237" s="4"/>
      <c r="N237" s="4"/>
      <c r="O237" s="4"/>
      <c r="P237" s="4"/>
    </row>
    <row r="238" spans="1:16" ht="18.600000000000001" customHeight="1" x14ac:dyDescent="0.3">
      <c r="A238" s="7">
        <f t="shared" si="54"/>
        <v>24</v>
      </c>
      <c r="B238" s="3"/>
      <c r="C238" s="4"/>
      <c r="D238" s="8"/>
      <c r="E238" s="4"/>
      <c r="F238" s="4"/>
      <c r="G238" s="4"/>
      <c r="H238" s="4"/>
      <c r="I238" s="85"/>
      <c r="J238" s="4"/>
      <c r="K238" s="4"/>
      <c r="L238" s="4"/>
      <c r="M238" s="4"/>
      <c r="N238" s="4"/>
      <c r="O238" s="4"/>
      <c r="P238" s="4"/>
    </row>
    <row r="239" spans="1:16" ht="18.600000000000001" customHeight="1" x14ac:dyDescent="0.3">
      <c r="A239" s="35">
        <f t="shared" si="54"/>
        <v>25</v>
      </c>
      <c r="B239" s="11"/>
      <c r="C239" s="12"/>
      <c r="D239" s="9"/>
      <c r="E239" s="12"/>
      <c r="F239" s="12"/>
      <c r="G239" s="12"/>
      <c r="H239" s="12"/>
      <c r="I239" s="86"/>
      <c r="J239" s="12"/>
      <c r="K239" s="12"/>
      <c r="L239" s="12"/>
      <c r="M239" s="12"/>
      <c r="N239" s="12"/>
      <c r="O239" s="12"/>
      <c r="P239" s="12"/>
    </row>
    <row r="240" spans="1:16" ht="18.600000000000001" customHeight="1" x14ac:dyDescent="0.3">
      <c r="A240" s="147"/>
      <c r="B240" s="148"/>
      <c r="C240" s="147"/>
      <c r="D240" s="149"/>
      <c r="E240" s="215">
        <f>SUBTOTAL(9,E215:E239)</f>
        <v>0</v>
      </c>
      <c r="F240" s="147"/>
      <c r="G240" s="215">
        <f t="shared" ref="G240" si="55">SUBTOTAL(9,G215:G239)</f>
        <v>0</v>
      </c>
      <c r="H240" s="147"/>
      <c r="I240" s="215">
        <f t="shared" ref="I240" si="56">SUBTOTAL(9,I215:I239)</f>
        <v>0</v>
      </c>
      <c r="J240" s="147"/>
      <c r="K240" s="147"/>
      <c r="L240" s="147"/>
      <c r="M240" s="215">
        <f t="shared" ref="M240" si="57">SUBTOTAL(9,M215:M239)</f>
        <v>0</v>
      </c>
      <c r="N240" s="147"/>
      <c r="O240" s="215">
        <f t="shared" ref="O240" si="58">SUBTOTAL(9,O215:O239)</f>
        <v>0</v>
      </c>
      <c r="P240" s="147"/>
    </row>
    <row r="241" spans="1:16" ht="18.600000000000001" customHeight="1" x14ac:dyDescent="0.3">
      <c r="A241" s="445" t="str">
        <f>A211</f>
        <v>DANH SÁCH LỚP VĂN</v>
      </c>
      <c r="B241" s="445"/>
      <c r="C241" s="445"/>
      <c r="D241" s="445"/>
      <c r="E241" s="445"/>
      <c r="F241" s="445"/>
      <c r="G241" s="445"/>
      <c r="H241" s="445"/>
      <c r="I241" s="212">
        <v>8</v>
      </c>
      <c r="J241" s="213"/>
      <c r="K241" s="213"/>
      <c r="L241" s="213"/>
      <c r="M241" s="214"/>
      <c r="N241" s="214"/>
      <c r="O241" s="214"/>
      <c r="P241" s="214"/>
    </row>
    <row r="242" spans="1:16" ht="18.600000000000001" customHeight="1" x14ac:dyDescent="0.3">
      <c r="A242" s="28"/>
      <c r="B242" s="29"/>
      <c r="C242" s="30"/>
      <c r="D242" s="36"/>
      <c r="E242" s="28"/>
      <c r="F242" s="28"/>
      <c r="G242" s="28"/>
      <c r="H242" s="28"/>
      <c r="I242" s="79"/>
      <c r="J242" s="28"/>
      <c r="K242" s="28"/>
      <c r="L242" s="28"/>
      <c r="M242" s="28"/>
      <c r="N242" s="28"/>
      <c r="O242" s="28"/>
      <c r="P242" s="28"/>
    </row>
    <row r="243" spans="1:16" ht="18.600000000000001" customHeight="1" x14ac:dyDescent="0.3">
      <c r="A243" s="435" t="s">
        <v>374</v>
      </c>
      <c r="B243" s="435" t="s">
        <v>380</v>
      </c>
      <c r="C243" s="435" t="s">
        <v>383</v>
      </c>
      <c r="D243" s="437" t="s">
        <v>384</v>
      </c>
      <c r="E243" s="438" t="s">
        <v>385</v>
      </c>
      <c r="F243" s="439"/>
      <c r="G243" s="432" t="str">
        <f>$R$1</f>
        <v>Đợt 6</v>
      </c>
      <c r="H243" s="433"/>
      <c r="I243" s="432" t="str">
        <f>$T$1</f>
        <v>Đợt 7</v>
      </c>
      <c r="J243" s="433"/>
      <c r="K243" s="432" t="str">
        <f>$V$1</f>
        <v>Đợt 8</v>
      </c>
      <c r="L243" s="433"/>
      <c r="M243" s="432" t="str">
        <f>$X$1</f>
        <v>Đợt 9</v>
      </c>
      <c r="N243" s="433"/>
      <c r="O243" s="432" t="str">
        <f>$Z$1</f>
        <v>Đợt 10</v>
      </c>
      <c r="P243" s="433"/>
    </row>
    <row r="244" spans="1:16" ht="18.600000000000001" customHeight="1" x14ac:dyDescent="0.3">
      <c r="A244" s="436"/>
      <c r="B244" s="436"/>
      <c r="C244" s="436"/>
      <c r="D244" s="436"/>
      <c r="E244" s="31" t="s">
        <v>381</v>
      </c>
      <c r="F244" s="31" t="s">
        <v>382</v>
      </c>
      <c r="G244" s="31" t="s">
        <v>381</v>
      </c>
      <c r="H244" s="31" t="s">
        <v>382</v>
      </c>
      <c r="I244" s="80" t="s">
        <v>381</v>
      </c>
      <c r="J244" s="31" t="s">
        <v>382</v>
      </c>
      <c r="K244" s="80" t="s">
        <v>381</v>
      </c>
      <c r="L244" s="31" t="s">
        <v>382</v>
      </c>
      <c r="M244" s="31" t="s">
        <v>381</v>
      </c>
      <c r="N244" s="31" t="s">
        <v>382</v>
      </c>
      <c r="O244" s="31" t="s">
        <v>381</v>
      </c>
      <c r="P244" s="31" t="s">
        <v>382</v>
      </c>
    </row>
    <row r="245" spans="1:16" ht="18.600000000000001" customHeight="1" x14ac:dyDescent="0.3">
      <c r="A245" s="32">
        <v>1</v>
      </c>
      <c r="B245" s="24" t="s">
        <v>159</v>
      </c>
      <c r="C245" s="24" t="s">
        <v>76</v>
      </c>
      <c r="D245" s="163"/>
      <c r="E245" s="32"/>
      <c r="F245" s="34"/>
      <c r="G245" s="32"/>
      <c r="H245" s="93"/>
      <c r="I245" s="81"/>
      <c r="J245" s="34"/>
      <c r="K245" s="34"/>
      <c r="L245" s="34"/>
      <c r="M245" s="32"/>
      <c r="N245" s="34"/>
      <c r="O245" s="32"/>
      <c r="P245" s="34"/>
    </row>
    <row r="246" spans="1:16" ht="18.600000000000001" customHeight="1" x14ac:dyDescent="0.3">
      <c r="A246" s="7">
        <f t="shared" ref="A246:A269" si="59">A245+1</f>
        <v>2</v>
      </c>
      <c r="B246" s="24" t="s">
        <v>219</v>
      </c>
      <c r="C246" s="24" t="s">
        <v>12</v>
      </c>
      <c r="D246" s="163"/>
      <c r="E246" s="7"/>
      <c r="F246" s="7"/>
      <c r="G246" s="7"/>
      <c r="H246" s="7"/>
      <c r="I246" s="82"/>
      <c r="J246" s="7"/>
      <c r="K246" s="7"/>
      <c r="L246" s="7"/>
      <c r="M246" s="7"/>
      <c r="N246" s="7"/>
      <c r="O246" s="7"/>
      <c r="P246" s="7"/>
    </row>
    <row r="247" spans="1:16" ht="18.600000000000001" customHeight="1" x14ac:dyDescent="0.3">
      <c r="A247" s="7">
        <f t="shared" si="59"/>
        <v>3</v>
      </c>
      <c r="B247" s="24" t="s">
        <v>484</v>
      </c>
      <c r="C247" s="24" t="s">
        <v>48</v>
      </c>
      <c r="D247" s="163"/>
      <c r="E247" s="7"/>
      <c r="F247" s="7"/>
      <c r="G247" s="7"/>
      <c r="H247" s="7"/>
      <c r="I247" s="82"/>
      <c r="J247" s="7"/>
      <c r="K247" s="7"/>
      <c r="L247" s="7"/>
      <c r="M247" s="7"/>
      <c r="N247" s="7"/>
      <c r="O247" s="7"/>
      <c r="P247" s="7"/>
    </row>
    <row r="248" spans="1:16" ht="18.600000000000001" customHeight="1" x14ac:dyDescent="0.3">
      <c r="A248" s="7">
        <f t="shared" si="59"/>
        <v>4</v>
      </c>
      <c r="B248" s="25" t="s">
        <v>210</v>
      </c>
      <c r="C248" s="25" t="s">
        <v>63</v>
      </c>
      <c r="D248" s="24">
        <v>914112811</v>
      </c>
      <c r="E248" s="7"/>
      <c r="F248" s="7"/>
      <c r="G248" s="7"/>
      <c r="H248" s="7"/>
      <c r="I248" s="82"/>
      <c r="J248" s="7"/>
      <c r="K248" s="7"/>
      <c r="L248" s="7"/>
      <c r="M248" s="7"/>
      <c r="N248" s="7"/>
      <c r="O248" s="7"/>
      <c r="P248" s="7"/>
    </row>
    <row r="249" spans="1:16" ht="18.600000000000001" customHeight="1" x14ac:dyDescent="0.3">
      <c r="A249" s="6">
        <f t="shared" si="59"/>
        <v>5</v>
      </c>
      <c r="B249" s="25" t="s">
        <v>220</v>
      </c>
      <c r="C249" s="25" t="s">
        <v>68</v>
      </c>
      <c r="D249" s="163"/>
      <c r="E249" s="16"/>
      <c r="F249" s="16"/>
      <c r="G249" s="16"/>
      <c r="H249" s="16"/>
      <c r="I249" s="83"/>
      <c r="J249" s="16"/>
      <c r="K249" s="16"/>
      <c r="L249" s="16"/>
      <c r="M249" s="16"/>
      <c r="N249" s="16"/>
      <c r="O249" s="16"/>
      <c r="P249" s="16"/>
    </row>
    <row r="250" spans="1:16" ht="18.600000000000001" customHeight="1" x14ac:dyDescent="0.3">
      <c r="A250" s="56">
        <f t="shared" si="59"/>
        <v>6</v>
      </c>
      <c r="B250" s="24" t="s">
        <v>999</v>
      </c>
      <c r="C250" s="24" t="s">
        <v>113</v>
      </c>
      <c r="D250" s="163"/>
      <c r="E250" s="2"/>
      <c r="F250" s="2"/>
      <c r="G250" s="2"/>
      <c r="H250" s="2"/>
      <c r="I250" s="84"/>
      <c r="J250" s="2"/>
      <c r="K250" s="2"/>
      <c r="L250" s="2"/>
      <c r="M250" s="2"/>
      <c r="N250" s="2"/>
      <c r="O250" s="2"/>
      <c r="P250" s="2"/>
    </row>
    <row r="251" spans="1:16" ht="18.600000000000001" customHeight="1" x14ac:dyDescent="0.3">
      <c r="A251" s="6">
        <f t="shared" si="59"/>
        <v>7</v>
      </c>
      <c r="B251" s="24" t="s">
        <v>193</v>
      </c>
      <c r="C251" s="24" t="s">
        <v>34</v>
      </c>
      <c r="D251" s="24"/>
      <c r="E251" s="4"/>
      <c r="F251" s="4"/>
      <c r="G251" s="4"/>
      <c r="H251" s="4"/>
      <c r="I251" s="85"/>
      <c r="J251" s="4"/>
      <c r="K251" s="4"/>
      <c r="L251" s="4"/>
      <c r="M251" s="4"/>
      <c r="N251" s="4"/>
      <c r="O251" s="4"/>
      <c r="P251" s="4"/>
    </row>
    <row r="252" spans="1:16" ht="18.600000000000001" customHeight="1" x14ac:dyDescent="0.3">
      <c r="A252" s="6">
        <f t="shared" si="59"/>
        <v>8</v>
      </c>
      <c r="B252" s="24" t="s">
        <v>189</v>
      </c>
      <c r="C252" s="24" t="s">
        <v>46</v>
      </c>
      <c r="D252" s="163"/>
      <c r="E252" s="4"/>
      <c r="F252" s="4"/>
      <c r="G252" s="4"/>
      <c r="H252" s="4"/>
      <c r="I252" s="85"/>
      <c r="J252" s="4"/>
      <c r="K252" s="4"/>
      <c r="L252" s="4"/>
      <c r="M252" s="4"/>
      <c r="N252" s="4"/>
      <c r="O252" s="4"/>
      <c r="P252" s="4"/>
    </row>
    <row r="253" spans="1:16" ht="18.600000000000001" customHeight="1" x14ac:dyDescent="0.3">
      <c r="A253" s="6">
        <f t="shared" si="59"/>
        <v>9</v>
      </c>
      <c r="B253" s="25" t="s">
        <v>208</v>
      </c>
      <c r="C253" s="25" t="s">
        <v>61</v>
      </c>
      <c r="D253" s="24"/>
      <c r="E253" s="4"/>
      <c r="F253" s="4"/>
      <c r="G253" s="4"/>
      <c r="H253" s="4"/>
      <c r="I253" s="85"/>
      <c r="J253" s="4"/>
      <c r="K253" s="4"/>
      <c r="L253" s="4"/>
      <c r="M253" s="4"/>
      <c r="N253" s="4"/>
      <c r="O253" s="4"/>
      <c r="P253" s="4"/>
    </row>
    <row r="254" spans="1:16" ht="18.600000000000001" customHeight="1" x14ac:dyDescent="0.3">
      <c r="A254" s="10">
        <f t="shared" si="59"/>
        <v>10</v>
      </c>
      <c r="B254" s="24" t="s">
        <v>185</v>
      </c>
      <c r="C254" s="24" t="s">
        <v>43</v>
      </c>
      <c r="D254" s="163"/>
      <c r="E254" s="12"/>
      <c r="F254" s="12"/>
      <c r="G254" s="12"/>
      <c r="H254" s="12"/>
      <c r="I254" s="86"/>
      <c r="J254" s="12"/>
      <c r="K254" s="12"/>
      <c r="L254" s="12"/>
      <c r="M254" s="12"/>
      <c r="N254" s="12"/>
      <c r="O254" s="12"/>
      <c r="P254" s="12"/>
    </row>
    <row r="255" spans="1:16" ht="18.600000000000001" customHeight="1" x14ac:dyDescent="0.3">
      <c r="A255" s="35">
        <f t="shared" si="59"/>
        <v>11</v>
      </c>
      <c r="B255" s="26" t="s">
        <v>291</v>
      </c>
      <c r="C255" s="26" t="s">
        <v>91</v>
      </c>
      <c r="D255" s="26"/>
      <c r="E255" s="14"/>
      <c r="F255" s="14"/>
      <c r="G255" s="14"/>
      <c r="H255" s="14"/>
      <c r="I255" s="87"/>
      <c r="J255" s="14"/>
      <c r="K255" s="14"/>
      <c r="L255" s="14"/>
      <c r="M255" s="14"/>
      <c r="N255" s="14"/>
      <c r="O255" s="14"/>
      <c r="P255" s="14"/>
    </row>
    <row r="256" spans="1:16" ht="18.600000000000001" customHeight="1" x14ac:dyDescent="0.3">
      <c r="A256" s="7">
        <f t="shared" si="59"/>
        <v>12</v>
      </c>
      <c r="B256" s="24" t="s">
        <v>186</v>
      </c>
      <c r="C256" s="24" t="s">
        <v>5</v>
      </c>
      <c r="D256" s="163"/>
      <c r="E256" s="4"/>
      <c r="F256" s="4"/>
      <c r="G256" s="4"/>
      <c r="H256" s="4"/>
      <c r="I256" s="85"/>
      <c r="J256" s="4"/>
      <c r="K256" s="4"/>
      <c r="L256" s="4"/>
      <c r="M256" s="4"/>
      <c r="N256" s="4"/>
      <c r="O256" s="4"/>
      <c r="P256" s="4"/>
    </row>
    <row r="257" spans="1:16" ht="18.600000000000001" customHeight="1" x14ac:dyDescent="0.3">
      <c r="A257" s="7">
        <f t="shared" si="59"/>
        <v>13</v>
      </c>
      <c r="B257" s="24" t="s">
        <v>199</v>
      </c>
      <c r="C257" s="24" t="s">
        <v>11</v>
      </c>
      <c r="D257" s="163"/>
      <c r="E257" s="4"/>
      <c r="F257" s="4"/>
      <c r="G257" s="4"/>
      <c r="H257" s="4"/>
      <c r="I257" s="85"/>
      <c r="J257" s="4"/>
      <c r="K257" s="4"/>
      <c r="L257" s="4"/>
      <c r="M257" s="4"/>
      <c r="N257" s="4"/>
      <c r="O257" s="4"/>
      <c r="P257" s="4"/>
    </row>
    <row r="258" spans="1:16" ht="18.600000000000001" customHeight="1" x14ac:dyDescent="0.3">
      <c r="A258" s="7">
        <f t="shared" si="59"/>
        <v>14</v>
      </c>
      <c r="B258" s="26" t="s">
        <v>171</v>
      </c>
      <c r="C258" s="26" t="s">
        <v>80</v>
      </c>
      <c r="D258" s="26"/>
      <c r="E258" s="4"/>
      <c r="F258" s="4"/>
      <c r="G258" s="4"/>
      <c r="H258" s="4"/>
      <c r="I258" s="85"/>
      <c r="J258" s="4"/>
      <c r="K258" s="4"/>
      <c r="L258" s="4"/>
      <c r="M258" s="4"/>
      <c r="N258" s="4"/>
      <c r="O258" s="4"/>
      <c r="P258" s="4"/>
    </row>
    <row r="259" spans="1:16" ht="18.600000000000001" customHeight="1" x14ac:dyDescent="0.3">
      <c r="A259" s="6">
        <f t="shared" si="59"/>
        <v>15</v>
      </c>
      <c r="B259" s="24" t="s">
        <v>514</v>
      </c>
      <c r="C259" s="24" t="s">
        <v>47</v>
      </c>
      <c r="D259" s="163"/>
      <c r="E259" s="16"/>
      <c r="F259" s="16"/>
      <c r="G259" s="16"/>
      <c r="H259" s="16"/>
      <c r="I259" s="83"/>
      <c r="J259" s="16"/>
      <c r="K259" s="16"/>
      <c r="L259" s="16"/>
      <c r="M259" s="16"/>
      <c r="N259" s="16"/>
      <c r="O259" s="16"/>
      <c r="P259" s="16"/>
    </row>
    <row r="260" spans="1:16" ht="18.600000000000001" customHeight="1" x14ac:dyDescent="0.3">
      <c r="A260" s="32">
        <f t="shared" si="59"/>
        <v>16</v>
      </c>
      <c r="B260" s="25" t="s">
        <v>593</v>
      </c>
      <c r="C260" s="25" t="s">
        <v>74</v>
      </c>
      <c r="D260" s="163"/>
      <c r="E260" s="2"/>
      <c r="F260" s="2"/>
      <c r="G260" s="2"/>
      <c r="H260" s="2"/>
      <c r="I260" s="84"/>
      <c r="J260" s="2"/>
      <c r="K260" s="2"/>
      <c r="L260" s="2"/>
      <c r="M260" s="2"/>
      <c r="N260" s="2"/>
      <c r="O260" s="2"/>
      <c r="P260" s="2"/>
    </row>
    <row r="261" spans="1:16" ht="18.600000000000001" customHeight="1" x14ac:dyDescent="0.3">
      <c r="A261" s="7">
        <f t="shared" si="59"/>
        <v>17</v>
      </c>
      <c r="B261" s="24" t="s">
        <v>362</v>
      </c>
      <c r="C261" s="24" t="s">
        <v>54</v>
      </c>
      <c r="D261" s="163"/>
      <c r="E261" s="4"/>
      <c r="F261" s="4"/>
      <c r="G261" s="4"/>
      <c r="H261" s="4"/>
      <c r="I261" s="85"/>
      <c r="J261" s="4"/>
      <c r="K261" s="4"/>
      <c r="L261" s="4"/>
      <c r="M261" s="4"/>
      <c r="N261" s="4"/>
      <c r="O261" s="4"/>
      <c r="P261" s="4"/>
    </row>
    <row r="262" spans="1:16" ht="18.600000000000001" customHeight="1" x14ac:dyDescent="0.3">
      <c r="A262" s="7">
        <f t="shared" si="59"/>
        <v>18</v>
      </c>
      <c r="B262" s="25" t="s">
        <v>1120</v>
      </c>
      <c r="C262" s="25" t="s">
        <v>659</v>
      </c>
      <c r="D262" s="163"/>
      <c r="E262" s="4"/>
      <c r="F262" s="4"/>
      <c r="G262" s="4"/>
      <c r="H262" s="4"/>
      <c r="I262" s="85"/>
      <c r="J262" s="4"/>
      <c r="K262" s="4"/>
      <c r="L262" s="4"/>
      <c r="M262" s="4"/>
      <c r="N262" s="4"/>
      <c r="O262" s="4"/>
      <c r="P262" s="4"/>
    </row>
    <row r="263" spans="1:16" ht="18.600000000000001" customHeight="1" x14ac:dyDescent="0.3">
      <c r="A263" s="7">
        <f t="shared" si="59"/>
        <v>19</v>
      </c>
      <c r="B263" s="24" t="s">
        <v>221</v>
      </c>
      <c r="C263" s="24" t="s">
        <v>69</v>
      </c>
      <c r="D263" s="163"/>
      <c r="E263" s="4"/>
      <c r="F263" s="4"/>
      <c r="G263" s="4"/>
      <c r="H263" s="4"/>
      <c r="I263" s="85"/>
      <c r="J263" s="4"/>
      <c r="K263" s="4"/>
      <c r="L263" s="4"/>
      <c r="M263" s="4"/>
      <c r="N263" s="4"/>
      <c r="O263" s="4"/>
      <c r="P263" s="4"/>
    </row>
    <row r="264" spans="1:16" ht="18.600000000000001" customHeight="1" x14ac:dyDescent="0.3">
      <c r="A264" s="10">
        <f t="shared" si="59"/>
        <v>20</v>
      </c>
      <c r="B264" s="24" t="s">
        <v>496</v>
      </c>
      <c r="C264" s="24" t="s">
        <v>79</v>
      </c>
      <c r="D264" s="163"/>
      <c r="E264" s="12"/>
      <c r="F264" s="12"/>
      <c r="G264" s="12"/>
      <c r="H264" s="12"/>
      <c r="I264" s="86"/>
      <c r="J264" s="12"/>
      <c r="K264" s="12"/>
      <c r="L264" s="12"/>
      <c r="M264" s="12"/>
      <c r="N264" s="12"/>
      <c r="O264" s="12"/>
      <c r="P264" s="12"/>
    </row>
    <row r="265" spans="1:16" ht="18.600000000000001" customHeight="1" x14ac:dyDescent="0.3">
      <c r="A265" s="35">
        <f t="shared" si="59"/>
        <v>21</v>
      </c>
      <c r="B265" s="13"/>
      <c r="C265" s="14"/>
      <c r="D265" s="37"/>
      <c r="E265" s="14"/>
      <c r="F265" s="14"/>
      <c r="G265" s="14"/>
      <c r="H265" s="14"/>
      <c r="I265" s="87"/>
      <c r="J265" s="14"/>
      <c r="K265" s="14"/>
      <c r="L265" s="14"/>
      <c r="M265" s="14"/>
      <c r="N265" s="14"/>
      <c r="O265" s="14"/>
      <c r="P265" s="14"/>
    </row>
    <row r="266" spans="1:16" ht="18.600000000000001" customHeight="1" x14ac:dyDescent="0.3">
      <c r="A266" s="7">
        <f t="shared" si="59"/>
        <v>22</v>
      </c>
      <c r="B266" s="3"/>
      <c r="C266" s="4"/>
      <c r="D266" s="8"/>
      <c r="E266" s="4"/>
      <c r="F266" s="4"/>
      <c r="G266" s="4"/>
      <c r="H266" s="4"/>
      <c r="I266" s="85"/>
      <c r="J266" s="4"/>
      <c r="K266" s="4"/>
      <c r="L266" s="4"/>
      <c r="M266" s="4"/>
      <c r="N266" s="4"/>
      <c r="O266" s="4"/>
      <c r="P266" s="4"/>
    </row>
    <row r="267" spans="1:16" ht="18.600000000000001" customHeight="1" x14ac:dyDescent="0.3">
      <c r="A267" s="35">
        <f t="shared" si="59"/>
        <v>23</v>
      </c>
      <c r="B267" s="3"/>
      <c r="C267" s="4"/>
      <c r="D267" s="8"/>
      <c r="E267" s="4"/>
      <c r="F267" s="4"/>
      <c r="G267" s="4"/>
      <c r="H267" s="4"/>
      <c r="I267" s="85"/>
      <c r="J267" s="4"/>
      <c r="K267" s="4"/>
      <c r="L267" s="4"/>
      <c r="M267" s="4"/>
      <c r="N267" s="4"/>
      <c r="O267" s="4"/>
      <c r="P267" s="4"/>
    </row>
    <row r="268" spans="1:16" ht="18.600000000000001" customHeight="1" x14ac:dyDescent="0.3">
      <c r="A268" s="7">
        <f t="shared" si="59"/>
        <v>24</v>
      </c>
      <c r="B268" s="3"/>
      <c r="C268" s="4"/>
      <c r="D268" s="8"/>
      <c r="E268" s="4"/>
      <c r="F268" s="4"/>
      <c r="G268" s="4"/>
      <c r="H268" s="4"/>
      <c r="I268" s="85"/>
      <c r="J268" s="4"/>
      <c r="K268" s="4"/>
      <c r="L268" s="4"/>
      <c r="M268" s="4"/>
      <c r="N268" s="4"/>
      <c r="O268" s="4"/>
      <c r="P268" s="4"/>
    </row>
    <row r="269" spans="1:16" ht="18.600000000000001" customHeight="1" x14ac:dyDescent="0.3">
      <c r="A269" s="35">
        <f t="shared" si="59"/>
        <v>25</v>
      </c>
      <c r="B269" s="11"/>
      <c r="C269" s="12"/>
      <c r="D269" s="9"/>
      <c r="E269" s="12"/>
      <c r="F269" s="12"/>
      <c r="G269" s="12"/>
      <c r="H269" s="12"/>
      <c r="I269" s="86"/>
      <c r="J269" s="12"/>
      <c r="K269" s="12"/>
      <c r="L269" s="12"/>
      <c r="M269" s="12"/>
      <c r="N269" s="12"/>
      <c r="O269" s="12"/>
      <c r="P269" s="12"/>
    </row>
    <row r="270" spans="1:16" ht="18.600000000000001" customHeight="1" x14ac:dyDescent="0.3">
      <c r="A270" s="147"/>
      <c r="B270" s="148"/>
      <c r="C270" s="147"/>
      <c r="D270" s="149"/>
      <c r="E270" s="215">
        <f>SUBTOTAL(9,E245:E269)</f>
        <v>0</v>
      </c>
      <c r="F270" s="147"/>
      <c r="G270" s="215">
        <f t="shared" ref="G270" si="60">SUBTOTAL(9,G245:G269)</f>
        <v>0</v>
      </c>
      <c r="H270" s="147"/>
      <c r="I270" s="215">
        <f t="shared" ref="I270" si="61">SUBTOTAL(9,I245:I269)</f>
        <v>0</v>
      </c>
      <c r="J270" s="147"/>
      <c r="K270" s="147"/>
      <c r="L270" s="147"/>
      <c r="M270" s="215">
        <f t="shared" ref="M270" si="62">SUBTOTAL(9,M245:M269)</f>
        <v>0</v>
      </c>
      <c r="N270" s="147"/>
      <c r="O270" s="215">
        <f t="shared" ref="O270" si="63">SUBTOTAL(9,O245:O269)</f>
        <v>0</v>
      </c>
      <c r="P270" s="147"/>
    </row>
    <row r="271" spans="1:16" ht="18.600000000000001" customHeight="1" x14ac:dyDescent="0.3">
      <c r="A271" s="445" t="str">
        <f>A241</f>
        <v>DANH SÁCH LỚP VĂN</v>
      </c>
      <c r="B271" s="445"/>
      <c r="C271" s="445"/>
      <c r="D271" s="445"/>
      <c r="E271" s="445"/>
      <c r="F271" s="445"/>
      <c r="G271" s="445"/>
      <c r="H271" s="445"/>
      <c r="I271" s="212" t="s">
        <v>1033</v>
      </c>
      <c r="J271" s="213"/>
      <c r="K271" s="213"/>
      <c r="L271" s="213"/>
      <c r="M271" s="214"/>
      <c r="N271" s="214"/>
      <c r="O271" s="214"/>
      <c r="P271" s="214"/>
    </row>
    <row r="272" spans="1:16" ht="18.600000000000001" customHeight="1" x14ac:dyDescent="0.3">
      <c r="A272" s="28"/>
      <c r="B272" s="29"/>
      <c r="C272" s="30"/>
      <c r="D272" s="36"/>
      <c r="E272" s="28"/>
      <c r="F272" s="28"/>
      <c r="G272" s="28"/>
      <c r="H272" s="28"/>
      <c r="I272" s="79"/>
      <c r="J272" s="28"/>
      <c r="K272" s="28"/>
      <c r="L272" s="28"/>
      <c r="M272" s="28"/>
      <c r="N272" s="28"/>
      <c r="O272" s="28"/>
      <c r="P272" s="28"/>
    </row>
    <row r="273" spans="1:16" ht="18.600000000000001" customHeight="1" x14ac:dyDescent="0.3">
      <c r="A273" s="435" t="s">
        <v>374</v>
      </c>
      <c r="B273" s="435" t="s">
        <v>380</v>
      </c>
      <c r="C273" s="435" t="s">
        <v>383</v>
      </c>
      <c r="D273" s="437" t="s">
        <v>384</v>
      </c>
      <c r="E273" s="438" t="s">
        <v>385</v>
      </c>
      <c r="F273" s="439"/>
      <c r="G273" s="432" t="str">
        <f>$R$1</f>
        <v>Đợt 6</v>
      </c>
      <c r="H273" s="433"/>
      <c r="I273" s="432" t="str">
        <f>$T$1</f>
        <v>Đợt 7</v>
      </c>
      <c r="J273" s="433"/>
      <c r="K273" s="432" t="str">
        <f>$V$1</f>
        <v>Đợt 8</v>
      </c>
      <c r="L273" s="433"/>
      <c r="M273" s="432" t="str">
        <f>$X$1</f>
        <v>Đợt 9</v>
      </c>
      <c r="N273" s="433"/>
      <c r="O273" s="432" t="str">
        <f>$Z$1</f>
        <v>Đợt 10</v>
      </c>
      <c r="P273" s="433"/>
    </row>
    <row r="274" spans="1:16" ht="18.600000000000001" customHeight="1" x14ac:dyDescent="0.3">
      <c r="A274" s="436"/>
      <c r="B274" s="436"/>
      <c r="C274" s="436"/>
      <c r="D274" s="436"/>
      <c r="E274" s="31" t="s">
        <v>381</v>
      </c>
      <c r="F274" s="31" t="s">
        <v>382</v>
      </c>
      <c r="G274" s="31" t="s">
        <v>381</v>
      </c>
      <c r="H274" s="31" t="s">
        <v>382</v>
      </c>
      <c r="I274" s="80" t="s">
        <v>381</v>
      </c>
      <c r="J274" s="31" t="s">
        <v>382</v>
      </c>
      <c r="K274" s="80" t="s">
        <v>381</v>
      </c>
      <c r="L274" s="31" t="s">
        <v>382</v>
      </c>
      <c r="M274" s="31" t="s">
        <v>381</v>
      </c>
      <c r="N274" s="31" t="s">
        <v>382</v>
      </c>
      <c r="O274" s="31" t="s">
        <v>381</v>
      </c>
      <c r="P274" s="31" t="s">
        <v>382</v>
      </c>
    </row>
    <row r="275" spans="1:16" ht="18.600000000000001" customHeight="1" x14ac:dyDescent="0.3">
      <c r="A275" s="32">
        <v>1</v>
      </c>
      <c r="B275" s="24" t="s">
        <v>1178</v>
      </c>
      <c r="C275" s="24" t="s">
        <v>10</v>
      </c>
      <c r="D275" s="163"/>
      <c r="E275" s="32"/>
      <c r="F275" s="34"/>
      <c r="G275" s="32"/>
      <c r="H275" s="93"/>
      <c r="I275" s="81"/>
      <c r="J275" s="34"/>
      <c r="K275" s="34"/>
      <c r="L275" s="34"/>
      <c r="M275" s="32"/>
      <c r="N275" s="34"/>
      <c r="O275" s="32"/>
      <c r="P275" s="34"/>
    </row>
    <row r="276" spans="1:16" ht="18.600000000000001" customHeight="1" x14ac:dyDescent="0.3">
      <c r="A276" s="7">
        <f t="shared" ref="A276:A299" si="64">A275+1</f>
        <v>2</v>
      </c>
      <c r="B276" s="27" t="s">
        <v>1089</v>
      </c>
      <c r="C276" s="27" t="s">
        <v>1071</v>
      </c>
      <c r="D276" s="24"/>
      <c r="E276" s="7"/>
      <c r="F276" s="7"/>
      <c r="G276" s="7"/>
      <c r="H276" s="7"/>
      <c r="I276" s="82"/>
      <c r="J276" s="7"/>
      <c r="K276" s="7"/>
      <c r="L276" s="7"/>
      <c r="M276" s="7"/>
      <c r="N276" s="7"/>
      <c r="O276" s="7"/>
      <c r="P276" s="7"/>
    </row>
    <row r="277" spans="1:16" ht="18.600000000000001" customHeight="1" x14ac:dyDescent="0.3">
      <c r="A277" s="7">
        <f t="shared" si="64"/>
        <v>3</v>
      </c>
      <c r="B277" s="24" t="s">
        <v>592</v>
      </c>
      <c r="C277" s="24" t="s">
        <v>12</v>
      </c>
      <c r="D277" s="163"/>
      <c r="E277" s="7"/>
      <c r="F277" s="7"/>
      <c r="G277" s="7"/>
      <c r="H277" s="7"/>
      <c r="I277" s="82"/>
      <c r="J277" s="7"/>
      <c r="K277" s="7"/>
      <c r="L277" s="7"/>
      <c r="M277" s="7"/>
      <c r="N277" s="7"/>
      <c r="O277" s="7"/>
      <c r="P277" s="7"/>
    </row>
    <row r="278" spans="1:16" ht="18.600000000000001" customHeight="1" x14ac:dyDescent="0.3">
      <c r="A278" s="7">
        <f t="shared" si="64"/>
        <v>4</v>
      </c>
      <c r="B278" s="25" t="s">
        <v>1122</v>
      </c>
      <c r="C278" s="25" t="s">
        <v>12</v>
      </c>
      <c r="D278" s="163"/>
      <c r="E278" s="7"/>
      <c r="F278" s="7"/>
      <c r="G278" s="7"/>
      <c r="H278" s="7"/>
      <c r="I278" s="82"/>
      <c r="J278" s="7"/>
      <c r="K278" s="7"/>
      <c r="L278" s="7"/>
      <c r="M278" s="7"/>
      <c r="N278" s="7"/>
      <c r="O278" s="7"/>
      <c r="P278" s="7"/>
    </row>
    <row r="279" spans="1:16" ht="18.600000000000001" customHeight="1" x14ac:dyDescent="0.3">
      <c r="A279" s="6">
        <f t="shared" si="64"/>
        <v>5</v>
      </c>
      <c r="B279" s="24" t="s">
        <v>216</v>
      </c>
      <c r="C279" s="24" t="s">
        <v>66</v>
      </c>
      <c r="D279" s="163"/>
      <c r="E279" s="16"/>
      <c r="F279" s="16"/>
      <c r="G279" s="16"/>
      <c r="H279" s="16"/>
      <c r="I279" s="83"/>
      <c r="J279" s="16"/>
      <c r="K279" s="16"/>
      <c r="L279" s="16"/>
      <c r="M279" s="16"/>
      <c r="N279" s="16"/>
      <c r="O279" s="16"/>
      <c r="P279" s="16"/>
    </row>
    <row r="280" spans="1:16" ht="18.600000000000001" customHeight="1" x14ac:dyDescent="0.3">
      <c r="A280" s="56">
        <f t="shared" si="64"/>
        <v>6</v>
      </c>
      <c r="B280" s="26" t="s">
        <v>237</v>
      </c>
      <c r="C280" s="26" t="s">
        <v>64</v>
      </c>
      <c r="D280" s="26"/>
      <c r="E280" s="2"/>
      <c r="F280" s="2"/>
      <c r="G280" s="2"/>
      <c r="H280" s="2"/>
      <c r="I280" s="84"/>
      <c r="J280" s="2"/>
      <c r="K280" s="2"/>
      <c r="L280" s="2"/>
      <c r="M280" s="2"/>
      <c r="N280" s="2"/>
      <c r="O280" s="2"/>
      <c r="P280" s="2"/>
    </row>
    <row r="281" spans="1:16" ht="18.600000000000001" customHeight="1" x14ac:dyDescent="0.3">
      <c r="A281" s="6">
        <f t="shared" si="64"/>
        <v>7</v>
      </c>
      <c r="B281" s="24" t="s">
        <v>803</v>
      </c>
      <c r="C281" s="24" t="s">
        <v>704</v>
      </c>
      <c r="D281" s="163"/>
      <c r="E281" s="4"/>
      <c r="F281" s="4"/>
      <c r="G281" s="4"/>
      <c r="H281" s="4"/>
      <c r="I281" s="85"/>
      <c r="J281" s="4"/>
      <c r="K281" s="4"/>
      <c r="L281" s="4"/>
      <c r="M281" s="4"/>
      <c r="N281" s="4"/>
      <c r="O281" s="4"/>
      <c r="P281" s="4"/>
    </row>
    <row r="282" spans="1:16" ht="18.600000000000001" customHeight="1" x14ac:dyDescent="0.3">
      <c r="A282" s="6">
        <f t="shared" si="64"/>
        <v>8</v>
      </c>
      <c r="B282" s="25" t="s">
        <v>198</v>
      </c>
      <c r="C282" s="25" t="s">
        <v>13</v>
      </c>
      <c r="D282" s="163"/>
      <c r="E282" s="4"/>
      <c r="F282" s="4"/>
      <c r="G282" s="4"/>
      <c r="H282" s="4"/>
      <c r="I282" s="85"/>
      <c r="J282" s="4"/>
      <c r="K282" s="4"/>
      <c r="L282" s="4"/>
      <c r="M282" s="4"/>
      <c r="N282" s="4"/>
      <c r="O282" s="4"/>
      <c r="P282" s="4"/>
    </row>
    <row r="283" spans="1:16" ht="18.600000000000001" customHeight="1" x14ac:dyDescent="0.3">
      <c r="A283" s="6">
        <f t="shared" si="64"/>
        <v>9</v>
      </c>
      <c r="B283" s="24" t="s">
        <v>209</v>
      </c>
      <c r="C283" s="24" t="s">
        <v>62</v>
      </c>
      <c r="D283" s="163"/>
      <c r="E283" s="4"/>
      <c r="F283" s="4"/>
      <c r="G283" s="4"/>
      <c r="H283" s="4"/>
      <c r="I283" s="85"/>
      <c r="J283" s="4"/>
      <c r="K283" s="4"/>
      <c r="L283" s="4"/>
      <c r="M283" s="4"/>
      <c r="N283" s="4"/>
      <c r="O283" s="4"/>
      <c r="P283" s="4"/>
    </row>
    <row r="284" spans="1:16" ht="18.600000000000001" customHeight="1" x14ac:dyDescent="0.3">
      <c r="A284" s="10">
        <f t="shared" si="64"/>
        <v>10</v>
      </c>
      <c r="B284" s="24" t="s">
        <v>188</v>
      </c>
      <c r="C284" s="24" t="s">
        <v>45</v>
      </c>
      <c r="D284" s="24">
        <v>939740830</v>
      </c>
      <c r="E284" s="12"/>
      <c r="F284" s="12"/>
      <c r="G284" s="12"/>
      <c r="H284" s="12"/>
      <c r="I284" s="86"/>
      <c r="J284" s="12"/>
      <c r="K284" s="12"/>
      <c r="L284" s="12"/>
      <c r="M284" s="12"/>
      <c r="N284" s="12"/>
      <c r="O284" s="12"/>
      <c r="P284" s="12"/>
    </row>
    <row r="285" spans="1:16" ht="18.600000000000001" customHeight="1" x14ac:dyDescent="0.3">
      <c r="A285" s="35">
        <f t="shared" si="64"/>
        <v>11</v>
      </c>
      <c r="B285" s="24" t="s">
        <v>213</v>
      </c>
      <c r="C285" s="24" t="s">
        <v>65</v>
      </c>
      <c r="D285" s="163"/>
      <c r="E285" s="14"/>
      <c r="F285" s="14"/>
      <c r="G285" s="14"/>
      <c r="H285" s="14"/>
      <c r="I285" s="87"/>
      <c r="J285" s="14"/>
      <c r="K285" s="14"/>
      <c r="L285" s="14"/>
      <c r="M285" s="14"/>
      <c r="N285" s="14"/>
      <c r="O285" s="14"/>
      <c r="P285" s="14"/>
    </row>
    <row r="286" spans="1:16" ht="18.600000000000001" customHeight="1" x14ac:dyDescent="0.3">
      <c r="A286" s="7">
        <f t="shared" si="64"/>
        <v>12</v>
      </c>
      <c r="B286" s="26"/>
      <c r="C286" s="26"/>
      <c r="D286" s="22"/>
      <c r="E286" s="4"/>
      <c r="F286" s="4"/>
      <c r="G286" s="4"/>
      <c r="H286" s="4"/>
      <c r="I286" s="85"/>
      <c r="J286" s="4"/>
      <c r="K286" s="4"/>
      <c r="L286" s="4"/>
      <c r="M286" s="4"/>
      <c r="N286" s="4"/>
      <c r="O286" s="4"/>
      <c r="P286" s="4"/>
    </row>
    <row r="287" spans="1:16" ht="18.600000000000001" customHeight="1" x14ac:dyDescent="0.3">
      <c r="A287" s="7">
        <f t="shared" si="64"/>
        <v>13</v>
      </c>
      <c r="B287" s="26"/>
      <c r="C287" s="26"/>
      <c r="D287" s="22"/>
      <c r="E287" s="4"/>
      <c r="F287" s="4"/>
      <c r="G287" s="4"/>
      <c r="H287" s="4"/>
      <c r="I287" s="85"/>
      <c r="J287" s="4"/>
      <c r="K287" s="4"/>
      <c r="L287" s="4"/>
      <c r="M287" s="4"/>
      <c r="N287" s="4"/>
      <c r="O287" s="4"/>
      <c r="P287" s="4"/>
    </row>
    <row r="288" spans="1:16" ht="18.600000000000001" customHeight="1" x14ac:dyDescent="0.3">
      <c r="A288" s="7">
        <f t="shared" si="64"/>
        <v>14</v>
      </c>
      <c r="B288" s="3"/>
      <c r="C288" s="4"/>
      <c r="D288" s="8"/>
      <c r="E288" s="4"/>
      <c r="F288" s="4"/>
      <c r="G288" s="4"/>
      <c r="H288" s="4"/>
      <c r="I288" s="85"/>
      <c r="J288" s="4"/>
      <c r="K288" s="4"/>
      <c r="L288" s="4"/>
      <c r="M288" s="4"/>
      <c r="N288" s="4"/>
      <c r="O288" s="4"/>
      <c r="P288" s="4"/>
    </row>
    <row r="289" spans="1:16" ht="18.600000000000001" customHeight="1" x14ac:dyDescent="0.3">
      <c r="A289" s="6">
        <f t="shared" si="64"/>
        <v>15</v>
      </c>
      <c r="B289" s="15"/>
      <c r="C289" s="16"/>
      <c r="D289" s="5"/>
      <c r="E289" s="16"/>
      <c r="F289" s="16"/>
      <c r="G289" s="16"/>
      <c r="H289" s="16"/>
      <c r="I289" s="83"/>
      <c r="J289" s="16"/>
      <c r="K289" s="16"/>
      <c r="L289" s="16"/>
      <c r="M289" s="16"/>
      <c r="N289" s="16"/>
      <c r="O289" s="16"/>
      <c r="P289" s="16"/>
    </row>
    <row r="290" spans="1:16" ht="18.600000000000001" customHeight="1" x14ac:dyDescent="0.3">
      <c r="A290" s="32">
        <f t="shared" si="64"/>
        <v>16</v>
      </c>
      <c r="B290" s="1"/>
      <c r="C290" s="2"/>
      <c r="D290" s="33"/>
      <c r="E290" s="2"/>
      <c r="F290" s="2"/>
      <c r="G290" s="2"/>
      <c r="H290" s="2"/>
      <c r="I290" s="84"/>
      <c r="J290" s="2"/>
      <c r="K290" s="2"/>
      <c r="L290" s="2"/>
      <c r="M290" s="2"/>
      <c r="N290" s="2"/>
      <c r="O290" s="2"/>
      <c r="P290" s="2"/>
    </row>
    <row r="291" spans="1:16" ht="18.600000000000001" customHeight="1" x14ac:dyDescent="0.3">
      <c r="A291" s="7">
        <f t="shared" si="64"/>
        <v>17</v>
      </c>
      <c r="B291" s="3"/>
      <c r="C291" s="4"/>
      <c r="D291" s="8"/>
      <c r="E291" s="4"/>
      <c r="F291" s="4"/>
      <c r="G291" s="4"/>
      <c r="H291" s="4"/>
      <c r="I291" s="85"/>
      <c r="J291" s="4"/>
      <c r="K291" s="4"/>
      <c r="L291" s="4"/>
      <c r="M291" s="4"/>
      <c r="N291" s="4"/>
      <c r="O291" s="4"/>
      <c r="P291" s="4"/>
    </row>
    <row r="292" spans="1:16" ht="18.600000000000001" customHeight="1" x14ac:dyDescent="0.3">
      <c r="A292" s="7">
        <f t="shared" si="64"/>
        <v>18</v>
      </c>
      <c r="B292" s="3"/>
      <c r="C292" s="4"/>
      <c r="D292" s="8"/>
      <c r="E292" s="4"/>
      <c r="F292" s="4"/>
      <c r="G292" s="4"/>
      <c r="H292" s="4"/>
      <c r="I292" s="85"/>
      <c r="J292" s="4"/>
      <c r="K292" s="4"/>
      <c r="L292" s="4"/>
      <c r="M292" s="4"/>
      <c r="N292" s="4"/>
      <c r="O292" s="4"/>
      <c r="P292" s="4"/>
    </row>
    <row r="293" spans="1:16" ht="18.600000000000001" customHeight="1" x14ac:dyDescent="0.3">
      <c r="A293" s="7">
        <f t="shared" si="64"/>
        <v>19</v>
      </c>
      <c r="B293" s="3"/>
      <c r="C293" s="4"/>
      <c r="D293" s="8"/>
      <c r="E293" s="4"/>
      <c r="F293" s="4"/>
      <c r="G293" s="4"/>
      <c r="H293" s="4"/>
      <c r="I293" s="85"/>
      <c r="J293" s="4"/>
      <c r="K293" s="4"/>
      <c r="L293" s="4"/>
      <c r="M293" s="4"/>
      <c r="N293" s="4"/>
      <c r="O293" s="4"/>
      <c r="P293" s="4"/>
    </row>
    <row r="294" spans="1:16" ht="18.600000000000001" customHeight="1" x14ac:dyDescent="0.3">
      <c r="A294" s="10">
        <f t="shared" si="64"/>
        <v>20</v>
      </c>
      <c r="B294" s="11"/>
      <c r="C294" s="12"/>
      <c r="D294" s="9"/>
      <c r="E294" s="12"/>
      <c r="F294" s="12"/>
      <c r="G294" s="12"/>
      <c r="H294" s="12"/>
      <c r="I294" s="86"/>
      <c r="J294" s="12"/>
      <c r="K294" s="12"/>
      <c r="L294" s="12"/>
      <c r="M294" s="12"/>
      <c r="N294" s="12"/>
      <c r="O294" s="12"/>
      <c r="P294" s="12"/>
    </row>
    <row r="295" spans="1:16" ht="18.600000000000001" customHeight="1" x14ac:dyDescent="0.3">
      <c r="A295" s="35">
        <f t="shared" si="64"/>
        <v>21</v>
      </c>
      <c r="B295" s="13"/>
      <c r="C295" s="14"/>
      <c r="D295" s="37"/>
      <c r="E295" s="14"/>
      <c r="F295" s="14"/>
      <c r="G295" s="14"/>
      <c r="H295" s="14"/>
      <c r="I295" s="87"/>
      <c r="J295" s="14"/>
      <c r="K295" s="14"/>
      <c r="L295" s="14"/>
      <c r="M295" s="14"/>
      <c r="N295" s="14"/>
      <c r="O295" s="14"/>
      <c r="P295" s="14"/>
    </row>
    <row r="296" spans="1:16" ht="18.600000000000001" customHeight="1" x14ac:dyDescent="0.3">
      <c r="A296" s="7">
        <f t="shared" si="64"/>
        <v>22</v>
      </c>
      <c r="B296" s="3"/>
      <c r="C296" s="4"/>
      <c r="D296" s="8"/>
      <c r="E296" s="4"/>
      <c r="F296" s="4"/>
      <c r="G296" s="4"/>
      <c r="H296" s="4"/>
      <c r="I296" s="85"/>
      <c r="J296" s="4"/>
      <c r="K296" s="4"/>
      <c r="L296" s="4"/>
      <c r="M296" s="4"/>
      <c r="N296" s="4"/>
      <c r="O296" s="4"/>
      <c r="P296" s="4"/>
    </row>
    <row r="297" spans="1:16" ht="18.600000000000001" customHeight="1" x14ac:dyDescent="0.3">
      <c r="A297" s="35">
        <f t="shared" si="64"/>
        <v>23</v>
      </c>
      <c r="B297" s="3"/>
      <c r="C297" s="4"/>
      <c r="D297" s="8"/>
      <c r="E297" s="4"/>
      <c r="F297" s="4"/>
      <c r="G297" s="4"/>
      <c r="H297" s="4"/>
      <c r="I297" s="85"/>
      <c r="J297" s="4"/>
      <c r="K297" s="4"/>
      <c r="L297" s="4"/>
      <c r="M297" s="4"/>
      <c r="N297" s="4"/>
      <c r="O297" s="4"/>
      <c r="P297" s="4"/>
    </row>
    <row r="298" spans="1:16" ht="18.600000000000001" customHeight="1" x14ac:dyDescent="0.3">
      <c r="A298" s="7">
        <f t="shared" si="64"/>
        <v>24</v>
      </c>
      <c r="B298" s="3"/>
      <c r="C298" s="4"/>
      <c r="D298" s="8"/>
      <c r="E298" s="4"/>
      <c r="F298" s="4"/>
      <c r="G298" s="4"/>
      <c r="H298" s="4"/>
      <c r="I298" s="85"/>
      <c r="J298" s="4"/>
      <c r="K298" s="4"/>
      <c r="L298" s="4"/>
      <c r="M298" s="4"/>
      <c r="N298" s="4"/>
      <c r="O298" s="4"/>
      <c r="P298" s="4"/>
    </row>
    <row r="299" spans="1:16" ht="18.600000000000001" customHeight="1" x14ac:dyDescent="0.3">
      <c r="A299" s="35">
        <f t="shared" si="64"/>
        <v>25</v>
      </c>
      <c r="B299" s="11"/>
      <c r="C299" s="12"/>
      <c r="D299" s="9"/>
      <c r="E299" s="12"/>
      <c r="F299" s="12"/>
      <c r="G299" s="12"/>
      <c r="H299" s="12"/>
      <c r="I299" s="86"/>
      <c r="J299" s="12"/>
      <c r="K299" s="12"/>
      <c r="L299" s="12"/>
      <c r="M299" s="12"/>
      <c r="N299" s="12"/>
      <c r="O299" s="12"/>
      <c r="P299" s="12"/>
    </row>
    <row r="300" spans="1:16" ht="18.600000000000001" customHeight="1" x14ac:dyDescent="0.3">
      <c r="A300" s="147"/>
      <c r="B300" s="148"/>
      <c r="C300" s="147"/>
      <c r="D300" s="149"/>
      <c r="E300" s="215">
        <f>SUBTOTAL(9,E275:E299)</f>
        <v>0</v>
      </c>
      <c r="F300" s="147"/>
      <c r="G300" s="215">
        <f t="shared" ref="G300" si="65">SUBTOTAL(9,G275:G299)</f>
        <v>0</v>
      </c>
      <c r="H300" s="147"/>
      <c r="I300" s="215">
        <f t="shared" ref="I300" si="66">SUBTOTAL(9,I275:I299)</f>
        <v>0</v>
      </c>
      <c r="J300" s="147"/>
      <c r="K300" s="147"/>
      <c r="L300" s="147"/>
      <c r="M300" s="215">
        <f t="shared" ref="M300" si="67">SUBTOTAL(9,M275:M299)</f>
        <v>0</v>
      </c>
      <c r="N300" s="147"/>
      <c r="O300" s="215">
        <f t="shared" ref="O300" si="68">SUBTOTAL(9,O275:O299)</f>
        <v>0</v>
      </c>
      <c r="P300" s="147"/>
    </row>
    <row r="301" spans="1:16" ht="18.600000000000001" customHeight="1" x14ac:dyDescent="0.3">
      <c r="A301" s="445" t="str">
        <f>A271</f>
        <v>DANH SÁCH LỚP VĂN</v>
      </c>
      <c r="B301" s="445"/>
      <c r="C301" s="445"/>
      <c r="D301" s="445"/>
      <c r="E301" s="445"/>
      <c r="F301" s="445"/>
      <c r="G301" s="445"/>
      <c r="H301" s="445"/>
      <c r="I301" s="212">
        <v>9</v>
      </c>
      <c r="J301" s="213"/>
      <c r="K301" s="213"/>
      <c r="L301" s="213"/>
      <c r="M301" s="214"/>
      <c r="N301" s="214"/>
      <c r="O301" s="214"/>
      <c r="P301" s="214"/>
    </row>
    <row r="302" spans="1:16" ht="18.600000000000001" customHeight="1" x14ac:dyDescent="0.3">
      <c r="A302" s="28"/>
      <c r="B302" s="29"/>
      <c r="C302" s="30"/>
      <c r="D302" s="36"/>
      <c r="E302" s="28"/>
      <c r="F302" s="28"/>
      <c r="G302" s="28"/>
      <c r="H302" s="28"/>
      <c r="I302" s="79"/>
      <c r="J302" s="28"/>
      <c r="K302" s="28"/>
      <c r="L302" s="28"/>
      <c r="M302" s="28"/>
      <c r="N302" s="28"/>
      <c r="O302" s="28"/>
      <c r="P302" s="28"/>
    </row>
    <row r="303" spans="1:16" ht="18.600000000000001" customHeight="1" x14ac:dyDescent="0.3">
      <c r="A303" s="435" t="s">
        <v>374</v>
      </c>
      <c r="B303" s="435" t="s">
        <v>380</v>
      </c>
      <c r="C303" s="435" t="s">
        <v>383</v>
      </c>
      <c r="D303" s="437" t="s">
        <v>384</v>
      </c>
      <c r="E303" s="438" t="s">
        <v>385</v>
      </c>
      <c r="F303" s="439"/>
      <c r="G303" s="432" t="str">
        <f>$R$1</f>
        <v>Đợt 6</v>
      </c>
      <c r="H303" s="433"/>
      <c r="I303" s="432" t="str">
        <f>$T$1</f>
        <v>Đợt 7</v>
      </c>
      <c r="J303" s="433"/>
      <c r="K303" s="432" t="str">
        <f>$V$1</f>
        <v>Đợt 8</v>
      </c>
      <c r="L303" s="433"/>
      <c r="M303" s="432" t="str">
        <f>$X$1</f>
        <v>Đợt 9</v>
      </c>
      <c r="N303" s="433"/>
      <c r="O303" s="432" t="str">
        <f>$Z$1</f>
        <v>Đợt 10</v>
      </c>
      <c r="P303" s="433"/>
    </row>
    <row r="304" spans="1:16" ht="18.600000000000001" customHeight="1" x14ac:dyDescent="0.3">
      <c r="A304" s="436"/>
      <c r="B304" s="436"/>
      <c r="C304" s="436"/>
      <c r="D304" s="436"/>
      <c r="E304" s="31" t="s">
        <v>381</v>
      </c>
      <c r="F304" s="31" t="s">
        <v>382</v>
      </c>
      <c r="G304" s="31" t="s">
        <v>381</v>
      </c>
      <c r="H304" s="31" t="s">
        <v>382</v>
      </c>
      <c r="I304" s="80" t="s">
        <v>381</v>
      </c>
      <c r="J304" s="31" t="s">
        <v>382</v>
      </c>
      <c r="K304" s="80" t="s">
        <v>381</v>
      </c>
      <c r="L304" s="31" t="s">
        <v>382</v>
      </c>
      <c r="M304" s="31" t="s">
        <v>381</v>
      </c>
      <c r="N304" s="31" t="s">
        <v>382</v>
      </c>
      <c r="O304" s="31" t="s">
        <v>381</v>
      </c>
      <c r="P304" s="31" t="s">
        <v>382</v>
      </c>
    </row>
    <row r="305" spans="1:16" ht="18.600000000000001" customHeight="1" x14ac:dyDescent="0.3">
      <c r="A305" s="32">
        <v>1</v>
      </c>
      <c r="B305" s="24" t="s">
        <v>232</v>
      </c>
      <c r="C305" s="24" t="s">
        <v>14</v>
      </c>
      <c r="D305" s="24"/>
      <c r="E305" s="32"/>
      <c r="F305" s="34"/>
      <c r="G305" s="32"/>
      <c r="H305" s="93"/>
      <c r="I305" s="81"/>
      <c r="J305" s="34"/>
      <c r="K305" s="34"/>
      <c r="L305" s="34"/>
      <c r="M305" s="32"/>
      <c r="N305" s="34"/>
      <c r="O305" s="32"/>
      <c r="P305" s="34"/>
    </row>
    <row r="306" spans="1:16" ht="18.600000000000001" customHeight="1" x14ac:dyDescent="0.3">
      <c r="A306" s="7">
        <f t="shared" ref="A306:A329" si="69">A305+1</f>
        <v>2</v>
      </c>
      <c r="B306" s="24" t="s">
        <v>1179</v>
      </c>
      <c r="C306" s="25" t="s">
        <v>12</v>
      </c>
      <c r="D306" s="24"/>
      <c r="E306" s="7"/>
      <c r="F306" s="7"/>
      <c r="G306" s="7"/>
      <c r="H306" s="7"/>
      <c r="I306" s="82"/>
      <c r="J306" s="7"/>
      <c r="K306" s="7"/>
      <c r="L306" s="7"/>
      <c r="M306" s="7"/>
      <c r="N306" s="7"/>
      <c r="O306" s="7"/>
      <c r="P306" s="7"/>
    </row>
    <row r="307" spans="1:16" ht="18.600000000000001" customHeight="1" x14ac:dyDescent="0.3">
      <c r="A307" s="7">
        <f t="shared" si="69"/>
        <v>3</v>
      </c>
      <c r="B307" s="143" t="s">
        <v>256</v>
      </c>
      <c r="C307" s="143" t="s">
        <v>12</v>
      </c>
      <c r="D307" s="143"/>
      <c r="E307" s="7"/>
      <c r="F307" s="7"/>
      <c r="G307" s="7"/>
      <c r="H307" s="7"/>
      <c r="I307" s="82"/>
      <c r="J307" s="7"/>
      <c r="K307" s="7"/>
      <c r="L307" s="7"/>
      <c r="M307" s="7"/>
      <c r="N307" s="7"/>
      <c r="O307" s="7"/>
      <c r="P307" s="7"/>
    </row>
    <row r="308" spans="1:16" ht="18.600000000000001" customHeight="1" x14ac:dyDescent="0.3">
      <c r="A308" s="7">
        <f t="shared" si="69"/>
        <v>4</v>
      </c>
      <c r="B308" s="24" t="s">
        <v>237</v>
      </c>
      <c r="C308" s="24" t="s">
        <v>81</v>
      </c>
      <c r="D308" s="163"/>
      <c r="E308" s="7"/>
      <c r="F308" s="7"/>
      <c r="G308" s="7"/>
      <c r="H308" s="7"/>
      <c r="I308" s="82"/>
      <c r="J308" s="7"/>
      <c r="K308" s="7"/>
      <c r="L308" s="7"/>
      <c r="M308" s="7"/>
      <c r="N308" s="7"/>
      <c r="O308" s="7"/>
      <c r="P308" s="7"/>
    </row>
    <row r="309" spans="1:16" ht="18.600000000000001" customHeight="1" x14ac:dyDescent="0.3">
      <c r="A309" s="6">
        <f t="shared" si="69"/>
        <v>5</v>
      </c>
      <c r="B309" s="24" t="s">
        <v>242</v>
      </c>
      <c r="C309" s="24" t="s">
        <v>83</v>
      </c>
      <c r="D309" s="163"/>
      <c r="E309" s="16"/>
      <c r="F309" s="16"/>
      <c r="G309" s="16"/>
      <c r="H309" s="16"/>
      <c r="I309" s="83"/>
      <c r="J309" s="16"/>
      <c r="K309" s="16"/>
      <c r="L309" s="16"/>
      <c r="M309" s="16"/>
      <c r="N309" s="16"/>
      <c r="O309" s="16"/>
      <c r="P309" s="16"/>
    </row>
    <row r="310" spans="1:16" ht="18.600000000000001" customHeight="1" x14ac:dyDescent="0.3">
      <c r="A310" s="56">
        <f t="shared" si="69"/>
        <v>6</v>
      </c>
      <c r="B310" s="143" t="s">
        <v>122</v>
      </c>
      <c r="C310" s="143" t="s">
        <v>24</v>
      </c>
      <c r="D310" s="143"/>
      <c r="E310" s="2"/>
      <c r="F310" s="2"/>
      <c r="G310" s="2"/>
      <c r="H310" s="2"/>
      <c r="I310" s="84"/>
      <c r="J310" s="2"/>
      <c r="K310" s="2"/>
      <c r="L310" s="2"/>
      <c r="M310" s="2"/>
      <c r="N310" s="2"/>
      <c r="O310" s="2"/>
      <c r="P310" s="2"/>
    </row>
    <row r="311" spans="1:16" ht="18.600000000000001" customHeight="1" x14ac:dyDescent="0.3">
      <c r="A311" s="6">
        <f t="shared" si="69"/>
        <v>7</v>
      </c>
      <c r="B311" s="143" t="s">
        <v>26</v>
      </c>
      <c r="C311" s="143" t="s">
        <v>34</v>
      </c>
      <c r="D311" s="143"/>
      <c r="E311" s="4"/>
      <c r="F311" s="4"/>
      <c r="G311" s="4"/>
      <c r="H311" s="4"/>
      <c r="I311" s="85"/>
      <c r="J311" s="4"/>
      <c r="K311" s="4"/>
      <c r="L311" s="4"/>
      <c r="M311" s="4"/>
      <c r="N311" s="4"/>
      <c r="O311" s="4"/>
      <c r="P311" s="4"/>
    </row>
    <row r="312" spans="1:16" ht="18.600000000000001" customHeight="1" x14ac:dyDescent="0.3">
      <c r="A312" s="6">
        <f t="shared" si="69"/>
        <v>8</v>
      </c>
      <c r="B312" s="24" t="s">
        <v>252</v>
      </c>
      <c r="C312" s="24" t="s">
        <v>89</v>
      </c>
      <c r="D312" s="163"/>
      <c r="E312" s="4"/>
      <c r="F312" s="4"/>
      <c r="G312" s="4"/>
      <c r="H312" s="4"/>
      <c r="I312" s="85"/>
      <c r="J312" s="4"/>
      <c r="K312" s="4"/>
      <c r="L312" s="4"/>
      <c r="M312" s="4"/>
      <c r="N312" s="4"/>
      <c r="O312" s="4"/>
      <c r="P312" s="4"/>
    </row>
    <row r="313" spans="1:16" ht="18.600000000000001" customHeight="1" x14ac:dyDescent="0.3">
      <c r="A313" s="6">
        <f t="shared" si="69"/>
        <v>9</v>
      </c>
      <c r="B313" s="160" t="s">
        <v>927</v>
      </c>
      <c r="C313" s="143" t="s">
        <v>11</v>
      </c>
      <c r="D313" s="143"/>
      <c r="E313" s="4"/>
      <c r="F313" s="4"/>
      <c r="G313" s="4"/>
      <c r="H313" s="4"/>
      <c r="I313" s="85"/>
      <c r="J313" s="4"/>
      <c r="K313" s="4"/>
      <c r="L313" s="4"/>
      <c r="M313" s="4"/>
      <c r="N313" s="4"/>
      <c r="O313" s="4"/>
      <c r="P313" s="4"/>
    </row>
    <row r="314" spans="1:16" ht="18.600000000000001" customHeight="1" x14ac:dyDescent="0.3">
      <c r="A314" s="10">
        <f t="shared" si="69"/>
        <v>10</v>
      </c>
      <c r="B314" s="24" t="s">
        <v>247</v>
      </c>
      <c r="C314" s="24" t="s">
        <v>85</v>
      </c>
      <c r="D314" s="27"/>
      <c r="E314" s="12"/>
      <c r="F314" s="12"/>
      <c r="G314" s="12"/>
      <c r="H314" s="12"/>
      <c r="I314" s="86"/>
      <c r="J314" s="12"/>
      <c r="K314" s="12"/>
      <c r="L314" s="12"/>
      <c r="M314" s="12"/>
      <c r="N314" s="12"/>
      <c r="O314" s="12"/>
      <c r="P314" s="12"/>
    </row>
    <row r="315" spans="1:16" ht="18.600000000000001" customHeight="1" x14ac:dyDescent="0.3">
      <c r="A315" s="35">
        <f t="shared" si="69"/>
        <v>11</v>
      </c>
      <c r="B315" s="25" t="s">
        <v>244</v>
      </c>
      <c r="C315" s="25" t="s">
        <v>84</v>
      </c>
      <c r="D315" s="163"/>
      <c r="E315" s="14"/>
      <c r="F315" s="14"/>
      <c r="G315" s="14"/>
      <c r="H315" s="14"/>
      <c r="I315" s="87"/>
      <c r="J315" s="14"/>
      <c r="K315" s="14"/>
      <c r="L315" s="14"/>
      <c r="M315" s="14"/>
      <c r="N315" s="14"/>
      <c r="O315" s="14"/>
      <c r="P315" s="14"/>
    </row>
    <row r="316" spans="1:16" ht="18.600000000000001" customHeight="1" x14ac:dyDescent="0.3">
      <c r="A316" s="7">
        <f t="shared" si="69"/>
        <v>12</v>
      </c>
      <c r="B316" s="24" t="s">
        <v>234</v>
      </c>
      <c r="C316" s="24" t="s">
        <v>78</v>
      </c>
      <c r="D316" s="163"/>
      <c r="E316" s="4"/>
      <c r="F316" s="4"/>
      <c r="G316" s="4"/>
      <c r="H316" s="4"/>
      <c r="I316" s="85"/>
      <c r="J316" s="4"/>
      <c r="K316" s="4"/>
      <c r="L316" s="4"/>
      <c r="M316" s="4"/>
      <c r="N316" s="4"/>
      <c r="O316" s="4"/>
      <c r="P316" s="4"/>
    </row>
    <row r="317" spans="1:16" ht="18.600000000000001" customHeight="1" x14ac:dyDescent="0.3">
      <c r="A317" s="7">
        <f t="shared" si="69"/>
        <v>13</v>
      </c>
      <c r="B317" s="143" t="s">
        <v>267</v>
      </c>
      <c r="C317" s="143" t="s">
        <v>79</v>
      </c>
      <c r="D317" s="143"/>
      <c r="E317" s="4"/>
      <c r="F317" s="4"/>
      <c r="G317" s="4"/>
      <c r="H317" s="4"/>
      <c r="I317" s="85"/>
      <c r="J317" s="4"/>
      <c r="K317" s="4"/>
      <c r="L317" s="4"/>
      <c r="M317" s="4"/>
      <c r="N317" s="4"/>
      <c r="O317" s="4"/>
      <c r="P317" s="4"/>
    </row>
    <row r="318" spans="1:16" ht="18.600000000000001" customHeight="1" x14ac:dyDescent="0.3">
      <c r="A318" s="7">
        <f t="shared" si="69"/>
        <v>14</v>
      </c>
      <c r="B318" s="3"/>
      <c r="C318" s="4"/>
      <c r="D318" s="8"/>
      <c r="E318" s="4"/>
      <c r="F318" s="4"/>
      <c r="G318" s="4"/>
      <c r="H318" s="4"/>
      <c r="I318" s="85"/>
      <c r="J318" s="4"/>
      <c r="K318" s="4"/>
      <c r="L318" s="4"/>
      <c r="M318" s="4"/>
      <c r="N318" s="4"/>
      <c r="O318" s="4"/>
      <c r="P318" s="4"/>
    </row>
    <row r="319" spans="1:16" ht="18.600000000000001" customHeight="1" x14ac:dyDescent="0.3">
      <c r="A319" s="6">
        <f t="shared" si="69"/>
        <v>15</v>
      </c>
      <c r="B319" s="15"/>
      <c r="C319" s="16"/>
      <c r="D319" s="5"/>
      <c r="E319" s="16"/>
      <c r="F319" s="16"/>
      <c r="G319" s="16"/>
      <c r="H319" s="16"/>
      <c r="I319" s="83"/>
      <c r="J319" s="16"/>
      <c r="K319" s="16"/>
      <c r="L319" s="16"/>
      <c r="M319" s="16"/>
      <c r="N319" s="16"/>
      <c r="O319" s="16"/>
      <c r="P319" s="16"/>
    </row>
    <row r="320" spans="1:16" ht="18.600000000000001" customHeight="1" x14ac:dyDescent="0.3">
      <c r="A320" s="32">
        <f t="shared" si="69"/>
        <v>16</v>
      </c>
      <c r="B320" s="1"/>
      <c r="C320" s="2"/>
      <c r="D320" s="33"/>
      <c r="E320" s="2"/>
      <c r="F320" s="2"/>
      <c r="G320" s="2"/>
      <c r="H320" s="2"/>
      <c r="I320" s="84"/>
      <c r="J320" s="2"/>
      <c r="K320" s="2"/>
      <c r="L320" s="2"/>
      <c r="M320" s="2"/>
      <c r="N320" s="2"/>
      <c r="O320" s="2"/>
      <c r="P320" s="2"/>
    </row>
    <row r="321" spans="1:16" ht="18.600000000000001" customHeight="1" x14ac:dyDescent="0.3">
      <c r="A321" s="7">
        <f t="shared" si="69"/>
        <v>17</v>
      </c>
      <c r="B321" s="3"/>
      <c r="C321" s="4"/>
      <c r="D321" s="8"/>
      <c r="E321" s="4"/>
      <c r="F321" s="4"/>
      <c r="G321" s="4"/>
      <c r="H321" s="4"/>
      <c r="I321" s="85"/>
      <c r="J321" s="4"/>
      <c r="K321" s="4"/>
      <c r="L321" s="4"/>
      <c r="M321" s="4"/>
      <c r="N321" s="4"/>
      <c r="O321" s="4"/>
      <c r="P321" s="4"/>
    </row>
    <row r="322" spans="1:16" ht="18.600000000000001" customHeight="1" x14ac:dyDescent="0.3">
      <c r="A322" s="7">
        <f t="shared" si="69"/>
        <v>18</v>
      </c>
      <c r="B322" s="3"/>
      <c r="C322" s="4"/>
      <c r="D322" s="8"/>
      <c r="E322" s="4"/>
      <c r="F322" s="4"/>
      <c r="G322" s="4"/>
      <c r="H322" s="4"/>
      <c r="I322" s="85"/>
      <c r="J322" s="4"/>
      <c r="K322" s="4"/>
      <c r="L322" s="4"/>
      <c r="M322" s="4"/>
      <c r="N322" s="4"/>
      <c r="O322" s="4"/>
      <c r="P322" s="4"/>
    </row>
    <row r="323" spans="1:16" ht="18.600000000000001" customHeight="1" x14ac:dyDescent="0.3">
      <c r="A323" s="7">
        <f t="shared" si="69"/>
        <v>19</v>
      </c>
      <c r="B323" s="3"/>
      <c r="C323" s="4"/>
      <c r="D323" s="8"/>
      <c r="E323" s="4"/>
      <c r="F323" s="4"/>
      <c r="G323" s="4"/>
      <c r="H323" s="4"/>
      <c r="I323" s="85"/>
      <c r="J323" s="4"/>
      <c r="K323" s="4"/>
      <c r="L323" s="4"/>
      <c r="M323" s="4"/>
      <c r="N323" s="4"/>
      <c r="O323" s="4"/>
      <c r="P323" s="4"/>
    </row>
    <row r="324" spans="1:16" ht="18.600000000000001" customHeight="1" x14ac:dyDescent="0.3">
      <c r="A324" s="10">
        <f t="shared" si="69"/>
        <v>20</v>
      </c>
      <c r="B324" s="11"/>
      <c r="C324" s="12"/>
      <c r="D324" s="9"/>
      <c r="E324" s="12"/>
      <c r="F324" s="12"/>
      <c r="G324" s="12"/>
      <c r="H324" s="12"/>
      <c r="I324" s="86"/>
      <c r="J324" s="12"/>
      <c r="K324" s="12"/>
      <c r="L324" s="12"/>
      <c r="M324" s="12"/>
      <c r="N324" s="12"/>
      <c r="O324" s="12"/>
      <c r="P324" s="12"/>
    </row>
    <row r="325" spans="1:16" ht="18.600000000000001" customHeight="1" x14ac:dyDescent="0.3">
      <c r="A325" s="35">
        <f t="shared" si="69"/>
        <v>21</v>
      </c>
      <c r="B325" s="13"/>
      <c r="C325" s="14"/>
      <c r="D325" s="37"/>
      <c r="E325" s="14"/>
      <c r="F325" s="14"/>
      <c r="G325" s="14"/>
      <c r="H325" s="14"/>
      <c r="I325" s="87"/>
      <c r="J325" s="14"/>
      <c r="K325" s="14"/>
      <c r="L325" s="14"/>
      <c r="M325" s="14"/>
      <c r="N325" s="14"/>
      <c r="O325" s="14"/>
      <c r="P325" s="14"/>
    </row>
    <row r="326" spans="1:16" ht="18.600000000000001" customHeight="1" x14ac:dyDescent="0.3">
      <c r="A326" s="7">
        <f t="shared" si="69"/>
        <v>22</v>
      </c>
      <c r="B326" s="3"/>
      <c r="C326" s="4"/>
      <c r="D326" s="8"/>
      <c r="E326" s="4"/>
      <c r="F326" s="4"/>
      <c r="G326" s="4"/>
      <c r="H326" s="4"/>
      <c r="I326" s="85"/>
      <c r="J326" s="4"/>
      <c r="K326" s="4"/>
      <c r="L326" s="4"/>
      <c r="M326" s="4"/>
      <c r="N326" s="4"/>
      <c r="O326" s="4"/>
      <c r="P326" s="4"/>
    </row>
    <row r="327" spans="1:16" ht="18.600000000000001" customHeight="1" x14ac:dyDescent="0.3">
      <c r="A327" s="35">
        <f t="shared" si="69"/>
        <v>23</v>
      </c>
      <c r="B327" s="3"/>
      <c r="C327" s="4"/>
      <c r="D327" s="8"/>
      <c r="E327" s="4"/>
      <c r="F327" s="4"/>
      <c r="G327" s="4"/>
      <c r="H327" s="4"/>
      <c r="I327" s="85"/>
      <c r="J327" s="4"/>
      <c r="K327" s="4"/>
      <c r="L327" s="4"/>
      <c r="M327" s="4"/>
      <c r="N327" s="4"/>
      <c r="O327" s="4"/>
      <c r="P327" s="4"/>
    </row>
    <row r="328" spans="1:16" ht="18.600000000000001" customHeight="1" x14ac:dyDescent="0.3">
      <c r="A328" s="7">
        <f t="shared" si="69"/>
        <v>24</v>
      </c>
      <c r="B328" s="3"/>
      <c r="C328" s="4"/>
      <c r="D328" s="8"/>
      <c r="E328" s="4"/>
      <c r="F328" s="4"/>
      <c r="G328" s="4"/>
      <c r="H328" s="4"/>
      <c r="I328" s="85"/>
      <c r="J328" s="4"/>
      <c r="K328" s="4"/>
      <c r="L328" s="4"/>
      <c r="M328" s="4"/>
      <c r="N328" s="4"/>
      <c r="O328" s="4"/>
      <c r="P328" s="4"/>
    </row>
    <row r="329" spans="1:16" ht="18.600000000000001" customHeight="1" x14ac:dyDescent="0.3">
      <c r="A329" s="35">
        <f t="shared" si="69"/>
        <v>25</v>
      </c>
      <c r="B329" s="11"/>
      <c r="C329" s="12"/>
      <c r="D329" s="9"/>
      <c r="E329" s="12"/>
      <c r="F329" s="12"/>
      <c r="G329" s="12"/>
      <c r="H329" s="12"/>
      <c r="I329" s="86"/>
      <c r="J329" s="12"/>
      <c r="K329" s="12"/>
      <c r="L329" s="12"/>
      <c r="M329" s="12"/>
      <c r="N329" s="12"/>
      <c r="O329" s="12"/>
      <c r="P329" s="12"/>
    </row>
    <row r="330" spans="1:16" ht="18.600000000000001" customHeight="1" x14ac:dyDescent="0.3">
      <c r="A330" s="147"/>
      <c r="B330" s="148"/>
      <c r="C330" s="147"/>
      <c r="D330" s="149"/>
      <c r="E330" s="215">
        <f>SUBTOTAL(9,E305:E329)</f>
        <v>0</v>
      </c>
      <c r="F330" s="147"/>
      <c r="G330" s="215">
        <f t="shared" ref="G330" si="70">SUBTOTAL(9,G305:G329)</f>
        <v>0</v>
      </c>
      <c r="H330" s="147"/>
      <c r="I330" s="215">
        <f t="shared" ref="I330" si="71">SUBTOTAL(9,I305:I329)</f>
        <v>0</v>
      </c>
      <c r="J330" s="147"/>
      <c r="K330" s="147"/>
      <c r="L330" s="147"/>
      <c r="M330" s="215">
        <f t="shared" ref="M330" si="72">SUBTOTAL(9,M305:M329)</f>
        <v>0</v>
      </c>
      <c r="N330" s="147"/>
      <c r="O330" s="215">
        <f t="shared" ref="O330" si="73">SUBTOTAL(9,O305:O329)</f>
        <v>0</v>
      </c>
      <c r="P330" s="147"/>
    </row>
    <row r="331" spans="1:16" ht="18.600000000000001" customHeight="1" x14ac:dyDescent="0.3">
      <c r="A331" s="445" t="str">
        <f>A301</f>
        <v>DANH SÁCH LỚP VĂN</v>
      </c>
      <c r="B331" s="445"/>
      <c r="C331" s="445"/>
      <c r="D331" s="445"/>
      <c r="E331" s="445"/>
      <c r="F331" s="445"/>
      <c r="G331" s="445"/>
      <c r="H331" s="445"/>
      <c r="I331" s="212" t="s">
        <v>849</v>
      </c>
      <c r="J331" s="213"/>
      <c r="K331" s="213"/>
      <c r="L331" s="213"/>
      <c r="M331" s="214"/>
      <c r="N331" s="214"/>
      <c r="O331" s="214"/>
      <c r="P331" s="214"/>
    </row>
    <row r="332" spans="1:16" ht="18.600000000000001" customHeight="1" x14ac:dyDescent="0.3">
      <c r="A332" s="28"/>
      <c r="B332" s="29"/>
      <c r="C332" s="30"/>
      <c r="D332" s="36"/>
      <c r="E332" s="28"/>
      <c r="F332" s="28"/>
      <c r="G332" s="28"/>
      <c r="H332" s="28"/>
      <c r="I332" s="79"/>
      <c r="J332" s="28"/>
      <c r="K332" s="28"/>
      <c r="L332" s="28"/>
      <c r="M332" s="28"/>
      <c r="N332" s="28"/>
      <c r="O332" s="28"/>
      <c r="P332" s="28"/>
    </row>
    <row r="333" spans="1:16" ht="18.600000000000001" customHeight="1" x14ac:dyDescent="0.3">
      <c r="A333" s="435" t="s">
        <v>374</v>
      </c>
      <c r="B333" s="435" t="s">
        <v>380</v>
      </c>
      <c r="C333" s="435" t="s">
        <v>383</v>
      </c>
      <c r="D333" s="437" t="s">
        <v>384</v>
      </c>
      <c r="E333" s="438" t="s">
        <v>385</v>
      </c>
      <c r="F333" s="439"/>
      <c r="G333" s="432" t="str">
        <f>$R$1</f>
        <v>Đợt 6</v>
      </c>
      <c r="H333" s="433"/>
      <c r="I333" s="432" t="str">
        <f>$T$1</f>
        <v>Đợt 7</v>
      </c>
      <c r="J333" s="433"/>
      <c r="K333" s="432" t="str">
        <f>$V$1</f>
        <v>Đợt 8</v>
      </c>
      <c r="L333" s="433"/>
      <c r="M333" s="432" t="str">
        <f>$X$1</f>
        <v>Đợt 9</v>
      </c>
      <c r="N333" s="433"/>
      <c r="O333" s="432" t="str">
        <f>$Z$1</f>
        <v>Đợt 10</v>
      </c>
      <c r="P333" s="433"/>
    </row>
    <row r="334" spans="1:16" ht="18.600000000000001" customHeight="1" x14ac:dyDescent="0.3">
      <c r="A334" s="436"/>
      <c r="B334" s="436"/>
      <c r="C334" s="436"/>
      <c r="D334" s="436"/>
      <c r="E334" s="31" t="s">
        <v>381</v>
      </c>
      <c r="F334" s="31" t="s">
        <v>382</v>
      </c>
      <c r="G334" s="31" t="s">
        <v>381</v>
      </c>
      <c r="H334" s="31" t="s">
        <v>382</v>
      </c>
      <c r="I334" s="80" t="s">
        <v>381</v>
      </c>
      <c r="J334" s="31" t="s">
        <v>382</v>
      </c>
      <c r="K334" s="80" t="s">
        <v>381</v>
      </c>
      <c r="L334" s="31" t="s">
        <v>382</v>
      </c>
      <c r="M334" s="31" t="s">
        <v>381</v>
      </c>
      <c r="N334" s="31" t="s">
        <v>382</v>
      </c>
      <c r="O334" s="31" t="s">
        <v>381</v>
      </c>
      <c r="P334" s="31" t="s">
        <v>382</v>
      </c>
    </row>
    <row r="335" spans="1:16" ht="18.600000000000001" customHeight="1" x14ac:dyDescent="0.3">
      <c r="A335" s="32">
        <v>1</v>
      </c>
      <c r="B335" s="24" t="s">
        <v>91</v>
      </c>
      <c r="C335" s="24" t="s">
        <v>14</v>
      </c>
      <c r="D335" s="163"/>
      <c r="E335" s="32"/>
      <c r="F335" s="34"/>
      <c r="G335" s="32"/>
      <c r="H335" s="93"/>
      <c r="I335" s="81"/>
      <c r="J335" s="34"/>
      <c r="K335" s="34"/>
      <c r="L335" s="34"/>
      <c r="M335" s="32"/>
      <c r="N335" s="34"/>
      <c r="O335" s="32"/>
      <c r="P335" s="34"/>
    </row>
    <row r="336" spans="1:16" ht="18.600000000000001" customHeight="1" x14ac:dyDescent="0.3">
      <c r="A336" s="7">
        <f t="shared" ref="A336:A359" si="74">A335+1</f>
        <v>2</v>
      </c>
      <c r="B336" s="25" t="s">
        <v>598</v>
      </c>
      <c r="C336" s="25" t="s">
        <v>599</v>
      </c>
      <c r="D336" s="163"/>
      <c r="E336" s="7"/>
      <c r="F336" s="7"/>
      <c r="G336" s="7"/>
      <c r="H336" s="7"/>
      <c r="I336" s="82"/>
      <c r="J336" s="7"/>
      <c r="K336" s="7"/>
      <c r="L336" s="7"/>
      <c r="M336" s="7"/>
      <c r="N336" s="7"/>
      <c r="O336" s="7"/>
      <c r="P336" s="7"/>
    </row>
    <row r="337" spans="1:16" ht="18.600000000000001" customHeight="1" x14ac:dyDescent="0.3">
      <c r="A337" s="7">
        <f t="shared" si="74"/>
        <v>3</v>
      </c>
      <c r="B337" s="24" t="s">
        <v>307</v>
      </c>
      <c r="C337" s="24" t="s">
        <v>15</v>
      </c>
      <c r="D337" s="25">
        <v>937983726</v>
      </c>
      <c r="E337" s="7"/>
      <c r="F337" s="7"/>
      <c r="G337" s="7"/>
      <c r="H337" s="7"/>
      <c r="I337" s="82"/>
      <c r="J337" s="7"/>
      <c r="K337" s="7"/>
      <c r="L337" s="7"/>
      <c r="M337" s="7"/>
      <c r="N337" s="7"/>
      <c r="O337" s="7"/>
      <c r="P337" s="7"/>
    </row>
    <row r="338" spans="1:16" ht="18.600000000000001" customHeight="1" x14ac:dyDescent="0.3">
      <c r="A338" s="7">
        <f t="shared" si="74"/>
        <v>4</v>
      </c>
      <c r="B338" s="24" t="s">
        <v>299</v>
      </c>
      <c r="C338" s="24" t="s">
        <v>97</v>
      </c>
      <c r="D338" s="163"/>
      <c r="E338" s="7"/>
      <c r="F338" s="7"/>
      <c r="G338" s="7"/>
      <c r="H338" s="7"/>
      <c r="I338" s="82"/>
      <c r="J338" s="7"/>
      <c r="K338" s="7"/>
      <c r="L338" s="7"/>
      <c r="M338" s="7"/>
      <c r="N338" s="7"/>
      <c r="O338" s="7"/>
      <c r="P338" s="7"/>
    </row>
    <row r="339" spans="1:16" ht="18.600000000000001" customHeight="1" x14ac:dyDescent="0.3">
      <c r="A339" s="6">
        <f t="shared" si="74"/>
        <v>5</v>
      </c>
      <c r="B339" s="24" t="s">
        <v>285</v>
      </c>
      <c r="C339" s="24" t="s">
        <v>13</v>
      </c>
      <c r="D339" s="26"/>
      <c r="E339" s="16"/>
      <c r="F339" s="16"/>
      <c r="G339" s="16"/>
      <c r="H339" s="16"/>
      <c r="I339" s="83"/>
      <c r="J339" s="16"/>
      <c r="K339" s="16"/>
      <c r="L339" s="16"/>
      <c r="M339" s="16"/>
      <c r="N339" s="16"/>
      <c r="O339" s="16"/>
      <c r="P339" s="16"/>
    </row>
    <row r="340" spans="1:16" ht="18.600000000000001" customHeight="1" x14ac:dyDescent="0.3">
      <c r="A340" s="56">
        <f t="shared" si="74"/>
        <v>6</v>
      </c>
      <c r="B340" s="25" t="s">
        <v>477</v>
      </c>
      <c r="C340" s="25" t="s">
        <v>73</v>
      </c>
      <c r="D340" s="163"/>
      <c r="E340" s="2"/>
      <c r="F340" s="2"/>
      <c r="G340" s="2"/>
      <c r="H340" s="2"/>
      <c r="I340" s="84"/>
      <c r="J340" s="2"/>
      <c r="K340" s="2"/>
      <c r="L340" s="2"/>
      <c r="M340" s="2"/>
      <c r="N340" s="2"/>
      <c r="O340" s="2"/>
      <c r="P340" s="2"/>
    </row>
    <row r="341" spans="1:16" ht="18.600000000000001" customHeight="1" x14ac:dyDescent="0.3">
      <c r="A341" s="6">
        <f t="shared" si="74"/>
        <v>7</v>
      </c>
      <c r="B341" s="26" t="s">
        <v>647</v>
      </c>
      <c r="C341" s="26" t="s">
        <v>24</v>
      </c>
      <c r="D341" s="26"/>
      <c r="E341" s="4"/>
      <c r="F341" s="4"/>
      <c r="G341" s="4"/>
      <c r="H341" s="4"/>
      <c r="I341" s="85"/>
      <c r="J341" s="4"/>
      <c r="K341" s="4"/>
      <c r="L341" s="4"/>
      <c r="M341" s="4"/>
      <c r="N341" s="4"/>
      <c r="O341" s="4"/>
      <c r="P341" s="4"/>
    </row>
    <row r="342" spans="1:16" ht="18.600000000000001" customHeight="1" x14ac:dyDescent="0.3">
      <c r="A342" s="6">
        <f t="shared" si="74"/>
        <v>8</v>
      </c>
      <c r="B342" s="25" t="s">
        <v>505</v>
      </c>
      <c r="C342" s="25" t="s">
        <v>24</v>
      </c>
      <c r="D342" s="163"/>
      <c r="E342" s="4"/>
      <c r="F342" s="4"/>
      <c r="G342" s="4"/>
      <c r="H342" s="4"/>
      <c r="I342" s="85"/>
      <c r="J342" s="4"/>
      <c r="K342" s="4"/>
      <c r="L342" s="4"/>
      <c r="M342" s="4"/>
      <c r="N342" s="4"/>
      <c r="O342" s="4"/>
      <c r="P342" s="4"/>
    </row>
    <row r="343" spans="1:16" ht="18.600000000000001" customHeight="1" x14ac:dyDescent="0.3">
      <c r="A343" s="6">
        <f t="shared" si="74"/>
        <v>9</v>
      </c>
      <c r="B343" s="3" t="s">
        <v>709</v>
      </c>
      <c r="C343" s="26" t="s">
        <v>26</v>
      </c>
      <c r="D343" s="26"/>
      <c r="E343" s="4"/>
      <c r="F343" s="4"/>
      <c r="G343" s="4"/>
      <c r="H343" s="4"/>
      <c r="I343" s="85"/>
      <c r="J343" s="4"/>
      <c r="K343" s="4"/>
      <c r="L343" s="4"/>
      <c r="M343" s="4"/>
      <c r="N343" s="4"/>
      <c r="O343" s="4"/>
      <c r="P343" s="4"/>
    </row>
    <row r="344" spans="1:16" ht="18.600000000000001" customHeight="1" x14ac:dyDescent="0.3">
      <c r="A344" s="10">
        <f t="shared" si="74"/>
        <v>10</v>
      </c>
      <c r="B344" s="24" t="s">
        <v>823</v>
      </c>
      <c r="C344" s="25" t="s">
        <v>46</v>
      </c>
      <c r="D344" s="24"/>
      <c r="E344" s="12"/>
      <c r="F344" s="12"/>
      <c r="G344" s="12"/>
      <c r="H344" s="12"/>
      <c r="I344" s="86"/>
      <c r="J344" s="12"/>
      <c r="K344" s="12"/>
      <c r="L344" s="12"/>
      <c r="M344" s="12"/>
      <c r="N344" s="12"/>
      <c r="O344" s="12"/>
      <c r="P344" s="12"/>
    </row>
    <row r="345" spans="1:16" ht="18.600000000000001" customHeight="1" x14ac:dyDescent="0.3">
      <c r="A345" s="35">
        <f t="shared" si="74"/>
        <v>11</v>
      </c>
      <c r="B345" s="25" t="s">
        <v>149</v>
      </c>
      <c r="C345" s="25" t="s">
        <v>43</v>
      </c>
      <c r="D345" s="163"/>
      <c r="E345" s="14"/>
      <c r="F345" s="14"/>
      <c r="G345" s="14"/>
      <c r="H345" s="14"/>
      <c r="I345" s="87"/>
      <c r="J345" s="14"/>
      <c r="K345" s="14"/>
      <c r="L345" s="14"/>
      <c r="M345" s="14"/>
      <c r="N345" s="14"/>
      <c r="O345" s="14"/>
      <c r="P345" s="14"/>
    </row>
    <row r="346" spans="1:16" ht="18.600000000000001" customHeight="1" x14ac:dyDescent="0.3">
      <c r="A346" s="7">
        <f t="shared" si="74"/>
        <v>12</v>
      </c>
      <c r="B346" s="24" t="s">
        <v>239</v>
      </c>
      <c r="C346" s="24" t="s">
        <v>9</v>
      </c>
      <c r="D346" s="24">
        <v>865694187</v>
      </c>
      <c r="E346" s="4"/>
      <c r="F346" s="4"/>
      <c r="G346" s="4"/>
      <c r="H346" s="4"/>
      <c r="I346" s="85"/>
      <c r="J346" s="4"/>
      <c r="K346" s="4"/>
      <c r="L346" s="4"/>
      <c r="M346" s="4"/>
      <c r="N346" s="4"/>
      <c r="O346" s="4"/>
      <c r="P346" s="4"/>
    </row>
    <row r="347" spans="1:16" ht="18.600000000000001" customHeight="1" x14ac:dyDescent="0.3">
      <c r="A347" s="7">
        <f t="shared" si="74"/>
        <v>13</v>
      </c>
      <c r="B347" s="64" t="s">
        <v>1093</v>
      </c>
      <c r="C347" s="25" t="s">
        <v>40</v>
      </c>
      <c r="D347" s="24"/>
      <c r="E347" s="4"/>
      <c r="F347" s="4"/>
      <c r="G347" s="4"/>
      <c r="H347" s="4"/>
      <c r="I347" s="85"/>
      <c r="J347" s="4"/>
      <c r="K347" s="4"/>
      <c r="L347" s="4"/>
      <c r="M347" s="4"/>
      <c r="N347" s="4"/>
      <c r="O347" s="4"/>
      <c r="P347" s="4"/>
    </row>
    <row r="348" spans="1:16" ht="18.600000000000001" customHeight="1" x14ac:dyDescent="0.3">
      <c r="A348" s="7">
        <f t="shared" si="74"/>
        <v>14</v>
      </c>
      <c r="B348" s="39" t="s">
        <v>893</v>
      </c>
      <c r="C348" s="24" t="s">
        <v>28</v>
      </c>
      <c r="D348" s="163"/>
      <c r="E348" s="4"/>
      <c r="F348" s="4"/>
      <c r="G348" s="4"/>
      <c r="H348" s="4"/>
      <c r="I348" s="85"/>
      <c r="J348" s="4"/>
      <c r="K348" s="4"/>
      <c r="L348" s="4"/>
      <c r="M348" s="4"/>
      <c r="N348" s="4"/>
      <c r="O348" s="4"/>
      <c r="P348" s="4"/>
    </row>
    <row r="349" spans="1:16" ht="18.600000000000001" customHeight="1" x14ac:dyDescent="0.3">
      <c r="A349" s="6">
        <f t="shared" si="74"/>
        <v>15</v>
      </c>
      <c r="B349" s="25" t="s">
        <v>236</v>
      </c>
      <c r="C349" s="25" t="s">
        <v>80</v>
      </c>
      <c r="D349" s="163"/>
      <c r="E349" s="16"/>
      <c r="F349" s="16"/>
      <c r="G349" s="16"/>
      <c r="H349" s="16"/>
      <c r="I349" s="83"/>
      <c r="J349" s="16"/>
      <c r="K349" s="16"/>
      <c r="L349" s="16"/>
      <c r="M349" s="16"/>
      <c r="N349" s="16"/>
      <c r="O349" s="16"/>
      <c r="P349" s="16"/>
    </row>
    <row r="350" spans="1:16" ht="18.600000000000001" customHeight="1" x14ac:dyDescent="0.3">
      <c r="A350" s="32">
        <f t="shared" si="74"/>
        <v>16</v>
      </c>
      <c r="B350" s="25" t="s">
        <v>236</v>
      </c>
      <c r="C350" s="25" t="s">
        <v>96</v>
      </c>
      <c r="D350" s="163"/>
      <c r="E350" s="2"/>
      <c r="F350" s="2"/>
      <c r="G350" s="2"/>
      <c r="H350" s="2"/>
      <c r="I350" s="84"/>
      <c r="J350" s="2"/>
      <c r="K350" s="2"/>
      <c r="L350" s="2"/>
      <c r="M350" s="2"/>
      <c r="N350" s="2"/>
      <c r="O350" s="2"/>
      <c r="P350" s="2"/>
    </row>
    <row r="351" spans="1:16" ht="18.600000000000001" customHeight="1" x14ac:dyDescent="0.3">
      <c r="A351" s="7">
        <f t="shared" si="74"/>
        <v>17</v>
      </c>
      <c r="B351" s="25" t="s">
        <v>211</v>
      </c>
      <c r="C351" s="25" t="s">
        <v>57</v>
      </c>
      <c r="D351" s="25">
        <v>765916590</v>
      </c>
      <c r="E351" s="4"/>
      <c r="F351" s="4"/>
      <c r="G351" s="4"/>
      <c r="H351" s="4"/>
      <c r="I351" s="85"/>
      <c r="J351" s="4"/>
      <c r="K351" s="4"/>
      <c r="L351" s="4"/>
      <c r="M351" s="4"/>
      <c r="N351" s="4"/>
      <c r="O351" s="4"/>
      <c r="P351" s="4"/>
    </row>
    <row r="352" spans="1:16" ht="18.600000000000001" customHeight="1" x14ac:dyDescent="0.3">
      <c r="A352" s="7">
        <f t="shared" si="74"/>
        <v>18</v>
      </c>
      <c r="B352" s="143" t="s">
        <v>791</v>
      </c>
      <c r="C352" s="143" t="s">
        <v>20</v>
      </c>
      <c r="D352" s="143">
        <v>866699720</v>
      </c>
      <c r="E352" s="4"/>
      <c r="F352" s="4"/>
      <c r="G352" s="4"/>
      <c r="H352" s="4"/>
      <c r="I352" s="85"/>
      <c r="J352" s="4"/>
      <c r="K352" s="4"/>
      <c r="L352" s="4"/>
      <c r="M352" s="4"/>
      <c r="N352" s="4"/>
      <c r="O352" s="4"/>
      <c r="P352" s="4"/>
    </row>
    <row r="353" spans="1:16" ht="18.600000000000001" customHeight="1" x14ac:dyDescent="0.3">
      <c r="A353" s="7">
        <f t="shared" si="74"/>
        <v>19</v>
      </c>
      <c r="B353" s="26" t="s">
        <v>646</v>
      </c>
      <c r="C353" s="26" t="s">
        <v>20</v>
      </c>
      <c r="D353" s="26"/>
      <c r="E353" s="4"/>
      <c r="F353" s="4"/>
      <c r="G353" s="4"/>
      <c r="H353" s="4"/>
      <c r="I353" s="85"/>
      <c r="J353" s="4"/>
      <c r="K353" s="4"/>
      <c r="L353" s="4"/>
      <c r="M353" s="4"/>
      <c r="N353" s="4"/>
      <c r="O353" s="4"/>
      <c r="P353" s="4"/>
    </row>
    <row r="354" spans="1:16" ht="18.600000000000001" customHeight="1" x14ac:dyDescent="0.3">
      <c r="A354" s="10">
        <f t="shared" si="74"/>
        <v>20</v>
      </c>
      <c r="B354" s="26" t="s">
        <v>707</v>
      </c>
      <c r="C354" s="26" t="s">
        <v>20</v>
      </c>
      <c r="D354" s="26"/>
      <c r="E354" s="12"/>
      <c r="F354" s="12"/>
      <c r="G354" s="12"/>
      <c r="H354" s="12"/>
      <c r="I354" s="86"/>
      <c r="J354" s="12"/>
      <c r="K354" s="12"/>
      <c r="L354" s="12"/>
      <c r="M354" s="12"/>
      <c r="N354" s="12"/>
      <c r="O354" s="12"/>
      <c r="P354" s="12"/>
    </row>
    <row r="355" spans="1:16" ht="18.600000000000001" customHeight="1" x14ac:dyDescent="0.3">
      <c r="A355" s="35">
        <f t="shared" si="74"/>
        <v>21</v>
      </c>
      <c r="B355" s="24" t="s">
        <v>291</v>
      </c>
      <c r="C355" s="63" t="s">
        <v>79</v>
      </c>
      <c r="D355" s="24"/>
      <c r="E355" s="14"/>
      <c r="F355" s="14"/>
      <c r="G355" s="14"/>
      <c r="H355" s="14"/>
      <c r="I355" s="87"/>
      <c r="J355" s="14"/>
      <c r="K355" s="14"/>
      <c r="L355" s="14"/>
      <c r="M355" s="14"/>
      <c r="N355" s="14"/>
      <c r="O355" s="14"/>
      <c r="P355" s="14"/>
    </row>
    <row r="356" spans="1:16" ht="18.600000000000001" customHeight="1" x14ac:dyDescent="0.3">
      <c r="A356" s="7">
        <f t="shared" si="74"/>
        <v>22</v>
      </c>
      <c r="B356" s="3"/>
      <c r="C356" s="4"/>
      <c r="D356" s="8"/>
      <c r="E356" s="4"/>
      <c r="F356" s="4"/>
      <c r="G356" s="4"/>
      <c r="H356" s="4"/>
      <c r="I356" s="85"/>
      <c r="J356" s="4"/>
      <c r="K356" s="4"/>
      <c r="L356" s="4"/>
      <c r="M356" s="4"/>
      <c r="N356" s="4"/>
      <c r="O356" s="4"/>
      <c r="P356" s="4"/>
    </row>
    <row r="357" spans="1:16" ht="18.600000000000001" customHeight="1" x14ac:dyDescent="0.3">
      <c r="A357" s="35">
        <f t="shared" si="74"/>
        <v>23</v>
      </c>
      <c r="B357" s="3"/>
      <c r="C357" s="4"/>
      <c r="D357" s="8"/>
      <c r="E357" s="4"/>
      <c r="F357" s="4"/>
      <c r="G357" s="4"/>
      <c r="H357" s="4"/>
      <c r="I357" s="85"/>
      <c r="J357" s="4"/>
      <c r="K357" s="4"/>
      <c r="L357" s="4"/>
      <c r="M357" s="4"/>
      <c r="N357" s="4"/>
      <c r="O357" s="4"/>
      <c r="P357" s="4"/>
    </row>
    <row r="358" spans="1:16" ht="18.600000000000001" customHeight="1" x14ac:dyDescent="0.3">
      <c r="A358" s="7">
        <f t="shared" si="74"/>
        <v>24</v>
      </c>
      <c r="B358" s="3"/>
      <c r="C358" s="4"/>
      <c r="D358" s="8"/>
      <c r="E358" s="4"/>
      <c r="F358" s="4"/>
      <c r="G358" s="4"/>
      <c r="H358" s="4"/>
      <c r="I358" s="85"/>
      <c r="J358" s="4"/>
      <c r="K358" s="4"/>
      <c r="L358" s="4"/>
      <c r="M358" s="4"/>
      <c r="N358" s="4"/>
      <c r="O358" s="4"/>
      <c r="P358" s="4"/>
    </row>
    <row r="359" spans="1:16" ht="18.600000000000001" customHeight="1" x14ac:dyDescent="0.3">
      <c r="A359" s="35">
        <f t="shared" si="74"/>
        <v>25</v>
      </c>
      <c r="B359" s="11"/>
      <c r="C359" s="12"/>
      <c r="D359" s="9"/>
      <c r="E359" s="12"/>
      <c r="F359" s="12"/>
      <c r="G359" s="12"/>
      <c r="H359" s="12"/>
      <c r="I359" s="86"/>
      <c r="J359" s="12"/>
      <c r="K359" s="12"/>
      <c r="L359" s="12"/>
      <c r="M359" s="12"/>
      <c r="N359" s="12"/>
      <c r="O359" s="12"/>
      <c r="P359" s="12"/>
    </row>
    <row r="360" spans="1:16" ht="18.600000000000001" customHeight="1" x14ac:dyDescent="0.3">
      <c r="A360" s="147"/>
      <c r="B360" s="148"/>
      <c r="C360" s="147"/>
      <c r="D360" s="149"/>
      <c r="E360" s="215">
        <f>SUBTOTAL(9,E335:E359)</f>
        <v>0</v>
      </c>
      <c r="F360" s="147"/>
      <c r="G360" s="215">
        <f t="shared" ref="G360" si="75">SUBTOTAL(9,G335:G359)</f>
        <v>0</v>
      </c>
      <c r="H360" s="147"/>
      <c r="I360" s="215">
        <f t="shared" ref="I360" si="76">SUBTOTAL(9,I335:I359)</f>
        <v>0</v>
      </c>
      <c r="J360" s="147"/>
      <c r="K360" s="147"/>
      <c r="L360" s="147"/>
      <c r="M360" s="215">
        <f t="shared" ref="M360" si="77">SUBTOTAL(9,M335:M359)</f>
        <v>0</v>
      </c>
      <c r="N360" s="147"/>
      <c r="O360" s="215">
        <f t="shared" ref="O360" si="78">SUBTOTAL(9,O335:O359)</f>
        <v>0</v>
      </c>
      <c r="P360" s="147"/>
    </row>
    <row r="361" spans="1:16" ht="18.600000000000001" customHeight="1" x14ac:dyDescent="0.3">
      <c r="A361" s="445" t="str">
        <f>A331</f>
        <v>DANH SÁCH LỚP VĂN</v>
      </c>
      <c r="B361" s="445"/>
      <c r="C361" s="445"/>
      <c r="D361" s="445"/>
      <c r="E361" s="445"/>
      <c r="F361" s="445"/>
      <c r="G361" s="445"/>
      <c r="H361" s="445"/>
      <c r="I361" s="212" t="s">
        <v>1037</v>
      </c>
      <c r="J361" s="213"/>
      <c r="K361" s="213"/>
      <c r="L361" s="213"/>
      <c r="M361" s="214"/>
      <c r="N361" s="214"/>
      <c r="O361" s="214"/>
      <c r="P361" s="214"/>
    </row>
    <row r="362" spans="1:16" ht="18.600000000000001" customHeight="1" x14ac:dyDescent="0.3">
      <c r="A362" s="28"/>
      <c r="B362" s="29"/>
      <c r="C362" s="30"/>
      <c r="D362" s="36"/>
      <c r="E362" s="28"/>
      <c r="F362" s="28"/>
      <c r="G362" s="28"/>
      <c r="H362" s="28"/>
      <c r="I362" s="79"/>
      <c r="J362" s="28"/>
      <c r="K362" s="28"/>
      <c r="L362" s="28"/>
      <c r="M362" s="28"/>
      <c r="N362" s="28"/>
      <c r="O362" s="28"/>
      <c r="P362" s="28"/>
    </row>
    <row r="363" spans="1:16" ht="18.600000000000001" customHeight="1" x14ac:dyDescent="0.3">
      <c r="A363" s="435" t="s">
        <v>374</v>
      </c>
      <c r="B363" s="435" t="s">
        <v>380</v>
      </c>
      <c r="C363" s="435" t="s">
        <v>383</v>
      </c>
      <c r="D363" s="437" t="s">
        <v>384</v>
      </c>
      <c r="E363" s="438" t="s">
        <v>385</v>
      </c>
      <c r="F363" s="439"/>
      <c r="G363" s="432" t="str">
        <f>$R$1</f>
        <v>Đợt 6</v>
      </c>
      <c r="H363" s="433"/>
      <c r="I363" s="432" t="str">
        <f>$T$1</f>
        <v>Đợt 7</v>
      </c>
      <c r="J363" s="433"/>
      <c r="K363" s="432" t="str">
        <f>$V$1</f>
        <v>Đợt 8</v>
      </c>
      <c r="L363" s="433"/>
      <c r="M363" s="432" t="str">
        <f>$X$1</f>
        <v>Đợt 9</v>
      </c>
      <c r="N363" s="433"/>
      <c r="O363" s="432" t="str">
        <f>$Z$1</f>
        <v>Đợt 10</v>
      </c>
      <c r="P363" s="433"/>
    </row>
    <row r="364" spans="1:16" ht="18.600000000000001" customHeight="1" x14ac:dyDescent="0.3">
      <c r="A364" s="436"/>
      <c r="B364" s="436"/>
      <c r="C364" s="436"/>
      <c r="D364" s="436"/>
      <c r="E364" s="31" t="s">
        <v>381</v>
      </c>
      <c r="F364" s="31" t="s">
        <v>382</v>
      </c>
      <c r="G364" s="31" t="s">
        <v>381</v>
      </c>
      <c r="H364" s="31" t="s">
        <v>382</v>
      </c>
      <c r="I364" s="80" t="s">
        <v>381</v>
      </c>
      <c r="J364" s="31" t="s">
        <v>382</v>
      </c>
      <c r="K364" s="80" t="s">
        <v>381</v>
      </c>
      <c r="L364" s="31" t="s">
        <v>382</v>
      </c>
      <c r="M364" s="31" t="s">
        <v>381</v>
      </c>
      <c r="N364" s="31" t="s">
        <v>382</v>
      </c>
      <c r="O364" s="31" t="s">
        <v>381</v>
      </c>
      <c r="P364" s="31" t="s">
        <v>382</v>
      </c>
    </row>
    <row r="365" spans="1:16" ht="18.600000000000001" customHeight="1" x14ac:dyDescent="0.3">
      <c r="A365" s="32">
        <v>1</v>
      </c>
      <c r="B365" s="24" t="s">
        <v>250</v>
      </c>
      <c r="C365" s="24" t="s">
        <v>87</v>
      </c>
      <c r="D365" s="24">
        <v>787864463</v>
      </c>
      <c r="E365" s="32"/>
      <c r="F365" s="34"/>
      <c r="G365" s="32"/>
      <c r="H365" s="93"/>
      <c r="I365" s="81"/>
      <c r="J365" s="34"/>
      <c r="K365" s="34"/>
      <c r="L365" s="34"/>
      <c r="M365" s="32"/>
      <c r="N365" s="34"/>
      <c r="O365" s="32"/>
      <c r="P365" s="34"/>
    </row>
    <row r="366" spans="1:16" ht="18.600000000000001" customHeight="1" x14ac:dyDescent="0.3">
      <c r="A366" s="7">
        <f t="shared" ref="A366:A389" si="79">A365+1</f>
        <v>2</v>
      </c>
      <c r="B366" s="143" t="s">
        <v>267</v>
      </c>
      <c r="C366" s="143" t="s">
        <v>102</v>
      </c>
      <c r="D366" s="143"/>
      <c r="E366" s="7"/>
      <c r="F366" s="7"/>
      <c r="G366" s="7"/>
      <c r="H366" s="7"/>
      <c r="I366" s="82"/>
      <c r="J366" s="7"/>
      <c r="K366" s="7"/>
      <c r="L366" s="7"/>
      <c r="M366" s="7"/>
      <c r="N366" s="7"/>
      <c r="O366" s="7"/>
      <c r="P366" s="7"/>
    </row>
    <row r="367" spans="1:16" ht="18.600000000000001" customHeight="1" x14ac:dyDescent="0.3">
      <c r="A367" s="7">
        <f t="shared" si="79"/>
        <v>3</v>
      </c>
      <c r="B367" s="143" t="s">
        <v>827</v>
      </c>
      <c r="C367" s="143" t="s">
        <v>68</v>
      </c>
      <c r="D367" s="143">
        <v>374052642</v>
      </c>
      <c r="E367" s="7"/>
      <c r="F367" s="7"/>
      <c r="G367" s="7"/>
      <c r="H367" s="7"/>
      <c r="I367" s="82"/>
      <c r="J367" s="7"/>
      <c r="K367" s="7"/>
      <c r="L367" s="7"/>
      <c r="M367" s="7"/>
      <c r="N367" s="7"/>
      <c r="O367" s="7"/>
      <c r="P367" s="7"/>
    </row>
    <row r="368" spans="1:16" ht="18.600000000000001" customHeight="1" x14ac:dyDescent="0.3">
      <c r="A368" s="7">
        <f t="shared" si="79"/>
        <v>4</v>
      </c>
      <c r="B368" s="26" t="s">
        <v>708</v>
      </c>
      <c r="C368" s="26" t="s">
        <v>64</v>
      </c>
      <c r="D368" s="26"/>
      <c r="E368" s="7"/>
      <c r="F368" s="7"/>
      <c r="G368" s="7"/>
      <c r="H368" s="7"/>
      <c r="I368" s="82"/>
      <c r="J368" s="7"/>
      <c r="K368" s="7"/>
      <c r="L368" s="7"/>
      <c r="M368" s="7"/>
      <c r="N368" s="7"/>
      <c r="O368" s="7"/>
      <c r="P368" s="7"/>
    </row>
    <row r="369" spans="1:16" ht="18.600000000000001" customHeight="1" x14ac:dyDescent="0.3">
      <c r="A369" s="6">
        <f t="shared" si="79"/>
        <v>5</v>
      </c>
      <c r="B369" s="24" t="s">
        <v>241</v>
      </c>
      <c r="C369" s="24" t="s">
        <v>1210</v>
      </c>
      <c r="D369" s="163"/>
      <c r="E369" s="16"/>
      <c r="F369" s="16"/>
      <c r="G369" s="16"/>
      <c r="H369" s="16"/>
      <c r="I369" s="83"/>
      <c r="J369" s="16"/>
      <c r="K369" s="16"/>
      <c r="L369" s="16"/>
      <c r="M369" s="16"/>
      <c r="N369" s="16"/>
      <c r="O369" s="16"/>
      <c r="P369" s="16"/>
    </row>
    <row r="370" spans="1:16" ht="18.600000000000001" customHeight="1" x14ac:dyDescent="0.3">
      <c r="A370" s="56">
        <f t="shared" si="79"/>
        <v>6</v>
      </c>
      <c r="B370" s="25" t="s">
        <v>241</v>
      </c>
      <c r="C370" s="25" t="s">
        <v>1211</v>
      </c>
      <c r="D370" s="163"/>
      <c r="E370" s="2"/>
      <c r="F370" s="2"/>
      <c r="G370" s="2"/>
      <c r="H370" s="2"/>
      <c r="I370" s="84"/>
      <c r="J370" s="2"/>
      <c r="K370" s="2"/>
      <c r="L370" s="2"/>
      <c r="M370" s="2"/>
      <c r="N370" s="2"/>
      <c r="O370" s="2"/>
      <c r="P370" s="2"/>
    </row>
    <row r="371" spans="1:16" ht="18.600000000000001" customHeight="1" x14ac:dyDescent="0.3">
      <c r="A371" s="6">
        <f t="shared" si="79"/>
        <v>7</v>
      </c>
      <c r="B371" s="24" t="s">
        <v>630</v>
      </c>
      <c r="C371" s="24" t="s">
        <v>13</v>
      </c>
      <c r="D371" s="163"/>
      <c r="E371" s="4"/>
      <c r="F371" s="4"/>
      <c r="G371" s="4"/>
      <c r="H371" s="4"/>
      <c r="I371" s="85"/>
      <c r="J371" s="4"/>
      <c r="K371" s="4"/>
      <c r="L371" s="4"/>
      <c r="M371" s="4"/>
      <c r="N371" s="4"/>
      <c r="O371" s="4"/>
      <c r="P371" s="4"/>
    </row>
    <row r="372" spans="1:16" ht="18.600000000000001" customHeight="1" x14ac:dyDescent="0.3">
      <c r="A372" s="6">
        <f t="shared" si="79"/>
        <v>8</v>
      </c>
      <c r="B372" s="24" t="s">
        <v>1205</v>
      </c>
      <c r="C372" s="24" t="s">
        <v>126</v>
      </c>
      <c r="D372" s="24"/>
      <c r="E372" s="4"/>
      <c r="F372" s="4"/>
      <c r="G372" s="4"/>
      <c r="H372" s="4"/>
      <c r="I372" s="85"/>
      <c r="J372" s="4"/>
      <c r="K372" s="4"/>
      <c r="L372" s="4"/>
      <c r="M372" s="4"/>
      <c r="N372" s="4"/>
      <c r="O372" s="4"/>
      <c r="P372" s="4"/>
    </row>
    <row r="373" spans="1:16" ht="18.600000000000001" customHeight="1" x14ac:dyDescent="0.3">
      <c r="A373" s="6">
        <f t="shared" si="79"/>
        <v>9</v>
      </c>
      <c r="B373" s="25" t="s">
        <v>648</v>
      </c>
      <c r="C373" s="25" t="s">
        <v>62</v>
      </c>
      <c r="D373" s="163"/>
      <c r="E373" s="4"/>
      <c r="F373" s="4"/>
      <c r="G373" s="4"/>
      <c r="H373" s="4"/>
      <c r="I373" s="85"/>
      <c r="J373" s="4"/>
      <c r="K373" s="4"/>
      <c r="L373" s="4"/>
      <c r="M373" s="4"/>
      <c r="N373" s="4"/>
      <c r="O373" s="4"/>
      <c r="P373" s="4"/>
    </row>
    <row r="374" spans="1:16" ht="18.600000000000001" customHeight="1" x14ac:dyDescent="0.3">
      <c r="A374" s="10">
        <f t="shared" si="79"/>
        <v>10</v>
      </c>
      <c r="B374" s="24" t="s">
        <v>233</v>
      </c>
      <c r="C374" s="24" t="s">
        <v>56</v>
      </c>
      <c r="D374" s="163"/>
      <c r="E374" s="12"/>
      <c r="F374" s="12"/>
      <c r="G374" s="12"/>
      <c r="H374" s="12"/>
      <c r="I374" s="86"/>
      <c r="J374" s="12"/>
      <c r="K374" s="12"/>
      <c r="L374" s="12"/>
      <c r="M374" s="12"/>
      <c r="N374" s="12"/>
      <c r="O374" s="12"/>
      <c r="P374" s="12"/>
    </row>
    <row r="375" spans="1:16" ht="18.600000000000001" customHeight="1" x14ac:dyDescent="0.3">
      <c r="A375" s="35">
        <f t="shared" si="79"/>
        <v>11</v>
      </c>
      <c r="B375" s="25" t="s">
        <v>252</v>
      </c>
      <c r="C375" s="25" t="s">
        <v>92</v>
      </c>
      <c r="D375" s="163"/>
      <c r="E375" s="14"/>
      <c r="F375" s="14"/>
      <c r="G375" s="14"/>
      <c r="H375" s="14"/>
      <c r="I375" s="87"/>
      <c r="J375" s="14"/>
      <c r="K375" s="14"/>
      <c r="L375" s="14"/>
      <c r="M375" s="14"/>
      <c r="N375" s="14"/>
      <c r="O375" s="14"/>
      <c r="P375" s="14"/>
    </row>
    <row r="376" spans="1:16" ht="18.600000000000001" customHeight="1" x14ac:dyDescent="0.3">
      <c r="A376" s="7">
        <f t="shared" si="79"/>
        <v>12</v>
      </c>
      <c r="B376" s="26" t="s">
        <v>958</v>
      </c>
      <c r="C376" s="26" t="s">
        <v>956</v>
      </c>
      <c r="D376" s="26"/>
      <c r="E376" s="4"/>
      <c r="F376" s="4"/>
      <c r="G376" s="4"/>
      <c r="H376" s="4"/>
      <c r="I376" s="85"/>
      <c r="J376" s="4"/>
      <c r="K376" s="4"/>
      <c r="L376" s="4"/>
      <c r="M376" s="4"/>
      <c r="N376" s="4"/>
      <c r="O376" s="4"/>
      <c r="P376" s="4"/>
    </row>
    <row r="377" spans="1:16" ht="18.600000000000001" customHeight="1" x14ac:dyDescent="0.3">
      <c r="A377" s="7">
        <f t="shared" si="79"/>
        <v>13</v>
      </c>
      <c r="B377" s="24" t="s">
        <v>1212</v>
      </c>
      <c r="C377" s="24" t="s">
        <v>122</v>
      </c>
      <c r="D377" s="163"/>
      <c r="E377" s="4"/>
      <c r="F377" s="4"/>
      <c r="G377" s="4"/>
      <c r="H377" s="4"/>
      <c r="I377" s="85"/>
      <c r="J377" s="4"/>
      <c r="K377" s="4"/>
      <c r="L377" s="4"/>
      <c r="M377" s="4"/>
      <c r="N377" s="4"/>
      <c r="O377" s="4"/>
      <c r="P377" s="4"/>
    </row>
    <row r="378" spans="1:16" ht="18.600000000000001" customHeight="1" x14ac:dyDescent="0.3">
      <c r="A378" s="7">
        <f t="shared" si="79"/>
        <v>14</v>
      </c>
      <c r="B378" s="24" t="s">
        <v>484</v>
      </c>
      <c r="C378" s="24" t="s">
        <v>109</v>
      </c>
      <c r="D378" s="163"/>
      <c r="E378" s="4"/>
      <c r="F378" s="4"/>
      <c r="G378" s="4"/>
      <c r="H378" s="4"/>
      <c r="I378" s="85"/>
      <c r="J378" s="4"/>
      <c r="K378" s="4"/>
      <c r="L378" s="4"/>
      <c r="M378" s="4"/>
      <c r="N378" s="4"/>
      <c r="O378" s="4"/>
      <c r="P378" s="4"/>
    </row>
    <row r="379" spans="1:16" ht="18.600000000000001" customHeight="1" x14ac:dyDescent="0.3">
      <c r="A379" s="6">
        <f t="shared" si="79"/>
        <v>15</v>
      </c>
      <c r="B379" s="24" t="s">
        <v>613</v>
      </c>
      <c r="C379" s="24" t="s">
        <v>60</v>
      </c>
      <c r="D379" s="24"/>
      <c r="E379" s="16"/>
      <c r="F379" s="16"/>
      <c r="G379" s="16"/>
      <c r="H379" s="16"/>
      <c r="I379" s="83"/>
      <c r="J379" s="16"/>
      <c r="K379" s="16"/>
      <c r="L379" s="16"/>
      <c r="M379" s="16"/>
      <c r="N379" s="16"/>
      <c r="O379" s="16"/>
      <c r="P379" s="16"/>
    </row>
    <row r="380" spans="1:16" ht="18.600000000000001" customHeight="1" x14ac:dyDescent="0.3">
      <c r="A380" s="32">
        <f t="shared" si="79"/>
        <v>16</v>
      </c>
      <c r="B380" s="24" t="s">
        <v>823</v>
      </c>
      <c r="C380" s="24" t="s">
        <v>42</v>
      </c>
      <c r="D380" s="163"/>
      <c r="E380" s="2"/>
      <c r="F380" s="2"/>
      <c r="G380" s="2"/>
      <c r="H380" s="2"/>
      <c r="I380" s="84"/>
      <c r="J380" s="2"/>
      <c r="K380" s="2"/>
      <c r="L380" s="2"/>
      <c r="M380" s="2"/>
      <c r="N380" s="2"/>
      <c r="O380" s="2"/>
      <c r="P380" s="2"/>
    </row>
    <row r="381" spans="1:16" ht="18.600000000000001" customHeight="1" x14ac:dyDescent="0.3">
      <c r="A381" s="7">
        <f t="shared" si="79"/>
        <v>17</v>
      </c>
      <c r="B381" s="25"/>
      <c r="C381" s="25"/>
      <c r="D381" s="25"/>
      <c r="E381" s="4"/>
      <c r="F381" s="4"/>
      <c r="G381" s="4"/>
      <c r="H381" s="4"/>
      <c r="I381" s="85"/>
      <c r="J381" s="4"/>
      <c r="K381" s="4"/>
      <c r="L381" s="4"/>
      <c r="M381" s="4"/>
      <c r="N381" s="4"/>
      <c r="O381" s="4"/>
      <c r="P381" s="4"/>
    </row>
    <row r="382" spans="1:16" ht="18.600000000000001" customHeight="1" x14ac:dyDescent="0.3">
      <c r="A382" s="7">
        <f t="shared" si="79"/>
        <v>18</v>
      </c>
      <c r="B382" s="143"/>
      <c r="C382" s="143"/>
      <c r="D382" s="143"/>
      <c r="E382" s="4"/>
      <c r="F382" s="4"/>
      <c r="G382" s="4"/>
      <c r="H382" s="4"/>
      <c r="I382" s="85"/>
      <c r="J382" s="4"/>
      <c r="K382" s="4"/>
      <c r="L382" s="4"/>
      <c r="M382" s="4"/>
      <c r="N382" s="4"/>
      <c r="O382" s="4"/>
      <c r="P382" s="4"/>
    </row>
    <row r="383" spans="1:16" ht="18.600000000000001" customHeight="1" x14ac:dyDescent="0.3">
      <c r="A383" s="7">
        <f t="shared" si="79"/>
        <v>19</v>
      </c>
      <c r="B383" s="26"/>
      <c r="C383" s="26"/>
      <c r="D383" s="26"/>
      <c r="E383" s="4"/>
      <c r="F383" s="4"/>
      <c r="G383" s="4"/>
      <c r="H383" s="4"/>
      <c r="I383" s="85"/>
      <c r="J383" s="4"/>
      <c r="K383" s="4"/>
      <c r="L383" s="4"/>
      <c r="M383" s="4"/>
      <c r="N383" s="4"/>
      <c r="O383" s="4"/>
      <c r="P383" s="4"/>
    </row>
    <row r="384" spans="1:16" ht="18.600000000000001" customHeight="1" x14ac:dyDescent="0.3">
      <c r="A384" s="10">
        <f t="shared" si="79"/>
        <v>20</v>
      </c>
      <c r="B384" s="26"/>
      <c r="C384" s="26"/>
      <c r="D384" s="26"/>
      <c r="E384" s="12"/>
      <c r="F384" s="12"/>
      <c r="G384" s="12"/>
      <c r="H384" s="12"/>
      <c r="I384" s="86"/>
      <c r="J384" s="12"/>
      <c r="K384" s="12"/>
      <c r="L384" s="12"/>
      <c r="M384" s="12"/>
      <c r="N384" s="12"/>
      <c r="O384" s="12"/>
      <c r="P384" s="12"/>
    </row>
    <row r="385" spans="1:16" ht="18.600000000000001" customHeight="1" x14ac:dyDescent="0.3">
      <c r="A385" s="35">
        <f t="shared" si="79"/>
        <v>21</v>
      </c>
      <c r="B385" s="24"/>
      <c r="C385" s="63"/>
      <c r="D385" s="24"/>
      <c r="E385" s="14"/>
      <c r="F385" s="14"/>
      <c r="G385" s="14"/>
      <c r="H385" s="14"/>
      <c r="I385" s="87"/>
      <c r="J385" s="14"/>
      <c r="K385" s="14"/>
      <c r="L385" s="14"/>
      <c r="M385" s="14"/>
      <c r="N385" s="14"/>
      <c r="O385" s="14"/>
      <c r="P385" s="14"/>
    </row>
    <row r="386" spans="1:16" ht="18.600000000000001" customHeight="1" x14ac:dyDescent="0.3">
      <c r="A386" s="7">
        <f t="shared" si="79"/>
        <v>22</v>
      </c>
      <c r="B386" s="3"/>
      <c r="C386" s="4"/>
      <c r="D386" s="8"/>
      <c r="E386" s="4"/>
      <c r="F386" s="4"/>
      <c r="G386" s="4"/>
      <c r="H386" s="4"/>
      <c r="I386" s="85"/>
      <c r="J386" s="4"/>
      <c r="K386" s="4"/>
      <c r="L386" s="4"/>
      <c r="M386" s="4"/>
      <c r="N386" s="4"/>
      <c r="O386" s="4"/>
      <c r="P386" s="4"/>
    </row>
    <row r="387" spans="1:16" ht="18.600000000000001" customHeight="1" x14ac:dyDescent="0.3">
      <c r="A387" s="35">
        <f t="shared" si="79"/>
        <v>23</v>
      </c>
      <c r="B387" s="3"/>
      <c r="C387" s="4"/>
      <c r="D387" s="8"/>
      <c r="E387" s="4"/>
      <c r="F387" s="4"/>
      <c r="G387" s="4"/>
      <c r="H387" s="4"/>
      <c r="I387" s="85"/>
      <c r="J387" s="4"/>
      <c r="K387" s="4"/>
      <c r="L387" s="4"/>
      <c r="M387" s="4"/>
      <c r="N387" s="4"/>
      <c r="O387" s="4"/>
      <c r="P387" s="4"/>
    </row>
    <row r="388" spans="1:16" ht="18.600000000000001" customHeight="1" x14ac:dyDescent="0.3">
      <c r="A388" s="7">
        <f t="shared" si="79"/>
        <v>24</v>
      </c>
      <c r="B388" s="3"/>
      <c r="C388" s="4"/>
      <c r="D388" s="8"/>
      <c r="E388" s="4"/>
      <c r="F388" s="4"/>
      <c r="G388" s="4"/>
      <c r="H388" s="4"/>
      <c r="I388" s="85"/>
      <c r="J388" s="4"/>
      <c r="K388" s="4"/>
      <c r="L388" s="4"/>
      <c r="M388" s="4"/>
      <c r="N388" s="4"/>
      <c r="O388" s="4"/>
      <c r="P388" s="4"/>
    </row>
    <row r="389" spans="1:16" ht="18.600000000000001" customHeight="1" x14ac:dyDescent="0.3">
      <c r="A389" s="35">
        <f t="shared" si="79"/>
        <v>25</v>
      </c>
      <c r="B389" s="11"/>
      <c r="C389" s="12"/>
      <c r="D389" s="9"/>
      <c r="E389" s="12"/>
      <c r="F389" s="12"/>
      <c r="G389" s="12"/>
      <c r="H389" s="12"/>
      <c r="I389" s="86"/>
      <c r="J389" s="12"/>
      <c r="K389" s="12"/>
      <c r="L389" s="12"/>
      <c r="M389" s="12"/>
      <c r="N389" s="12"/>
      <c r="O389" s="12"/>
      <c r="P389" s="12"/>
    </row>
    <row r="390" spans="1:16" ht="18.600000000000001" customHeight="1" x14ac:dyDescent="0.3">
      <c r="A390" s="147"/>
      <c r="B390" s="148"/>
      <c r="C390" s="147"/>
      <c r="D390" s="149"/>
      <c r="E390" s="215">
        <f>SUBTOTAL(9,E365:E389)</f>
        <v>0</v>
      </c>
      <c r="F390" s="147"/>
      <c r="G390" s="215">
        <f t="shared" ref="G390" si="80">SUBTOTAL(9,G365:G389)</f>
        <v>0</v>
      </c>
      <c r="H390" s="147"/>
      <c r="I390" s="215">
        <f t="shared" ref="I390" si="81">SUBTOTAL(9,I365:I389)</f>
        <v>0</v>
      </c>
      <c r="J390" s="147"/>
      <c r="K390" s="147"/>
      <c r="L390" s="147"/>
      <c r="M390" s="215">
        <f t="shared" ref="M390" si="82">SUBTOTAL(9,M365:M389)</f>
        <v>0</v>
      </c>
      <c r="N390" s="147"/>
      <c r="O390" s="215">
        <f t="shared" ref="O390" si="83">SUBTOTAL(9,O365:O389)</f>
        <v>0</v>
      </c>
      <c r="P390" s="147"/>
    </row>
  </sheetData>
  <mergeCells count="180">
    <mergeCell ref="V2:W2"/>
    <mergeCell ref="X2:Y2"/>
    <mergeCell ref="R1:S1"/>
    <mergeCell ref="T1:U1"/>
    <mergeCell ref="V1:W1"/>
    <mergeCell ref="X1:Y1"/>
    <mergeCell ref="A1:H1"/>
    <mergeCell ref="I123:J123"/>
    <mergeCell ref="M123:N123"/>
    <mergeCell ref="A61:H61"/>
    <mergeCell ref="A63:A64"/>
    <mergeCell ref="B63:B64"/>
    <mergeCell ref="C63:C64"/>
    <mergeCell ref="D63:D64"/>
    <mergeCell ref="E63:F63"/>
    <mergeCell ref="G63:H63"/>
    <mergeCell ref="I63:J63"/>
    <mergeCell ref="D3:D4"/>
    <mergeCell ref="E3:F3"/>
    <mergeCell ref="G3:H3"/>
    <mergeCell ref="A3:A4"/>
    <mergeCell ref="B3:B4"/>
    <mergeCell ref="C3:C4"/>
    <mergeCell ref="R2:S2"/>
    <mergeCell ref="T2:U2"/>
    <mergeCell ref="A181:H181"/>
    <mergeCell ref="A183:A184"/>
    <mergeCell ref="B183:B184"/>
    <mergeCell ref="C183:C184"/>
    <mergeCell ref="D183:D184"/>
    <mergeCell ref="E183:F183"/>
    <mergeCell ref="G183:H183"/>
    <mergeCell ref="I183:J183"/>
    <mergeCell ref="M183:N183"/>
    <mergeCell ref="O153:P153"/>
    <mergeCell ref="K123:L123"/>
    <mergeCell ref="K153:L153"/>
    <mergeCell ref="M63:N63"/>
    <mergeCell ref="O63:P63"/>
    <mergeCell ref="A91:H91"/>
    <mergeCell ref="A93:A94"/>
    <mergeCell ref="B93:B94"/>
    <mergeCell ref="C93:C94"/>
    <mergeCell ref="D93:D94"/>
    <mergeCell ref="E93:F93"/>
    <mergeCell ref="G93:H93"/>
    <mergeCell ref="I93:J93"/>
    <mergeCell ref="M93:N93"/>
    <mergeCell ref="A301:H301"/>
    <mergeCell ref="A303:A304"/>
    <mergeCell ref="B303:B304"/>
    <mergeCell ref="C303:C304"/>
    <mergeCell ref="D303:D304"/>
    <mergeCell ref="E303:F303"/>
    <mergeCell ref="G303:H303"/>
    <mergeCell ref="I303:J303"/>
    <mergeCell ref="M303:N303"/>
    <mergeCell ref="K303:L303"/>
    <mergeCell ref="Z1:AA1"/>
    <mergeCell ref="AB1:AC1"/>
    <mergeCell ref="Z2:AA2"/>
    <mergeCell ref="AB2:AC2"/>
    <mergeCell ref="O3:P3"/>
    <mergeCell ref="S9:T9"/>
    <mergeCell ref="A31:H31"/>
    <mergeCell ref="A33:A34"/>
    <mergeCell ref="B33:B34"/>
    <mergeCell ref="C33:C34"/>
    <mergeCell ref="D33:D34"/>
    <mergeCell ref="E33:F33"/>
    <mergeCell ref="G33:H33"/>
    <mergeCell ref="I33:J33"/>
    <mergeCell ref="M33:N33"/>
    <mergeCell ref="O33:P33"/>
    <mergeCell ref="AB3:AC3"/>
    <mergeCell ref="AB4:AC4"/>
    <mergeCell ref="AB5:AC5"/>
    <mergeCell ref="K33:L33"/>
    <mergeCell ref="AB6:AC6"/>
    <mergeCell ref="I3:J3"/>
    <mergeCell ref="K3:L3"/>
    <mergeCell ref="M3:N3"/>
    <mergeCell ref="O93:P93"/>
    <mergeCell ref="K63:L63"/>
    <mergeCell ref="K93:L93"/>
    <mergeCell ref="A121:H121"/>
    <mergeCell ref="A123:A124"/>
    <mergeCell ref="B123:B124"/>
    <mergeCell ref="C123:C124"/>
    <mergeCell ref="D123:D124"/>
    <mergeCell ref="E123:F123"/>
    <mergeCell ref="G123:H123"/>
    <mergeCell ref="A151:H151"/>
    <mergeCell ref="A153:A154"/>
    <mergeCell ref="B153:B154"/>
    <mergeCell ref="C153:C154"/>
    <mergeCell ref="D153:D154"/>
    <mergeCell ref="E153:F153"/>
    <mergeCell ref="G153:H153"/>
    <mergeCell ref="I153:J153"/>
    <mergeCell ref="M153:N153"/>
    <mergeCell ref="K243:L243"/>
    <mergeCell ref="K273:L273"/>
    <mergeCell ref="O183:P183"/>
    <mergeCell ref="A211:H211"/>
    <mergeCell ref="A213:A214"/>
    <mergeCell ref="B213:B214"/>
    <mergeCell ref="C213:C214"/>
    <mergeCell ref="D213:D214"/>
    <mergeCell ref="E213:F213"/>
    <mergeCell ref="G213:H213"/>
    <mergeCell ref="I213:J213"/>
    <mergeCell ref="M213:N213"/>
    <mergeCell ref="O213:P213"/>
    <mergeCell ref="K183:L183"/>
    <mergeCell ref="K213:L213"/>
    <mergeCell ref="A241:H241"/>
    <mergeCell ref="A243:A244"/>
    <mergeCell ref="B243:B244"/>
    <mergeCell ref="C243:C244"/>
    <mergeCell ref="D243:D244"/>
    <mergeCell ref="E243:F243"/>
    <mergeCell ref="G243:H243"/>
    <mergeCell ref="I243:J243"/>
    <mergeCell ref="M243:N243"/>
    <mergeCell ref="A271:H271"/>
    <mergeCell ref="A273:A274"/>
    <mergeCell ref="B273:B274"/>
    <mergeCell ref="C273:C274"/>
    <mergeCell ref="D273:D274"/>
    <mergeCell ref="E273:F273"/>
    <mergeCell ref="G273:H273"/>
    <mergeCell ref="I273:J273"/>
    <mergeCell ref="M273:N273"/>
    <mergeCell ref="O303:P303"/>
    <mergeCell ref="R4:S4"/>
    <mergeCell ref="R3:S3"/>
    <mergeCell ref="T3:U3"/>
    <mergeCell ref="V3:W3"/>
    <mergeCell ref="X3:Y3"/>
    <mergeCell ref="Z3:AA3"/>
    <mergeCell ref="T4:U4"/>
    <mergeCell ref="V4:W4"/>
    <mergeCell ref="X4:Y4"/>
    <mergeCell ref="Z4:AA4"/>
    <mergeCell ref="R5:S5"/>
    <mergeCell ref="T5:U5"/>
    <mergeCell ref="V5:W5"/>
    <mergeCell ref="X5:Y5"/>
    <mergeCell ref="Z5:AA5"/>
    <mergeCell ref="R6:S6"/>
    <mergeCell ref="T6:U6"/>
    <mergeCell ref="V6:W6"/>
    <mergeCell ref="X6:Y6"/>
    <mergeCell ref="Z6:AA6"/>
    <mergeCell ref="O243:P243"/>
    <mergeCell ref="O273:P273"/>
    <mergeCell ref="O123:P123"/>
    <mergeCell ref="M333:N333"/>
    <mergeCell ref="O333:P333"/>
    <mergeCell ref="A331:H331"/>
    <mergeCell ref="A333:A334"/>
    <mergeCell ref="B333:B334"/>
    <mergeCell ref="C333:C334"/>
    <mergeCell ref="D333:D334"/>
    <mergeCell ref="E333:F333"/>
    <mergeCell ref="G333:H333"/>
    <mergeCell ref="I333:J333"/>
    <mergeCell ref="K333:L333"/>
    <mergeCell ref="M363:N363"/>
    <mergeCell ref="O363:P363"/>
    <mergeCell ref="A361:H361"/>
    <mergeCell ref="A363:A364"/>
    <mergeCell ref="B363:B364"/>
    <mergeCell ref="C363:C364"/>
    <mergeCell ref="D363:D364"/>
    <mergeCell ref="E363:F363"/>
    <mergeCell ref="G363:H363"/>
    <mergeCell ref="I363:J363"/>
    <mergeCell ref="K363:L363"/>
  </mergeCells>
  <phoneticPr fontId="6" type="noConversion"/>
  <conditionalFormatting sqref="A1:P4 Q4 A5:A23 E5:P23 A24:P29 A30:D30 F30 H30 J30:L30 N30 P30">
    <cfRule type="expression" dxfId="1858" priority="448">
      <formula>ISODD(ROW())</formula>
    </cfRule>
  </conditionalFormatting>
  <conditionalFormatting sqref="A2:P4 Q4 A5:A23 E5:P23 A24:P29 A30:D30 F30 H30 J30:L30 N30 P30">
    <cfRule type="expression" dxfId="1857" priority="476">
      <formula>MOD(ROW(),2)=1</formula>
    </cfRule>
  </conditionalFormatting>
  <conditionalFormatting sqref="A3:P4 Q4 A5:A23 E5:P23 A24:P29 A30:D30 F30 H30 J30:L30 N30 P30">
    <cfRule type="expression" dxfId="1856" priority="463">
      <formula>ISOODD(ROW())</formula>
    </cfRule>
    <cfRule type="expression" dxfId="1855" priority="462">
      <formula>-ISODD(ROW())</formula>
    </cfRule>
  </conditionalFormatting>
  <conditionalFormatting sqref="A31:P34 A35:A45 E35:P45 A46:P59 A60:D60 F60 H60 J60:L60 N60 P60">
    <cfRule type="expression" dxfId="1854" priority="405">
      <formula>ISODD(ROW())</formula>
    </cfRule>
  </conditionalFormatting>
  <conditionalFormatting sqref="A32:P34 A35:A47 E35:P47 A48:P59 A60:D60 F60 H60 J60:L60 N60 P60">
    <cfRule type="expression" dxfId="1853" priority="433">
      <formula>MOD(ROW(),2)=1</formula>
    </cfRule>
  </conditionalFormatting>
  <conditionalFormatting sqref="A33:P34 A35:A45 E35:P45 A46:P59 A60:D60 F60 H60 J60:L60 N60 P60">
    <cfRule type="expression" dxfId="1852" priority="419">
      <formula>-ISODD(ROW())</formula>
    </cfRule>
    <cfRule type="expression" dxfId="1851" priority="420">
      <formula>ISOODD(ROW())</formula>
    </cfRule>
  </conditionalFormatting>
  <conditionalFormatting sqref="A61:P64 A65:A74 E65:P74 A75:P89 A90:D90 F90 H90 J90:L90 N90 P90">
    <cfRule type="expression" dxfId="1850" priority="358">
      <formula>ISODD(ROW())</formula>
    </cfRule>
  </conditionalFormatting>
  <conditionalFormatting sqref="A62:P64 A65:A77 E65:P77 A78:P89 A90:D90 F90 H90 J90:L90 N90 P90">
    <cfRule type="expression" dxfId="1849" priority="386">
      <formula>MOD(ROW(),2)=1</formula>
    </cfRule>
  </conditionalFormatting>
  <conditionalFormatting sqref="A63:P64 A65:A74 E65:P74 A75:P89 A90:D90 F90 H90 J90:L90 N90 P90">
    <cfRule type="expression" dxfId="1848" priority="372">
      <formula>-ISODD(ROW())</formula>
    </cfRule>
    <cfRule type="expression" dxfId="1847" priority="373">
      <formula>ISOODD(ROW())</formula>
    </cfRule>
  </conditionalFormatting>
  <conditionalFormatting sqref="A91:P94 A95:A109 E95:P109 A110:P119 A120:D120 F120 H120 J120:L120 N120 P120">
    <cfRule type="expression" dxfId="1846" priority="320">
      <formula>ISODD(ROW())</formula>
    </cfRule>
  </conditionalFormatting>
  <conditionalFormatting sqref="A92:P94 A95:A109 E95:P109 A110:P119 A120:D120 F120 H120 J120:L120 N120 P120">
    <cfRule type="expression" dxfId="1845" priority="348">
      <formula>MOD(ROW(),2)=1</formula>
    </cfRule>
  </conditionalFormatting>
  <conditionalFormatting sqref="A93:P94 A95:A109 E95:P109 A110:P119 A120:D120 F120 H120 J120:L120 N120 P120">
    <cfRule type="expression" dxfId="1844" priority="335">
      <formula>ISOODD(ROW())</formula>
    </cfRule>
    <cfRule type="expression" dxfId="1843" priority="334">
      <formula>-ISODD(ROW())</formula>
    </cfRule>
  </conditionalFormatting>
  <conditionalFormatting sqref="A121:P124 A125:A135 E125:P135 A136:P149 A150:D150 F150 H150 J150:L150 N150 P150">
    <cfRule type="expression" dxfId="1842" priority="282">
      <formula>ISODD(ROW())</formula>
    </cfRule>
  </conditionalFormatting>
  <conditionalFormatting sqref="A122:P124 A125:A137 E125:P137 A138:P149 A150:D150 F150 H150 J150:L150 N150 P150">
    <cfRule type="expression" dxfId="1841" priority="310">
      <formula>MOD(ROW(),2)=1</formula>
    </cfRule>
  </conditionalFormatting>
  <conditionalFormatting sqref="A123:P124 A125:A135 E125:P135 A136:P149 A150:D150 F150 H150 J150:L150 N150 P150">
    <cfRule type="expression" dxfId="1840" priority="296">
      <formula>-ISODD(ROW())</formula>
    </cfRule>
    <cfRule type="expression" dxfId="1839" priority="297">
      <formula>ISOODD(ROW())</formula>
    </cfRule>
  </conditionalFormatting>
  <conditionalFormatting sqref="A151:P154 A155:A168 E155:P168 A169:P179 A180:D180 F180 H180 J180:L180 N180 P180">
    <cfRule type="expression" dxfId="1838" priority="243">
      <formula>ISODD(ROW())</formula>
    </cfRule>
  </conditionalFormatting>
  <conditionalFormatting sqref="A152:P154 A155:A168 E155:P168 A169:P179 A180:D180 F180 H180 J180:L180 N180 P180">
    <cfRule type="expression" dxfId="1837" priority="271">
      <formula>MOD(ROW(),2)=1</formula>
    </cfRule>
  </conditionalFormatting>
  <conditionalFormatting sqref="A153:P154 A155:A168 E155:P168 A169:P179 A180:D180 F180 H180 J180:L180 N180 P180">
    <cfRule type="expression" dxfId="1836" priority="258">
      <formula>ISOODD(ROW())</formula>
    </cfRule>
    <cfRule type="expression" dxfId="1835" priority="257">
      <formula>-ISODD(ROW())</formula>
    </cfRule>
  </conditionalFormatting>
  <conditionalFormatting sqref="A181:P184 A185:A205 E185:P205 A206:P209 A210:D210 F210 H210 J210:L210 N210 P210">
    <cfRule type="expression" dxfId="1834" priority="205">
      <formula>ISODD(ROW())</formula>
    </cfRule>
  </conditionalFormatting>
  <conditionalFormatting sqref="A182:P184 A185:A205 E185:P205 A206:P209 A210:D210 F210 H210 J210:L210 N210 P210">
    <cfRule type="expression" dxfId="1833" priority="233">
      <formula>MOD(ROW(),2)=1</formula>
    </cfRule>
  </conditionalFormatting>
  <conditionalFormatting sqref="A183:P184 A185:A205 E185:P205 A206:P209 A210:D210 F210 H210 J210:L210 N210 P210">
    <cfRule type="expression" dxfId="1832" priority="220">
      <formula>ISOODD(ROW())</formula>
    </cfRule>
    <cfRule type="expression" dxfId="1831" priority="219">
      <formula>-ISODD(ROW())</formula>
    </cfRule>
  </conditionalFormatting>
  <conditionalFormatting sqref="A211:P214 A215:A235 E215:P235 A236:P239 A240:D240 F240 H240 J240:L240 N240 P240">
    <cfRule type="expression" dxfId="1830" priority="167">
      <formula>ISODD(ROW())</formula>
    </cfRule>
  </conditionalFormatting>
  <conditionalFormatting sqref="A212:P214 A215:A235 E215:P235 A236:P239 A240:D240 F240 H240 J240:L240 N240 P240">
    <cfRule type="expression" dxfId="1829" priority="195">
      <formula>MOD(ROW(),2)=1</formula>
    </cfRule>
  </conditionalFormatting>
  <conditionalFormatting sqref="A213:P214 A215:A235 E215:P235 A236:P239 A240:D240 F240 H240 J240:L240 N240 P240">
    <cfRule type="expression" dxfId="1828" priority="181">
      <formula>-ISODD(ROW())</formula>
    </cfRule>
    <cfRule type="expression" dxfId="1827" priority="182">
      <formula>ISOODD(ROW())</formula>
    </cfRule>
  </conditionalFormatting>
  <conditionalFormatting sqref="A241:P244 A245:A264 E245:P264 A265:P269 A270:D270 F270 H270 J270:L270 N270 P270">
    <cfRule type="expression" dxfId="1826" priority="129">
      <formula>ISODD(ROW())</formula>
    </cfRule>
  </conditionalFormatting>
  <conditionalFormatting sqref="A242:P244 A245:A264 E245:P264 A265:P269 A270:D270 F270 H270 J270:L270 N270 P270">
    <cfRule type="expression" dxfId="1825" priority="157">
      <formula>MOD(ROW(),2)=1</formula>
    </cfRule>
  </conditionalFormatting>
  <conditionalFormatting sqref="A243:P244 A245:A264 E245:P264 A265:P269 A270:D270 F270 H270 J270:L270 N270 P270">
    <cfRule type="expression" dxfId="1824" priority="144">
      <formula>ISOODD(ROW())</formula>
    </cfRule>
    <cfRule type="expression" dxfId="1823" priority="143">
      <formula>-ISODD(ROW())</formula>
    </cfRule>
  </conditionalFormatting>
  <conditionalFormatting sqref="A271:P274 A275:A285 E275:P285 A286:P299 A300:D300 F300 H300 J300:L300 N300 P300">
    <cfRule type="expression" dxfId="1822" priority="91">
      <formula>ISODD(ROW())</formula>
    </cfRule>
  </conditionalFormatting>
  <conditionalFormatting sqref="A272:P274 A275:A287 E275:P287 A288:P299 A300:D300 F300 H300 J300:L300 N300 P300">
    <cfRule type="expression" dxfId="1821" priority="119">
      <formula>MOD(ROW(),2)=1</formula>
    </cfRule>
  </conditionalFormatting>
  <conditionalFormatting sqref="A273:P274 A275:A285 E275:P285 A286:P299 A300:D300 F300 H300 J300:L300 N300 P300">
    <cfRule type="expression" dxfId="1820" priority="105">
      <formula>-ISODD(ROW())</formula>
    </cfRule>
    <cfRule type="expression" dxfId="1819" priority="106">
      <formula>ISOODD(ROW())</formula>
    </cfRule>
  </conditionalFormatting>
  <conditionalFormatting sqref="A301:P304 A305:A317 E305:P317 A318:P329 A330:D330 F330 H330 J330:L330 N330 P330">
    <cfRule type="expression" dxfId="1818" priority="53">
      <formula>ISODD(ROW())</formula>
    </cfRule>
  </conditionalFormatting>
  <conditionalFormatting sqref="A302:P304 A305:A317 E305:P317 A318:P329 A330:D330 F330 H330 J330:L330 N330 P330">
    <cfRule type="expression" dxfId="1817" priority="81">
      <formula>MOD(ROW(),2)=1</formula>
    </cfRule>
  </conditionalFormatting>
  <conditionalFormatting sqref="A303:P304 A305:A317 E305:P317 A318:P329 A330:D330 F330 H330 J330:L330 N330 P330">
    <cfRule type="expression" dxfId="1816" priority="68">
      <formula>ISOODD(ROW())</formula>
    </cfRule>
    <cfRule type="expression" dxfId="1815" priority="67">
      <formula>-ISODD(ROW())</formula>
    </cfRule>
  </conditionalFormatting>
  <conditionalFormatting sqref="A331:P334 A335:A355 E335:P355 A356:P359 A360:D360 F360 H360 J360:L360 N360 P360">
    <cfRule type="expression" dxfId="1814" priority="25">
      <formula>ISODD(ROW())</formula>
    </cfRule>
  </conditionalFormatting>
  <conditionalFormatting sqref="A332:P334 A335:A355 E335:P355 A356:P359 A360:D360 F360 H360 J360:L360 N360 P360">
    <cfRule type="expression" dxfId="1813" priority="43">
      <formula>MOD(ROW(),2)=1</formula>
    </cfRule>
  </conditionalFormatting>
  <conditionalFormatting sqref="A333:P334 A335:A355 E335:P355 A356:P359 A360:D360 F360 H360 J360:L360 N360 P360">
    <cfRule type="expression" dxfId="1812" priority="30">
      <formula>ISOODD(ROW())</formula>
    </cfRule>
    <cfRule type="expression" dxfId="1811" priority="29">
      <formula>-ISODD(ROW())</formula>
    </cfRule>
  </conditionalFormatting>
  <conditionalFormatting sqref="A361:P364 A365:A385 E365:P385 A386:P389 A390:D390 F390 H390 J390:L390 N390 P390">
    <cfRule type="expression" dxfId="1810" priority="10">
      <formula>ISODD(ROW())</formula>
    </cfRule>
  </conditionalFormatting>
  <conditionalFormatting sqref="A362:P364 A365:A385 E365:P385 A386:P389 A390:D390 F390 H390 J390:L390 N390 P390">
    <cfRule type="expression" dxfId="1809" priority="15">
      <formula>MOD(ROW(),2)=1</formula>
    </cfRule>
  </conditionalFormatting>
  <conditionalFormatting sqref="A363:P364 A365:A385 E365:P385 A386:P389 A390:D390 F390 H390 J390:L390 N390 P390">
    <cfRule type="expression" dxfId="1808" priority="11">
      <formula>-ISODD(ROW())</formula>
    </cfRule>
    <cfRule type="expression" dxfId="1807" priority="12">
      <formula>ISOODD(ROW())</formula>
    </cfRule>
  </conditionalFormatting>
  <conditionalFormatting sqref="B46:C47">
    <cfRule type="expression" dxfId="1806" priority="423">
      <formula>ISODD(ROW())</formula>
    </cfRule>
    <cfRule type="expression" dxfId="1805" priority="425">
      <formula>ISODD(ROW())</formula>
    </cfRule>
    <cfRule type="expression" dxfId="1804" priority="426">
      <formula>ISODD(ROW())</formula>
    </cfRule>
    <cfRule type="expression" dxfId="1803" priority="428">
      <formula>ISODD(RƠ())</formula>
    </cfRule>
  </conditionalFormatting>
  <conditionalFormatting sqref="B75:C77">
    <cfRule type="expression" dxfId="1802" priority="381">
      <formula>ISODD(RƠ())</formula>
    </cfRule>
    <cfRule type="expression" dxfId="1801" priority="379">
      <formula>ISODD(ROW())</formula>
    </cfRule>
    <cfRule type="expression" dxfId="1800" priority="376">
      <formula>ISODD(ROW())</formula>
    </cfRule>
    <cfRule type="expression" dxfId="1799" priority="378">
      <formula>ISODD(ROW())</formula>
    </cfRule>
  </conditionalFormatting>
  <conditionalFormatting sqref="B136:C137">
    <cfRule type="expression" dxfId="1798" priority="300">
      <formula>ISODD(ROW())</formula>
    </cfRule>
    <cfRule type="expression" dxfId="1797" priority="305">
      <formula>ISODD(RƠ())</formula>
    </cfRule>
    <cfRule type="expression" dxfId="1796" priority="303">
      <formula>ISODD(ROW())</formula>
    </cfRule>
    <cfRule type="expression" dxfId="1795" priority="302">
      <formula>ISODD(ROW())</formula>
    </cfRule>
  </conditionalFormatting>
  <conditionalFormatting sqref="B286:C287">
    <cfRule type="expression" dxfId="1794" priority="109">
      <formula>ISODD(ROW())</formula>
    </cfRule>
    <cfRule type="expression" dxfId="1793" priority="111">
      <formula>ISODD(ROW())</formula>
    </cfRule>
    <cfRule type="expression" dxfId="1792" priority="114">
      <formula>ISODD(RƠ())</formula>
    </cfRule>
    <cfRule type="expression" dxfId="1791" priority="112">
      <formula>ISODD(ROW())</formula>
    </cfRule>
  </conditionalFormatting>
  <conditionalFormatting sqref="B46:D47">
    <cfRule type="expression" priority="417">
      <formula>ISODD(ROW())</formula>
    </cfRule>
    <cfRule type="expression" priority="416">
      <formula>"ISODD(ROW())"</formula>
    </cfRule>
    <cfRule type="expression" priority="414">
      <formula>is(ROW())</formula>
    </cfRule>
    <cfRule type="expression" dxfId="1790" priority="424">
      <formula>"IF(A4:A299);ISODD(ROW()))"</formula>
    </cfRule>
    <cfRule type="expression" dxfId="1789" priority="429">
      <formula>ISODD(ROW())</formula>
    </cfRule>
    <cfRule type="expression" dxfId="1788" priority="427">
      <formula>ISODD(ROW())</formula>
    </cfRule>
  </conditionalFormatting>
  <conditionalFormatting sqref="B75:D77">
    <cfRule type="expression" dxfId="1787" priority="382">
      <formula>ISODD(ROW())</formula>
    </cfRule>
    <cfRule type="expression" dxfId="1786" priority="380">
      <formula>ISODD(ROW())</formula>
    </cfRule>
    <cfRule type="expression" dxfId="1785" priority="377">
      <formula>"IF(A4:A299);ISODD(ROW()))"</formula>
    </cfRule>
    <cfRule type="expression" priority="369">
      <formula>"ISODD(ROW())"</formula>
    </cfRule>
    <cfRule type="expression" priority="367">
      <formula>is(ROW())</formula>
    </cfRule>
    <cfRule type="expression" priority="370">
      <formula>ISODD(ROW())</formula>
    </cfRule>
  </conditionalFormatting>
  <conditionalFormatting sqref="B136:D137">
    <cfRule type="expression" dxfId="1784" priority="306">
      <formula>ISODD(ROW())</formula>
    </cfRule>
    <cfRule type="expression" priority="291">
      <formula>is(ROW())</formula>
    </cfRule>
    <cfRule type="expression" priority="293">
      <formula>"ISODD(ROW())"</formula>
    </cfRule>
    <cfRule type="expression" dxfId="1783" priority="301">
      <formula>"IF(A4:A299);ISODD(ROW()))"</formula>
    </cfRule>
    <cfRule type="expression" priority="294">
      <formula>ISODD(ROW())</formula>
    </cfRule>
    <cfRule type="expression" dxfId="1782" priority="304">
      <formula>ISODD(ROW())</formula>
    </cfRule>
  </conditionalFormatting>
  <conditionalFormatting sqref="B286:D287">
    <cfRule type="expression" dxfId="1781" priority="115">
      <formula>ISODD(ROW())</formula>
    </cfRule>
    <cfRule type="expression" dxfId="1780" priority="110">
      <formula>"IF(A4:A299);ISODD(ROW()))"</formula>
    </cfRule>
    <cfRule type="expression" dxfId="1779" priority="113">
      <formula>ISODD(ROW())</formula>
    </cfRule>
    <cfRule type="expression" priority="103">
      <formula>ISODD(ROW())</formula>
    </cfRule>
    <cfRule type="expression" priority="102">
      <formula>"ISODD(ROW())"</formula>
    </cfRule>
    <cfRule type="expression" priority="100">
      <formula>is(ROW())</formula>
    </cfRule>
  </conditionalFormatting>
  <conditionalFormatting sqref="D46:D47">
    <cfRule type="expression" dxfId="1778" priority="431">
      <formula>ISODD(ROW())</formula>
    </cfRule>
    <cfRule type="expression" dxfId="1777" priority="432">
      <formula>ISODD(RƠ())</formula>
    </cfRule>
    <cfRule type="expression" dxfId="1776" priority="430">
      <formula>ISODD(ROW())</formula>
    </cfRule>
  </conditionalFormatting>
  <conditionalFormatting sqref="D75:D77">
    <cfRule type="expression" dxfId="1775" priority="385">
      <formula>ISODD(RƠ())</formula>
    </cfRule>
    <cfRule type="expression" dxfId="1774" priority="383">
      <formula>ISODD(ROW())</formula>
    </cfRule>
    <cfRule type="expression" dxfId="1773" priority="384">
      <formula>ISODD(ROW())</formula>
    </cfRule>
  </conditionalFormatting>
  <conditionalFormatting sqref="D136:D137">
    <cfRule type="expression" dxfId="1772" priority="309">
      <formula>ISODD(RƠ())</formula>
    </cfRule>
    <cfRule type="expression" dxfId="1771" priority="308">
      <formula>ISODD(ROW())</formula>
    </cfRule>
    <cfRule type="expression" dxfId="1770" priority="307">
      <formula>ISODD(ROW())</formula>
    </cfRule>
  </conditionalFormatting>
  <conditionalFormatting sqref="D286:D287">
    <cfRule type="expression" dxfId="1769" priority="116">
      <formula>ISODD(ROW())</formula>
    </cfRule>
    <cfRule type="expression" dxfId="1768" priority="117">
      <formula>ISODD(ROW())</formula>
    </cfRule>
    <cfRule type="expression" dxfId="1767" priority="118">
      <formula>ISODD(RƠ())</formula>
    </cfRule>
  </conditionalFormatting>
  <conditionalFormatting sqref="E30 G30 I30 M30 O30">
    <cfRule type="expression" dxfId="1766" priority="439">
      <formula>"IF(A4:A299);ISODD(ROW()))"</formula>
    </cfRule>
    <cfRule type="expression" dxfId="1765" priority="440">
      <formula>ISODD(ROW())</formula>
    </cfRule>
    <cfRule type="expression" dxfId="1764" priority="441">
      <formula>ISODD(ROW())</formula>
    </cfRule>
    <cfRule type="expression" dxfId="1763" priority="442">
      <formula>ISODD(ROW())</formula>
    </cfRule>
    <cfRule type="expression" priority="443">
      <formula>is(ROW())</formula>
    </cfRule>
    <cfRule type="expression" dxfId="1762" priority="444">
      <formula>ISODD(ROW())</formula>
    </cfRule>
    <cfRule type="expression" priority="445">
      <formula>"ISODD(ROW())"</formula>
    </cfRule>
    <cfRule type="expression" priority="446">
      <formula>ISODD(ROW())</formula>
    </cfRule>
    <cfRule type="expression" dxfId="1761" priority="447">
      <formula>ISODD(RƠ())</formula>
    </cfRule>
  </conditionalFormatting>
  <conditionalFormatting sqref="E60 G60 I60 M60 O60">
    <cfRule type="expression" dxfId="1760" priority="404">
      <formula>ISODD(RƠ())</formula>
    </cfRule>
    <cfRule type="expression" priority="402">
      <formula>"ISODD(ROW())"</formula>
    </cfRule>
    <cfRule type="expression" dxfId="1759" priority="401">
      <formula>ISODD(ROW())</formula>
    </cfRule>
    <cfRule type="expression" priority="400">
      <formula>is(ROW())</formula>
    </cfRule>
    <cfRule type="expression" dxfId="1758" priority="399">
      <formula>ISODD(ROW())</formula>
    </cfRule>
    <cfRule type="expression" dxfId="1757" priority="397">
      <formula>ISODD(ROW())</formula>
    </cfRule>
    <cfRule type="expression" priority="403">
      <formula>ISODD(ROW())</formula>
    </cfRule>
    <cfRule type="expression" dxfId="1756" priority="396">
      <formula>"IF(A4:A299);ISODD(ROW()))"</formula>
    </cfRule>
    <cfRule type="expression" dxfId="1755" priority="398">
      <formula>ISODD(ROW())</formula>
    </cfRule>
  </conditionalFormatting>
  <conditionalFormatting sqref="E90 G90 I90 M90 O90">
    <cfRule type="expression" dxfId="1754" priority="349">
      <formula>"IF(A4:A299);ISODD(ROW()))"</formula>
    </cfRule>
    <cfRule type="expression" dxfId="1753" priority="350">
      <formula>ISODD(ROW())</formula>
    </cfRule>
    <cfRule type="expression" dxfId="1752" priority="354">
      <formula>ISODD(ROW())</formula>
    </cfRule>
    <cfRule type="expression" dxfId="1751" priority="351">
      <formula>ISODD(ROW())</formula>
    </cfRule>
    <cfRule type="expression" dxfId="1750" priority="352">
      <formula>ISODD(ROW())</formula>
    </cfRule>
    <cfRule type="expression" priority="353">
      <formula>is(ROW())</formula>
    </cfRule>
    <cfRule type="expression" priority="355">
      <formula>"ISODD(ROW())"</formula>
    </cfRule>
    <cfRule type="expression" dxfId="1749" priority="357">
      <formula>ISODD(RƠ())</formula>
    </cfRule>
    <cfRule type="expression" priority="356">
      <formula>ISODD(ROW())</formula>
    </cfRule>
  </conditionalFormatting>
  <conditionalFormatting sqref="E120 G120 I120 M120 O120">
    <cfRule type="expression" dxfId="1748" priority="312">
      <formula>ISODD(ROW())</formula>
    </cfRule>
    <cfRule type="expression" dxfId="1747" priority="311">
      <formula>"IF(A4:A299);ISODD(ROW()))"</formula>
    </cfRule>
    <cfRule type="expression" dxfId="1746" priority="313">
      <formula>ISODD(ROW())</formula>
    </cfRule>
    <cfRule type="expression" dxfId="1745" priority="314">
      <formula>ISODD(ROW())</formula>
    </cfRule>
    <cfRule type="expression" priority="315">
      <formula>is(ROW())</formula>
    </cfRule>
    <cfRule type="expression" dxfId="1744" priority="316">
      <formula>ISODD(ROW())</formula>
    </cfRule>
    <cfRule type="expression" priority="317">
      <formula>"ISODD(ROW())"</formula>
    </cfRule>
    <cfRule type="expression" priority="318">
      <formula>ISODD(ROW())</formula>
    </cfRule>
    <cfRule type="expression" dxfId="1743" priority="319">
      <formula>ISODD(RƠ())</formula>
    </cfRule>
  </conditionalFormatting>
  <conditionalFormatting sqref="E150 G150 I150 M150 O150">
    <cfRule type="expression" priority="279">
      <formula>"ISODD(ROW())"</formula>
    </cfRule>
    <cfRule type="expression" priority="280">
      <formula>ISODD(ROW())</formula>
    </cfRule>
    <cfRule type="expression" dxfId="1742" priority="281">
      <formula>ISODD(RƠ())</formula>
    </cfRule>
    <cfRule type="expression" dxfId="1741" priority="276">
      <formula>ISODD(ROW())</formula>
    </cfRule>
    <cfRule type="expression" dxfId="1740" priority="274">
      <formula>ISODD(ROW())</formula>
    </cfRule>
    <cfRule type="expression" dxfId="1739" priority="273">
      <formula>"IF(A4:A299);ISODD(ROW()))"</formula>
    </cfRule>
    <cfRule type="expression" dxfId="1738" priority="278">
      <formula>ISODD(ROW())</formula>
    </cfRule>
    <cfRule type="expression" dxfId="1737" priority="275">
      <formula>ISODD(ROW())</formula>
    </cfRule>
    <cfRule type="expression" priority="277">
      <formula>is(ROW())</formula>
    </cfRule>
  </conditionalFormatting>
  <conditionalFormatting sqref="E180 G180 I180 M180 O180">
    <cfRule type="expression" dxfId="1736" priority="242">
      <formula>ISODD(RƠ())</formula>
    </cfRule>
    <cfRule type="expression" priority="241">
      <formula>ISODD(ROW())</formula>
    </cfRule>
    <cfRule type="expression" priority="240">
      <formula>"ISODD(ROW())"</formula>
    </cfRule>
    <cfRule type="expression" dxfId="1735" priority="239">
      <formula>ISODD(ROW())</formula>
    </cfRule>
    <cfRule type="expression" priority="238">
      <formula>is(ROW())</formula>
    </cfRule>
    <cfRule type="expression" dxfId="1734" priority="237">
      <formula>ISODD(ROW())</formula>
    </cfRule>
    <cfRule type="expression" dxfId="1733" priority="236">
      <formula>ISODD(ROW())</formula>
    </cfRule>
    <cfRule type="expression" dxfId="1732" priority="235">
      <formula>ISODD(ROW())</formula>
    </cfRule>
    <cfRule type="expression" dxfId="1731" priority="234">
      <formula>"IF(A4:A299);ISODD(ROW()))"</formula>
    </cfRule>
  </conditionalFormatting>
  <conditionalFormatting sqref="E210 G210 I210 M210 O210">
    <cfRule type="expression" priority="202">
      <formula>"ISODD(ROW())"</formula>
    </cfRule>
    <cfRule type="expression" dxfId="1730" priority="201">
      <formula>ISODD(ROW())</formula>
    </cfRule>
    <cfRule type="expression" priority="200">
      <formula>is(ROW())</formula>
    </cfRule>
    <cfRule type="expression" dxfId="1729" priority="199">
      <formula>ISODD(ROW())</formula>
    </cfRule>
    <cfRule type="expression" priority="203">
      <formula>ISODD(ROW())</formula>
    </cfRule>
    <cfRule type="expression" dxfId="1728" priority="204">
      <formula>ISODD(RƠ())</formula>
    </cfRule>
    <cfRule type="expression" dxfId="1727" priority="198">
      <formula>ISODD(ROW())</formula>
    </cfRule>
    <cfRule type="expression" dxfId="1726" priority="197">
      <formula>ISODD(ROW())</formula>
    </cfRule>
    <cfRule type="expression" dxfId="1725" priority="196">
      <formula>"IF(A4:A299);ISODD(ROW()))"</formula>
    </cfRule>
  </conditionalFormatting>
  <conditionalFormatting sqref="E240 G240 I240 M240 O240">
    <cfRule type="expression" dxfId="1724" priority="159">
      <formula>ISODD(ROW())</formula>
    </cfRule>
    <cfRule type="expression" dxfId="1723" priority="158">
      <formula>"IF(A4:A299);ISODD(ROW()))"</formula>
    </cfRule>
    <cfRule type="expression" priority="165">
      <formula>ISODD(ROW())</formula>
    </cfRule>
    <cfRule type="expression" dxfId="1722" priority="166">
      <formula>ISODD(RƠ())</formula>
    </cfRule>
    <cfRule type="expression" dxfId="1721" priority="160">
      <formula>ISODD(ROW())</formula>
    </cfRule>
    <cfRule type="expression" priority="164">
      <formula>"ISODD(ROW())"</formula>
    </cfRule>
    <cfRule type="expression" dxfId="1720" priority="163">
      <formula>ISODD(ROW())</formula>
    </cfRule>
    <cfRule type="expression" priority="162">
      <formula>is(ROW())</formula>
    </cfRule>
    <cfRule type="expression" dxfId="1719" priority="161">
      <formula>ISODD(ROW())</formula>
    </cfRule>
  </conditionalFormatting>
  <conditionalFormatting sqref="E270 G270 I270 M270 O270">
    <cfRule type="expression" dxfId="1718" priority="122">
      <formula>ISODD(ROW())</formula>
    </cfRule>
    <cfRule type="expression" dxfId="1717" priority="128">
      <formula>ISODD(RƠ())</formula>
    </cfRule>
    <cfRule type="expression" priority="126">
      <formula>"ISODD(ROW())"</formula>
    </cfRule>
    <cfRule type="expression" priority="127">
      <formula>ISODD(ROW())</formula>
    </cfRule>
    <cfRule type="expression" dxfId="1716" priority="123">
      <formula>ISODD(ROW())</formula>
    </cfRule>
    <cfRule type="expression" dxfId="1715" priority="120">
      <formula>"IF(A4:A299);ISODD(ROW()))"</formula>
    </cfRule>
    <cfRule type="expression" dxfId="1714" priority="125">
      <formula>ISODD(ROW())</formula>
    </cfRule>
    <cfRule type="expression" priority="124">
      <formula>is(ROW())</formula>
    </cfRule>
    <cfRule type="expression" dxfId="1713" priority="121">
      <formula>ISODD(ROW())</formula>
    </cfRule>
  </conditionalFormatting>
  <conditionalFormatting sqref="E300 G300 I300 M300 O300">
    <cfRule type="expression" priority="89">
      <formula>ISODD(ROW())</formula>
    </cfRule>
    <cfRule type="expression" priority="88">
      <formula>"ISODD(ROW())"</formula>
    </cfRule>
    <cfRule type="expression" dxfId="1712" priority="87">
      <formula>ISODD(ROW())</formula>
    </cfRule>
    <cfRule type="expression" dxfId="1711" priority="85">
      <formula>ISODD(ROW())</formula>
    </cfRule>
    <cfRule type="expression" dxfId="1710" priority="84">
      <formula>ISODD(ROW())</formula>
    </cfRule>
    <cfRule type="expression" dxfId="1709" priority="83">
      <formula>ISODD(ROW())</formula>
    </cfRule>
    <cfRule type="expression" dxfId="1708" priority="82">
      <formula>"IF(A4:A299);ISODD(ROW()))"</formula>
    </cfRule>
    <cfRule type="expression" priority="86">
      <formula>is(ROW())</formula>
    </cfRule>
    <cfRule type="expression" dxfId="1707" priority="90">
      <formula>ISODD(RƠ())</formula>
    </cfRule>
  </conditionalFormatting>
  <conditionalFormatting sqref="E330 G330 I330 M330 O330">
    <cfRule type="expression" priority="48">
      <formula>is(ROW())</formula>
    </cfRule>
    <cfRule type="expression" dxfId="1706" priority="49">
      <formula>ISODD(ROW())</formula>
    </cfRule>
    <cfRule type="expression" priority="50">
      <formula>"ISODD(ROW())"</formula>
    </cfRule>
    <cfRule type="expression" priority="51">
      <formula>ISODD(ROW())</formula>
    </cfRule>
    <cfRule type="expression" dxfId="1705" priority="52">
      <formula>ISODD(RƠ())</formula>
    </cfRule>
    <cfRule type="expression" dxfId="1704" priority="46">
      <formula>ISODD(ROW())</formula>
    </cfRule>
    <cfRule type="expression" dxfId="1703" priority="47">
      <formula>ISODD(ROW())</formula>
    </cfRule>
    <cfRule type="expression" dxfId="1702" priority="45">
      <formula>ISODD(ROW())</formula>
    </cfRule>
    <cfRule type="expression" dxfId="1701" priority="44">
      <formula>"IF(A4:A299);ISODD(ROW()))"</formula>
    </cfRule>
  </conditionalFormatting>
  <conditionalFormatting sqref="E360 G360 I360 M360 O360">
    <cfRule type="expression" dxfId="1700" priority="17">
      <formula>ISODD(ROW())</formula>
    </cfRule>
    <cfRule type="expression" dxfId="1699" priority="21">
      <formula>ISODD(ROW())</formula>
    </cfRule>
    <cfRule type="expression" priority="22">
      <formula>"ISODD(ROW())"</formula>
    </cfRule>
    <cfRule type="expression" dxfId="1698" priority="16">
      <formula>"IF(A4:A299);ISODD(ROW()))"</formula>
    </cfRule>
    <cfRule type="expression" dxfId="1697" priority="24">
      <formula>ISODD(RƠ())</formula>
    </cfRule>
    <cfRule type="expression" priority="23">
      <formula>ISODD(ROW())</formula>
    </cfRule>
    <cfRule type="expression" dxfId="1696" priority="18">
      <formula>ISODD(ROW())</formula>
    </cfRule>
    <cfRule type="expression" dxfId="1695" priority="19">
      <formula>ISODD(ROW())</formula>
    </cfRule>
    <cfRule type="expression" priority="20">
      <formula>is(ROW())</formula>
    </cfRule>
  </conditionalFormatting>
  <conditionalFormatting sqref="E390 G390 I390 M390 O390">
    <cfRule type="expression" dxfId="1694" priority="3">
      <formula>ISODD(ROW())</formula>
    </cfRule>
    <cfRule type="expression" dxfId="1693" priority="2">
      <formula>ISODD(ROW())</formula>
    </cfRule>
    <cfRule type="expression" priority="7">
      <formula>"ISODD(ROW())"</formula>
    </cfRule>
    <cfRule type="expression" dxfId="1692" priority="1">
      <formula>"IF(A4:A299);ISODD(ROW()))"</formula>
    </cfRule>
    <cfRule type="expression" priority="5">
      <formula>is(ROW())</formula>
    </cfRule>
    <cfRule type="expression" dxfId="1691" priority="9">
      <formula>ISODD(RƠ())</formula>
    </cfRule>
    <cfRule type="expression" priority="8">
      <formula>ISODD(ROW())</formula>
    </cfRule>
    <cfRule type="expression" dxfId="1690" priority="6">
      <formula>ISODD(ROW())</formula>
    </cfRule>
    <cfRule type="expression" dxfId="1689" priority="4">
      <formula>ISODD(ROW())</formula>
    </cfRule>
  </conditionalFormatting>
  <conditionalFormatting sqref="E5:P23 A3:P4 Q4 A5:A23 A24:P29 A30:D30 F30 H30 J30:L30 N30 P30">
    <cfRule type="expression" dxfId="1688" priority="465">
      <formula>ISODD(ROW())</formula>
    </cfRule>
  </conditionalFormatting>
  <conditionalFormatting sqref="E35:P45 A33:P34 A35:A45 A46:P59 A60:D60 F60 H60 J60:L60 N60 P60">
    <cfRule type="expression" dxfId="1687" priority="422">
      <formula>ISODD(ROW())</formula>
    </cfRule>
  </conditionalFormatting>
  <conditionalFormatting sqref="E65:P74 A63:P64 A65:A74 A75:P89 A90:D90 F90 H90 J90:L90 N90 P90">
    <cfRule type="expression" dxfId="1686" priority="375">
      <formula>ISODD(ROW())</formula>
    </cfRule>
  </conditionalFormatting>
  <conditionalFormatting sqref="E95:P109 A93:P94 A95:A109 A110:P119 A120:D120 F120 H120 J120:L120 N120 P120">
    <cfRule type="expression" dxfId="1685" priority="337">
      <formula>ISODD(ROW())</formula>
    </cfRule>
  </conditionalFormatting>
  <conditionalFormatting sqref="E125:P135 A123:P124 A125:A135 A136:P149 A150:D150 F150 H150 J150:L150 N150 P150">
    <cfRule type="expression" dxfId="1684" priority="299">
      <formula>ISODD(ROW())</formula>
    </cfRule>
  </conditionalFormatting>
  <conditionalFormatting sqref="E155:P168 A153:P154 A155:A168 A169:P179 A180:D180 F180 H180 J180:L180 N180 P180">
    <cfRule type="expression" dxfId="1683" priority="260">
      <formula>ISODD(ROW())</formula>
    </cfRule>
  </conditionalFormatting>
  <conditionalFormatting sqref="E185:P205 A183:P184 A185:A205 A206:P209 A210:D210 F210 H210 J210:L210 N210 P210">
    <cfRule type="expression" dxfId="1682" priority="222">
      <formula>ISODD(ROW())</formula>
    </cfRule>
  </conditionalFormatting>
  <conditionalFormatting sqref="E215:P235 A213:P214 A215:A235 A236:P239 A240:D240 F240 H240 J240:L240 N240 P240">
    <cfRule type="expression" dxfId="1681" priority="184">
      <formula>ISODD(ROW())</formula>
    </cfRule>
  </conditionalFormatting>
  <conditionalFormatting sqref="E245:P264 A243:P244 A245:A264 A265:P269 A270:D270 F270 H270 J270:L270 N270 P270">
    <cfRule type="expression" dxfId="1680" priority="146">
      <formula>ISODD(ROW())</formula>
    </cfRule>
  </conditionalFormatting>
  <conditionalFormatting sqref="E275:P285 A273:P274 A275:A285 A286:P299 A300:D300 F300 H300 J300:L300 N300 P300">
    <cfRule type="expression" dxfId="1679" priority="108">
      <formula>ISODD(ROW())</formula>
    </cfRule>
  </conditionalFormatting>
  <conditionalFormatting sqref="E305:P317 A303:P304 A305:A317 A318:P329 A330:D330 F330 H330 J330:L330 N330 P330">
    <cfRule type="expression" dxfId="1678" priority="70">
      <formula>ISODD(ROW())</formula>
    </cfRule>
  </conditionalFormatting>
  <conditionalFormatting sqref="E335:P355 A333:P334 A335:A355 A356:P359 A360:D360 F360 H360 J360:L360 N360 P360">
    <cfRule type="expression" dxfId="1677" priority="32">
      <formula>ISODD(ROW())</formula>
    </cfRule>
  </conditionalFormatting>
  <conditionalFormatting sqref="E365:P385 A363:P364 A365:A385 A386:P389 A390:D390 F390 H390 J390:L390 N390 P390">
    <cfRule type="expression" dxfId="1676" priority="14">
      <formula>ISODD(ROW())</formula>
    </cfRule>
  </conditionalFormatting>
  <conditionalFormatting sqref="I14">
    <cfRule type="expression" dxfId="1675" priority="464">
      <formula>ISODD(ROW())</formula>
    </cfRule>
  </conditionalFormatting>
  <conditionalFormatting sqref="I44">
    <cfRule type="expression" dxfId="1674" priority="421">
      <formula>ISODD(ROW())</formula>
    </cfRule>
  </conditionalFormatting>
  <conditionalFormatting sqref="I74">
    <cfRule type="expression" dxfId="1673" priority="374">
      <formula>ISODD(ROW())</formula>
    </cfRule>
  </conditionalFormatting>
  <conditionalFormatting sqref="I104">
    <cfRule type="expression" dxfId="1672" priority="336">
      <formula>ISODD(ROW())</formula>
    </cfRule>
  </conditionalFormatting>
  <conditionalFormatting sqref="I134">
    <cfRule type="expression" dxfId="1671" priority="298">
      <formula>ISODD(ROW())</formula>
    </cfRule>
  </conditionalFormatting>
  <conditionalFormatting sqref="I164">
    <cfRule type="expression" dxfId="1670" priority="259">
      <formula>ISODD(ROW())</formula>
    </cfRule>
  </conditionalFormatting>
  <conditionalFormatting sqref="I194">
    <cfRule type="expression" dxfId="1669" priority="221">
      <formula>ISODD(ROW())</formula>
    </cfRule>
  </conditionalFormatting>
  <conditionalFormatting sqref="I224">
    <cfRule type="expression" dxfId="1668" priority="183">
      <formula>ISODD(ROW())</formula>
    </cfRule>
  </conditionalFormatting>
  <conditionalFormatting sqref="I254">
    <cfRule type="expression" dxfId="1667" priority="145">
      <formula>ISODD(ROW())</formula>
    </cfRule>
  </conditionalFormatting>
  <conditionalFormatting sqref="I284">
    <cfRule type="expression" dxfId="1666" priority="107">
      <formula>ISODD(ROW())</formula>
    </cfRule>
  </conditionalFormatting>
  <conditionalFormatting sqref="I314">
    <cfRule type="expression" dxfId="1665" priority="69">
      <formula>ISODD(ROW())</formula>
    </cfRule>
  </conditionalFormatting>
  <conditionalFormatting sqref="I344">
    <cfRule type="expression" dxfId="1664" priority="31">
      <formula>ISODD(ROW())</formula>
    </cfRule>
  </conditionalFormatting>
  <conditionalFormatting sqref="I374">
    <cfRule type="expression" dxfId="1663" priority="13">
      <formula>ISODD(ROW())</formula>
    </cfRule>
  </conditionalFormatting>
  <conditionalFormatting sqref="R2:R5 T2:T5 V2:V5 X2:X5 Z2:Z5">
    <cfRule type="expression" priority="393">
      <formula>"ISODD(ROW())"</formula>
    </cfRule>
    <cfRule type="expression" dxfId="1662" priority="392">
      <formula>ISODD(ROW())</formula>
    </cfRule>
    <cfRule type="expression" dxfId="1661" priority="390">
      <formula>ISODD(ROW())</formula>
    </cfRule>
    <cfRule type="expression" dxfId="1660" priority="389">
      <formula>ISODD(ROW())</formula>
    </cfRule>
    <cfRule type="expression" dxfId="1659" priority="388">
      <formula>ISODD(ROW())</formula>
    </cfRule>
    <cfRule type="expression" dxfId="1658" priority="387">
      <formula>"IF(A4:A299);ISODD(ROW()))"</formula>
    </cfRule>
    <cfRule type="expression" priority="391">
      <formula>is(ROW())</formula>
    </cfRule>
    <cfRule type="expression" dxfId="1657" priority="395">
      <formula>ISODD(RƠ())</formula>
    </cfRule>
    <cfRule type="expression" priority="394">
      <formula>ISODD(ROW())</formula>
    </cfRule>
  </conditionalFormatting>
  <conditionalFormatting sqref="R15:X16 R17 T17:X17">
    <cfRule type="expression" priority="272">
      <formula>"ISODD(RƠ())"</formula>
    </cfRule>
  </conditionalFormatting>
  <conditionalFormatting sqref="R1:AC1">
    <cfRule type="expression" dxfId="1656" priority="434">
      <formula>ISODD(ROW())</formula>
    </cfRule>
    <cfRule type="expression" dxfId="1655" priority="435">
      <formula>-ISODD(ROW())</formula>
    </cfRule>
    <cfRule type="expression" dxfId="1654" priority="436">
      <formula>ISOODD(ROW())</formula>
    </cfRule>
    <cfRule type="expression" dxfId="1653" priority="437">
      <formula>ISODD(ROW())</formula>
    </cfRule>
    <cfRule type="expression" dxfId="1652" priority="438">
      <formula>MOD(ROW(),2)=1</formula>
    </cfRule>
  </conditionalFormatting>
  <pageMargins left="0.45" right="0" top="0.25" bottom="0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DA9C-EF5D-4CEB-8790-01E1E9ABC52A}">
  <dimension ref="A1:AC572"/>
  <sheetViews>
    <sheetView topLeftCell="A536" zoomScale="80" zoomScaleNormal="80" workbookViewId="0">
      <selection activeCell="V566" sqref="V566"/>
    </sheetView>
  </sheetViews>
  <sheetFormatPr defaultColWidth="8.75" defaultRowHeight="18.95" customHeight="1" x14ac:dyDescent="0.3"/>
  <cols>
    <col min="1" max="1" width="5.75" style="18" customWidth="1"/>
    <col min="2" max="2" width="18.375" style="19" customWidth="1"/>
    <col min="3" max="3" width="8.75" style="18"/>
    <col min="4" max="4" width="12.625" style="38" customWidth="1"/>
    <col min="5" max="5" width="7.5" style="20" customWidth="1"/>
    <col min="6" max="16" width="7.5" style="74" customWidth="1"/>
    <col min="17" max="16384" width="8.75" style="74"/>
  </cols>
  <sheetData>
    <row r="1" spans="1:29" customFormat="1" ht="18.600000000000001" customHeight="1" x14ac:dyDescent="0.2">
      <c r="A1" s="434" t="s">
        <v>1043</v>
      </c>
      <c r="B1" s="434"/>
      <c r="C1" s="434"/>
      <c r="D1" s="434"/>
      <c r="E1" s="434"/>
      <c r="F1" s="434"/>
      <c r="G1" s="434"/>
      <c r="H1" s="434"/>
      <c r="I1" s="92" t="s">
        <v>1027</v>
      </c>
      <c r="J1" s="48"/>
      <c r="K1" s="48"/>
      <c r="L1" s="48"/>
      <c r="M1" s="41"/>
      <c r="N1" s="41"/>
      <c r="O1" s="41"/>
      <c r="P1" s="41"/>
      <c r="Q1" s="66"/>
      <c r="R1" s="450" t="s">
        <v>1163</v>
      </c>
      <c r="S1" s="450"/>
      <c r="T1" s="450" t="s">
        <v>1164</v>
      </c>
      <c r="U1" s="450"/>
      <c r="V1" s="450" t="s">
        <v>1165</v>
      </c>
      <c r="W1" s="450"/>
      <c r="X1" s="450" t="s">
        <v>1166</v>
      </c>
      <c r="Y1" s="450"/>
      <c r="Z1" s="450" t="s">
        <v>1167</v>
      </c>
      <c r="AA1" s="450"/>
      <c r="AB1" s="451" t="s">
        <v>748</v>
      </c>
      <c r="AC1" s="451"/>
    </row>
    <row r="2" spans="1:29" customFormat="1" ht="18.600000000000001" customHeight="1" x14ac:dyDescent="0.2">
      <c r="A2" s="28"/>
      <c r="B2" s="29"/>
      <c r="C2" s="30"/>
      <c r="D2" s="36"/>
      <c r="E2" s="28"/>
      <c r="F2" s="28"/>
      <c r="G2" s="28"/>
      <c r="H2" s="28"/>
      <c r="I2" s="79"/>
      <c r="J2" s="28"/>
      <c r="K2" s="28"/>
      <c r="L2" s="28"/>
      <c r="M2" s="28"/>
      <c r="N2" s="28"/>
      <c r="O2" s="28"/>
      <c r="P2" s="28"/>
      <c r="Q2" s="66" t="s">
        <v>1049</v>
      </c>
      <c r="R2" s="446">
        <f>SUBTOTAL(9,G5:G60)</f>
        <v>0</v>
      </c>
      <c r="S2" s="446"/>
      <c r="T2" s="446">
        <f>SUBTOTAL(9,I5:I60)</f>
        <v>0</v>
      </c>
      <c r="U2" s="446"/>
      <c r="V2" s="446">
        <f>SUBTOTAL(9,K5:K60)</f>
        <v>0</v>
      </c>
      <c r="W2" s="446"/>
      <c r="X2" s="446">
        <f t="shared" ref="X2" si="0">SUBTOTAL(9,M5:M60)</f>
        <v>0</v>
      </c>
      <c r="Y2" s="446"/>
      <c r="Z2" s="446">
        <f>SUBTOTAL(9,O5:O60)</f>
        <v>0</v>
      </c>
      <c r="AA2" s="446"/>
      <c r="AB2" s="455">
        <f>SUM(R2:Z2)</f>
        <v>0</v>
      </c>
      <c r="AC2" s="455"/>
    </row>
    <row r="3" spans="1:29" customFormat="1" ht="18.600000000000001" customHeight="1" x14ac:dyDescent="0.3">
      <c r="A3" s="435" t="s">
        <v>374</v>
      </c>
      <c r="B3" s="435" t="s">
        <v>380</v>
      </c>
      <c r="C3" s="435" t="s">
        <v>383</v>
      </c>
      <c r="D3" s="437" t="s">
        <v>384</v>
      </c>
      <c r="E3" s="438" t="s">
        <v>385</v>
      </c>
      <c r="F3" s="439"/>
      <c r="G3" s="432" t="str">
        <f>$R$1</f>
        <v>Đợt 6</v>
      </c>
      <c r="H3" s="433"/>
      <c r="I3" s="432" t="str">
        <f>$T$1</f>
        <v>Đợt 7</v>
      </c>
      <c r="J3" s="433"/>
      <c r="K3" s="432" t="str">
        <f>V1</f>
        <v>Đợt 8</v>
      </c>
      <c r="L3" s="433"/>
      <c r="M3" s="432" t="str">
        <f>$X$1</f>
        <v>Đợt 9</v>
      </c>
      <c r="N3" s="433"/>
      <c r="O3" s="432" t="str">
        <f>$Z$1</f>
        <v>Đợt 10</v>
      </c>
      <c r="P3" s="454"/>
      <c r="Q3" s="66" t="s">
        <v>112</v>
      </c>
      <c r="R3" s="447">
        <f>G150+G270</f>
        <v>0</v>
      </c>
      <c r="S3" s="447"/>
      <c r="T3" s="447">
        <f t="shared" ref="T3" si="1">I150+I270</f>
        <v>0</v>
      </c>
      <c r="U3" s="447"/>
      <c r="V3" s="447">
        <f t="shared" ref="V3" si="2">K150+K270</f>
        <v>0</v>
      </c>
      <c r="W3" s="447"/>
      <c r="X3" s="447">
        <f t="shared" ref="X3" si="3">M150+M270</f>
        <v>0</v>
      </c>
      <c r="Y3" s="447"/>
      <c r="Z3" s="447">
        <f t="shared" ref="Z3" si="4">O150+O270</f>
        <v>0</v>
      </c>
      <c r="AA3" s="447"/>
      <c r="AB3" s="455">
        <f t="shared" ref="AB3:AB7" si="5">SUM(R3:Z3)</f>
        <v>0</v>
      </c>
      <c r="AC3" s="455"/>
    </row>
    <row r="4" spans="1:29" customFormat="1" ht="18.600000000000001" customHeight="1" x14ac:dyDescent="0.3">
      <c r="A4" s="436"/>
      <c r="B4" s="436"/>
      <c r="C4" s="436"/>
      <c r="D4" s="436"/>
      <c r="E4" s="31" t="s">
        <v>381</v>
      </c>
      <c r="F4" s="31" t="s">
        <v>382</v>
      </c>
      <c r="G4" s="31" t="s">
        <v>381</v>
      </c>
      <c r="H4" s="31" t="s">
        <v>382</v>
      </c>
      <c r="I4" s="80" t="s">
        <v>381</v>
      </c>
      <c r="J4" s="31" t="s">
        <v>382</v>
      </c>
      <c r="K4" s="31"/>
      <c r="L4" s="31"/>
      <c r="M4" s="31" t="s">
        <v>381</v>
      </c>
      <c r="N4" s="31" t="s">
        <v>382</v>
      </c>
      <c r="O4" s="31" t="s">
        <v>381</v>
      </c>
      <c r="P4" s="207" t="s">
        <v>382</v>
      </c>
      <c r="Q4" s="31" t="s">
        <v>1048</v>
      </c>
      <c r="R4" s="447">
        <f>G180+G300+G330+G420+G450</f>
        <v>0</v>
      </c>
      <c r="S4" s="447"/>
      <c r="T4" s="447">
        <f t="shared" ref="T4" si="6">I180+I300+I330+I420+I450</f>
        <v>0</v>
      </c>
      <c r="U4" s="447"/>
      <c r="V4" s="447">
        <f t="shared" ref="V4" si="7">K180+K300+K330+K420+K450</f>
        <v>0</v>
      </c>
      <c r="W4" s="447"/>
      <c r="X4" s="447">
        <f t="shared" ref="X4" si="8">M180+M300+M330+M420+M450</f>
        <v>0</v>
      </c>
      <c r="Y4" s="447"/>
      <c r="Z4" s="447">
        <f t="shared" ref="Z4" si="9">O180+O300+O330+O420+O450</f>
        <v>0</v>
      </c>
      <c r="AA4" s="447"/>
      <c r="AB4" s="455">
        <f t="shared" si="5"/>
        <v>0</v>
      </c>
      <c r="AC4" s="455"/>
    </row>
    <row r="5" spans="1:29" customFormat="1" ht="18.600000000000001" customHeight="1" x14ac:dyDescent="0.3">
      <c r="A5" s="32">
        <v>1</v>
      </c>
      <c r="B5" s="26" t="s">
        <v>167</v>
      </c>
      <c r="C5" s="26" t="s">
        <v>14</v>
      </c>
      <c r="D5" s="26"/>
      <c r="E5" s="32"/>
      <c r="F5" s="34"/>
      <c r="G5" s="32"/>
      <c r="H5" s="34"/>
      <c r="I5" s="81"/>
      <c r="J5" s="34"/>
      <c r="K5" s="34"/>
      <c r="L5" s="34"/>
      <c r="M5" s="32"/>
      <c r="N5" s="34"/>
      <c r="O5" s="32"/>
      <c r="P5" s="208"/>
      <c r="Q5" s="66" t="s">
        <v>41</v>
      </c>
      <c r="R5" s="447">
        <f>G90+G120+G240+G360+G480+G510</f>
        <v>0</v>
      </c>
      <c r="S5" s="447"/>
      <c r="T5" s="447">
        <f t="shared" ref="T5" si="10">I90+I120+I240+I360+I480+I510</f>
        <v>0</v>
      </c>
      <c r="U5" s="447"/>
      <c r="V5" s="447">
        <f t="shared" ref="V5" si="11">K90+K120+K240+K360+K480+K510</f>
        <v>0</v>
      </c>
      <c r="W5" s="447"/>
      <c r="X5" s="447">
        <f t="shared" ref="X5" si="12">M90+M120+M240+M360+M480+M510</f>
        <v>0</v>
      </c>
      <c r="Y5" s="447"/>
      <c r="Z5" s="447">
        <f t="shared" ref="Z5" si="13">O90+O120+O240+O360+O480+O510</f>
        <v>0</v>
      </c>
      <c r="AA5" s="447"/>
      <c r="AB5" s="455">
        <f t="shared" si="5"/>
        <v>0</v>
      </c>
      <c r="AC5" s="455"/>
    </row>
    <row r="6" spans="1:29" customFormat="1" ht="18.600000000000001" customHeight="1" x14ac:dyDescent="0.3">
      <c r="A6" s="7">
        <f t="shared" ref="A6:A29" si="14">A5+1</f>
        <v>2</v>
      </c>
      <c r="B6" s="160" t="s">
        <v>868</v>
      </c>
      <c r="C6" s="143" t="s">
        <v>6</v>
      </c>
      <c r="D6" s="143">
        <v>979242060</v>
      </c>
      <c r="E6" s="7"/>
      <c r="F6" s="7"/>
      <c r="G6" s="7"/>
      <c r="H6" s="7"/>
      <c r="I6" s="82"/>
      <c r="J6" s="7"/>
      <c r="K6" s="7"/>
      <c r="L6" s="7"/>
      <c r="M6" s="7"/>
      <c r="N6" s="7"/>
      <c r="O6" s="7"/>
      <c r="P6" s="209"/>
      <c r="Q6" s="66" t="s">
        <v>101</v>
      </c>
      <c r="R6" s="447">
        <f>G30+G60+G390+G510</f>
        <v>0</v>
      </c>
      <c r="S6" s="447"/>
      <c r="T6" s="447">
        <f t="shared" ref="T6" si="15">I30+I60+I390+I510</f>
        <v>0</v>
      </c>
      <c r="U6" s="447"/>
      <c r="V6" s="447">
        <f t="shared" ref="V6" si="16">K30+K60+K390+K510</f>
        <v>0</v>
      </c>
      <c r="W6" s="447"/>
      <c r="X6" s="447">
        <f t="shared" ref="X6" si="17">M30+M60+M390+M510</f>
        <v>0</v>
      </c>
      <c r="Y6" s="447"/>
      <c r="Z6" s="447">
        <f t="shared" ref="Z6" si="18">O30+O60+O390+O510</f>
        <v>0</v>
      </c>
      <c r="AA6" s="447"/>
      <c r="AB6" s="455">
        <f t="shared" si="5"/>
        <v>0</v>
      </c>
      <c r="AC6" s="455"/>
    </row>
    <row r="7" spans="1:29" customFormat="1" ht="18.600000000000001" customHeight="1" x14ac:dyDescent="0.3">
      <c r="A7" s="7">
        <f t="shared" si="14"/>
        <v>3</v>
      </c>
      <c r="B7" s="143" t="s">
        <v>738</v>
      </c>
      <c r="C7" s="143" t="s">
        <v>64</v>
      </c>
      <c r="D7" s="143">
        <v>382438118</v>
      </c>
      <c r="E7" s="7"/>
      <c r="F7" s="7"/>
      <c r="G7" s="7"/>
      <c r="H7" s="7"/>
      <c r="I7" s="82"/>
      <c r="J7" s="7"/>
      <c r="K7" s="7"/>
      <c r="L7" s="7"/>
      <c r="M7" s="7"/>
      <c r="N7" s="7"/>
      <c r="O7" s="7"/>
      <c r="P7" s="209"/>
      <c r="Q7" s="66" t="s">
        <v>829</v>
      </c>
      <c r="R7" s="447">
        <f>G540+G572</f>
        <v>0</v>
      </c>
      <c r="S7" s="447"/>
      <c r="T7" s="447">
        <f t="shared" ref="T7" si="19">I540+I572</f>
        <v>0</v>
      </c>
      <c r="U7" s="447"/>
      <c r="V7" s="447">
        <f t="shared" ref="V7" si="20">K540+K572</f>
        <v>0</v>
      </c>
      <c r="W7" s="447"/>
      <c r="X7" s="447">
        <f t="shared" ref="X7" si="21">M540+M572</f>
        <v>0</v>
      </c>
      <c r="Y7" s="447"/>
      <c r="Z7" s="447">
        <f t="shared" ref="Z7" si="22">O540+O572</f>
        <v>0</v>
      </c>
      <c r="AA7" s="447"/>
      <c r="AB7" s="455">
        <f t="shared" si="5"/>
        <v>0</v>
      </c>
      <c r="AC7" s="455"/>
    </row>
    <row r="8" spans="1:29" customFormat="1" ht="18.600000000000001" customHeight="1" x14ac:dyDescent="0.2">
      <c r="A8" s="7">
        <f t="shared" si="14"/>
        <v>4</v>
      </c>
      <c r="B8" s="26" t="s">
        <v>168</v>
      </c>
      <c r="C8" s="26" t="s">
        <v>29</v>
      </c>
      <c r="D8" s="26"/>
      <c r="E8" s="7"/>
      <c r="F8" s="7"/>
      <c r="G8" s="7"/>
      <c r="H8" s="7"/>
      <c r="I8" s="82"/>
      <c r="J8" s="7"/>
      <c r="K8" s="7"/>
      <c r="L8" s="7"/>
      <c r="M8" s="7"/>
      <c r="N8" s="7"/>
      <c r="O8" s="7"/>
      <c r="P8" s="7"/>
      <c r="R8" s="456">
        <f>SUM(R3:S7)</f>
        <v>0</v>
      </c>
      <c r="S8" s="457"/>
      <c r="T8" s="456">
        <f t="shared" ref="T8" si="23">SUM(T3:U7)</f>
        <v>0</v>
      </c>
      <c r="U8" s="457"/>
      <c r="V8" s="456">
        <f t="shared" ref="V8" si="24">SUM(V3:W7)</f>
        <v>0</v>
      </c>
      <c r="W8" s="457"/>
      <c r="X8" s="456">
        <f t="shared" ref="X8" si="25">SUM(X3:Y7)</f>
        <v>0</v>
      </c>
      <c r="Y8" s="457"/>
      <c r="Z8" s="456">
        <f t="shared" ref="Z8" si="26">SUM(Z3:AA7)</f>
        <v>0</v>
      </c>
      <c r="AA8" s="457"/>
      <c r="AB8" s="456">
        <f t="shared" ref="AB8" si="27">SUM(AB3:AC7)</f>
        <v>0</v>
      </c>
      <c r="AC8" s="457"/>
    </row>
    <row r="9" spans="1:29" customFormat="1" ht="18.600000000000001" customHeight="1" x14ac:dyDescent="0.3">
      <c r="A9" s="6">
        <f t="shared" si="14"/>
        <v>5</v>
      </c>
      <c r="B9" s="143" t="s">
        <v>793</v>
      </c>
      <c r="C9" s="143" t="s">
        <v>469</v>
      </c>
      <c r="D9" s="143">
        <v>938345215</v>
      </c>
      <c r="E9" s="16"/>
      <c r="F9" s="16"/>
      <c r="G9" s="16"/>
      <c r="H9" s="16"/>
      <c r="I9" s="83"/>
      <c r="J9" s="16"/>
      <c r="K9" s="16"/>
      <c r="L9" s="16"/>
      <c r="M9" s="16"/>
      <c r="N9" s="16"/>
      <c r="O9" s="16"/>
      <c r="P9" s="16"/>
      <c r="R9" s="18"/>
      <c r="S9" s="431" t="s">
        <v>403</v>
      </c>
      <c r="T9" s="431"/>
      <c r="U9" s="18"/>
      <c r="V9" s="18"/>
      <c r="W9" s="18"/>
      <c r="X9" s="18"/>
    </row>
    <row r="10" spans="1:29" customFormat="1" ht="18.600000000000001" customHeight="1" x14ac:dyDescent="0.3">
      <c r="A10" s="56">
        <f t="shared" si="14"/>
        <v>6</v>
      </c>
      <c r="B10" s="25" t="s">
        <v>208</v>
      </c>
      <c r="C10" s="25" t="s">
        <v>133</v>
      </c>
      <c r="D10" s="163"/>
      <c r="E10" s="2"/>
      <c r="F10" s="2"/>
      <c r="G10" s="2"/>
      <c r="H10" s="2"/>
      <c r="I10" s="84"/>
      <c r="J10" s="2"/>
      <c r="K10" s="2"/>
      <c r="L10" s="2"/>
      <c r="M10" s="2"/>
      <c r="N10" s="2"/>
      <c r="O10" s="2"/>
      <c r="P10" s="2"/>
      <c r="R10" s="18">
        <v>1</v>
      </c>
      <c r="S10" s="18" t="s">
        <v>404</v>
      </c>
      <c r="T10" s="18"/>
      <c r="U10" s="18"/>
      <c r="V10" s="18"/>
      <c r="W10" s="18"/>
      <c r="X10" s="18"/>
    </row>
    <row r="11" spans="1:29" customFormat="1" ht="18.600000000000001" customHeight="1" x14ac:dyDescent="0.3">
      <c r="A11" s="6">
        <f t="shared" si="14"/>
        <v>7</v>
      </c>
      <c r="B11" s="143" t="s">
        <v>769</v>
      </c>
      <c r="C11" s="143" t="s">
        <v>34</v>
      </c>
      <c r="D11" s="143">
        <v>908023263</v>
      </c>
      <c r="E11" s="4"/>
      <c r="F11" s="4"/>
      <c r="G11" s="4"/>
      <c r="H11" s="4"/>
      <c r="I11" s="85"/>
      <c r="J11" s="4"/>
      <c r="K11" s="4"/>
      <c r="L11" s="4"/>
      <c r="M11" s="4"/>
      <c r="N11" s="4"/>
      <c r="O11" s="4"/>
      <c r="P11" s="4"/>
      <c r="R11" s="18">
        <v>2</v>
      </c>
      <c r="S11" s="18" t="s">
        <v>405</v>
      </c>
      <c r="T11" s="18"/>
      <c r="U11" s="18"/>
      <c r="V11" s="18"/>
      <c r="W11" s="18"/>
      <c r="X11" s="18"/>
    </row>
    <row r="12" spans="1:29" customFormat="1" ht="18.600000000000001" customHeight="1" x14ac:dyDescent="0.3">
      <c r="A12" s="6">
        <f t="shared" si="14"/>
        <v>8</v>
      </c>
      <c r="B12" s="143" t="s">
        <v>728</v>
      </c>
      <c r="C12" s="143" t="s">
        <v>34</v>
      </c>
      <c r="D12" s="143">
        <v>987616217</v>
      </c>
      <c r="E12" s="4"/>
      <c r="F12" s="4"/>
      <c r="G12" s="4"/>
      <c r="H12" s="4"/>
      <c r="I12" s="85"/>
      <c r="J12" s="4"/>
      <c r="K12" s="4"/>
      <c r="L12" s="4"/>
      <c r="M12" s="4"/>
      <c r="N12" s="4"/>
      <c r="O12" s="4"/>
      <c r="P12" s="4"/>
      <c r="R12" s="18">
        <v>3</v>
      </c>
      <c r="S12" s="18" t="s">
        <v>406</v>
      </c>
      <c r="T12" s="18"/>
      <c r="U12" s="18"/>
      <c r="V12" s="18"/>
      <c r="W12" s="18"/>
      <c r="X12" s="18"/>
    </row>
    <row r="13" spans="1:29" customFormat="1" ht="18.600000000000001" customHeight="1" x14ac:dyDescent="0.3">
      <c r="A13" s="6">
        <f t="shared" si="14"/>
        <v>9</v>
      </c>
      <c r="B13" s="24" t="s">
        <v>511</v>
      </c>
      <c r="C13" s="24" t="s">
        <v>34</v>
      </c>
      <c r="D13" s="163">
        <v>396557917</v>
      </c>
      <c r="E13" s="4"/>
      <c r="F13" s="4"/>
      <c r="G13" s="4"/>
      <c r="H13" s="4"/>
      <c r="I13" s="85"/>
      <c r="J13" s="4"/>
      <c r="K13" s="4"/>
      <c r="L13" s="4"/>
      <c r="M13" s="4"/>
      <c r="N13" s="4"/>
      <c r="O13" s="4"/>
      <c r="P13" s="4"/>
      <c r="R13" s="18">
        <v>4</v>
      </c>
      <c r="S13" s="18" t="s">
        <v>407</v>
      </c>
      <c r="T13" s="18"/>
      <c r="U13" s="18"/>
      <c r="V13" s="18"/>
      <c r="W13" s="18"/>
      <c r="X13" s="18"/>
    </row>
    <row r="14" spans="1:29" customFormat="1" ht="18.600000000000001" customHeight="1" x14ac:dyDescent="0.3">
      <c r="A14" s="10">
        <f t="shared" si="14"/>
        <v>10</v>
      </c>
      <c r="B14" s="26" t="s">
        <v>164</v>
      </c>
      <c r="C14" s="26" t="s">
        <v>26</v>
      </c>
      <c r="D14" s="163"/>
      <c r="E14" s="12"/>
      <c r="F14" s="12"/>
      <c r="G14" s="12"/>
      <c r="H14" s="12"/>
      <c r="I14" s="86"/>
      <c r="J14" s="12"/>
      <c r="K14" s="12"/>
      <c r="L14" s="12"/>
      <c r="M14" s="12"/>
      <c r="N14" s="12"/>
      <c r="O14" s="12"/>
      <c r="P14" s="12"/>
      <c r="R14" s="18">
        <v>5</v>
      </c>
      <c r="S14" s="18" t="s">
        <v>408</v>
      </c>
      <c r="T14" s="18"/>
      <c r="U14" s="18"/>
      <c r="V14" s="18"/>
      <c r="W14" s="18"/>
      <c r="X14" s="18"/>
    </row>
    <row r="15" spans="1:29" customFormat="1" ht="18.600000000000001" customHeight="1" x14ac:dyDescent="0.2">
      <c r="A15" s="35">
        <f t="shared" si="14"/>
        <v>11</v>
      </c>
      <c r="B15" s="26" t="s">
        <v>578</v>
      </c>
      <c r="C15" s="26" t="s">
        <v>26</v>
      </c>
      <c r="D15" s="163"/>
      <c r="E15" s="14"/>
      <c r="F15" s="14"/>
      <c r="G15" s="14"/>
      <c r="H15" s="14"/>
      <c r="I15" s="87"/>
      <c r="J15" s="14"/>
      <c r="K15" s="14"/>
      <c r="L15" s="14"/>
      <c r="M15" s="14"/>
      <c r="N15" s="14"/>
      <c r="O15" s="14"/>
      <c r="P15" s="14"/>
    </row>
    <row r="16" spans="1:29" customFormat="1" ht="18.600000000000001" customHeight="1" x14ac:dyDescent="0.3">
      <c r="A16" s="7">
        <f t="shared" si="14"/>
        <v>12</v>
      </c>
      <c r="B16" s="143" t="s">
        <v>833</v>
      </c>
      <c r="C16" s="143" t="s">
        <v>92</v>
      </c>
      <c r="D16" s="143">
        <v>349579589</v>
      </c>
      <c r="E16" s="4"/>
      <c r="F16" s="4"/>
      <c r="G16" s="4"/>
      <c r="H16" s="4"/>
      <c r="I16" s="85"/>
      <c r="J16" s="4"/>
      <c r="K16" s="4"/>
      <c r="L16" s="4"/>
      <c r="M16" s="4"/>
      <c r="N16" s="4"/>
      <c r="O16" s="4"/>
      <c r="P16" s="4"/>
    </row>
    <row r="17" spans="1:19" customFormat="1" ht="18.600000000000001" customHeight="1" x14ac:dyDescent="0.3">
      <c r="A17" s="7">
        <f t="shared" si="14"/>
        <v>13</v>
      </c>
      <c r="B17" s="143" t="s">
        <v>822</v>
      </c>
      <c r="C17" s="143" t="s">
        <v>91</v>
      </c>
      <c r="D17" s="143">
        <v>353594619</v>
      </c>
      <c r="E17" s="4"/>
      <c r="F17" s="4"/>
      <c r="G17" s="4"/>
      <c r="H17" s="4"/>
      <c r="I17" s="85"/>
      <c r="J17" s="4"/>
      <c r="K17" s="4"/>
      <c r="L17" s="4"/>
      <c r="M17" s="4"/>
      <c r="N17" s="4"/>
      <c r="O17" s="4"/>
      <c r="P17" s="4"/>
      <c r="S17" s="18" t="s">
        <v>856</v>
      </c>
    </row>
    <row r="18" spans="1:19" customFormat="1" ht="18.600000000000001" customHeight="1" x14ac:dyDescent="0.2">
      <c r="A18" s="7">
        <f t="shared" si="14"/>
        <v>14</v>
      </c>
      <c r="B18" s="27" t="s">
        <v>165</v>
      </c>
      <c r="C18" s="27" t="s">
        <v>27</v>
      </c>
      <c r="D18" s="24"/>
      <c r="E18" s="4"/>
      <c r="F18" s="4"/>
      <c r="G18" s="4"/>
      <c r="H18" s="4"/>
      <c r="I18" s="85"/>
      <c r="J18" s="4"/>
      <c r="K18" s="4"/>
      <c r="L18" s="4"/>
      <c r="M18" s="4"/>
      <c r="N18" s="4"/>
      <c r="O18" s="4"/>
      <c r="P18" s="4"/>
    </row>
    <row r="19" spans="1:19" customFormat="1" ht="18.600000000000001" customHeight="1" x14ac:dyDescent="0.2">
      <c r="A19" s="6">
        <f t="shared" si="14"/>
        <v>15</v>
      </c>
      <c r="B19" s="26" t="s">
        <v>169</v>
      </c>
      <c r="C19" s="26" t="s">
        <v>30</v>
      </c>
      <c r="D19" s="163"/>
      <c r="E19" s="16"/>
      <c r="F19" s="16"/>
      <c r="G19" s="16"/>
      <c r="H19" s="16"/>
      <c r="I19" s="83"/>
      <c r="J19" s="16"/>
      <c r="K19" s="16"/>
      <c r="L19" s="16"/>
      <c r="M19" s="16"/>
      <c r="N19" s="16"/>
      <c r="O19" s="16"/>
      <c r="P19" s="16"/>
    </row>
    <row r="20" spans="1:19" customFormat="1" ht="18.600000000000001" customHeight="1" x14ac:dyDescent="0.3">
      <c r="A20" s="32">
        <f t="shared" si="14"/>
        <v>16</v>
      </c>
      <c r="B20" s="143" t="s">
        <v>804</v>
      </c>
      <c r="C20" s="143" t="s">
        <v>69</v>
      </c>
      <c r="D20" s="143">
        <v>333978559</v>
      </c>
      <c r="E20" s="2"/>
      <c r="F20" s="2"/>
      <c r="G20" s="2"/>
      <c r="H20" s="2"/>
      <c r="I20" s="84"/>
      <c r="J20" s="2"/>
      <c r="K20" s="2"/>
      <c r="L20" s="2"/>
      <c r="M20" s="2"/>
      <c r="N20" s="2"/>
      <c r="O20" s="2"/>
      <c r="P20" s="2"/>
    </row>
    <row r="21" spans="1:19" customFormat="1" ht="18.600000000000001" customHeight="1" x14ac:dyDescent="0.2">
      <c r="A21" s="7">
        <f t="shared" si="14"/>
        <v>17</v>
      </c>
      <c r="B21" s="3"/>
      <c r="C21" s="4"/>
      <c r="D21" s="8"/>
      <c r="E21" s="4"/>
      <c r="F21" s="4"/>
      <c r="G21" s="4"/>
      <c r="H21" s="4"/>
      <c r="I21" s="85"/>
      <c r="J21" s="4"/>
      <c r="K21" s="4"/>
      <c r="L21" s="4"/>
      <c r="M21" s="4"/>
      <c r="N21" s="4"/>
      <c r="O21" s="4"/>
      <c r="P21" s="4"/>
    </row>
    <row r="22" spans="1:19" customFormat="1" ht="18.600000000000001" customHeight="1" x14ac:dyDescent="0.2">
      <c r="A22" s="7">
        <f t="shared" si="14"/>
        <v>18</v>
      </c>
      <c r="B22" s="3"/>
      <c r="C22" s="4"/>
      <c r="D22" s="8"/>
      <c r="E22" s="4"/>
      <c r="F22" s="4"/>
      <c r="G22" s="4"/>
      <c r="H22" s="4"/>
      <c r="I22" s="85"/>
      <c r="J22" s="4"/>
      <c r="K22" s="4"/>
      <c r="L22" s="4"/>
      <c r="M22" s="4"/>
      <c r="N22" s="4"/>
      <c r="O22" s="4"/>
      <c r="P22" s="4"/>
    </row>
    <row r="23" spans="1:19" customFormat="1" ht="18.600000000000001" customHeight="1" x14ac:dyDescent="0.2">
      <c r="A23" s="7">
        <f t="shared" si="14"/>
        <v>19</v>
      </c>
      <c r="B23" s="3"/>
      <c r="C23" s="4"/>
      <c r="D23" s="8"/>
      <c r="E23" s="4"/>
      <c r="F23" s="4"/>
      <c r="G23" s="4"/>
      <c r="H23" s="4"/>
      <c r="I23" s="85"/>
      <c r="J23" s="4"/>
      <c r="K23" s="4"/>
      <c r="L23" s="4"/>
      <c r="M23" s="4"/>
      <c r="N23" s="4"/>
      <c r="O23" s="4"/>
      <c r="P23" s="4"/>
    </row>
    <row r="24" spans="1:19" customFormat="1" ht="18.600000000000001" customHeight="1" x14ac:dyDescent="0.2">
      <c r="A24" s="10">
        <f t="shared" si="14"/>
        <v>20</v>
      </c>
      <c r="B24" s="11"/>
      <c r="C24" s="12"/>
      <c r="D24" s="9"/>
      <c r="E24" s="12"/>
      <c r="F24" s="12"/>
      <c r="G24" s="12"/>
      <c r="H24" s="12"/>
      <c r="I24" s="86"/>
      <c r="J24" s="12"/>
      <c r="K24" s="12"/>
      <c r="L24" s="12"/>
      <c r="M24" s="12"/>
      <c r="N24" s="12"/>
      <c r="O24" s="12"/>
      <c r="P24" s="12"/>
    </row>
    <row r="25" spans="1:19" customFormat="1" ht="18.600000000000001" customHeight="1" x14ac:dyDescent="0.2">
      <c r="A25" s="35">
        <f t="shared" si="14"/>
        <v>21</v>
      </c>
      <c r="B25" s="13"/>
      <c r="C25" s="14"/>
      <c r="D25" s="37"/>
      <c r="E25" s="14"/>
      <c r="F25" s="14"/>
      <c r="G25" s="14"/>
      <c r="H25" s="14"/>
      <c r="I25" s="87"/>
      <c r="J25" s="14"/>
      <c r="K25" s="14"/>
      <c r="L25" s="14"/>
      <c r="M25" s="14"/>
      <c r="N25" s="14"/>
      <c r="O25" s="14"/>
      <c r="P25" s="14"/>
    </row>
    <row r="26" spans="1:19" customFormat="1" ht="18.600000000000001" customHeight="1" x14ac:dyDescent="0.2">
      <c r="A26" s="7">
        <f t="shared" si="14"/>
        <v>22</v>
      </c>
      <c r="B26" s="3"/>
      <c r="C26" s="4"/>
      <c r="D26" s="8"/>
      <c r="E26" s="4"/>
      <c r="F26" s="4"/>
      <c r="G26" s="4"/>
      <c r="H26" s="4"/>
      <c r="I26" s="85"/>
      <c r="J26" s="4"/>
      <c r="K26" s="4"/>
      <c r="L26" s="4"/>
      <c r="M26" s="4"/>
      <c r="N26" s="4"/>
      <c r="O26" s="4"/>
      <c r="P26" s="4"/>
    </row>
    <row r="27" spans="1:19" customFormat="1" ht="18.600000000000001" customHeight="1" x14ac:dyDescent="0.2">
      <c r="A27" s="35">
        <f t="shared" si="14"/>
        <v>23</v>
      </c>
      <c r="B27" s="3"/>
      <c r="C27" s="4"/>
      <c r="D27" s="8"/>
      <c r="E27" s="4"/>
      <c r="F27" s="4"/>
      <c r="G27" s="4"/>
      <c r="H27" s="4"/>
      <c r="I27" s="85"/>
      <c r="J27" s="4"/>
      <c r="K27" s="4"/>
      <c r="L27" s="4"/>
      <c r="M27" s="4"/>
      <c r="N27" s="4"/>
      <c r="O27" s="4"/>
      <c r="P27" s="4"/>
    </row>
    <row r="28" spans="1:19" customFormat="1" ht="18.600000000000001" customHeight="1" x14ac:dyDescent="0.2">
      <c r="A28" s="7">
        <f t="shared" si="14"/>
        <v>24</v>
      </c>
      <c r="B28" s="3"/>
      <c r="C28" s="4"/>
      <c r="D28" s="8"/>
      <c r="E28" s="4"/>
      <c r="F28" s="4"/>
      <c r="G28" s="4"/>
      <c r="H28" s="4"/>
      <c r="I28" s="85"/>
      <c r="J28" s="4"/>
      <c r="K28" s="4"/>
      <c r="L28" s="4"/>
      <c r="M28" s="4"/>
      <c r="N28" s="4"/>
      <c r="O28" s="4"/>
      <c r="P28" s="4"/>
    </row>
    <row r="29" spans="1:19" customFormat="1" ht="18.600000000000001" customHeight="1" x14ac:dyDescent="0.2">
      <c r="A29" s="35">
        <f t="shared" si="14"/>
        <v>25</v>
      </c>
      <c r="B29" s="11"/>
      <c r="C29" s="12"/>
      <c r="D29" s="9"/>
      <c r="E29" s="12"/>
      <c r="F29" s="12"/>
      <c r="G29" s="12"/>
      <c r="H29" s="12"/>
      <c r="I29" s="86"/>
      <c r="J29" s="12"/>
      <c r="K29" s="12"/>
      <c r="L29" s="12"/>
      <c r="M29" s="12"/>
      <c r="N29" s="12"/>
      <c r="O29" s="12"/>
      <c r="P29" s="12"/>
    </row>
    <row r="30" spans="1:19" customFormat="1" ht="18.600000000000001" customHeight="1" x14ac:dyDescent="0.3">
      <c r="A30" s="147"/>
      <c r="B30" s="148"/>
      <c r="C30" s="147"/>
      <c r="D30" s="149"/>
      <c r="E30" s="150">
        <f>SUBTOTAL(9,E5:E29)</f>
        <v>0</v>
      </c>
      <c r="F30" s="151"/>
      <c r="G30" s="150">
        <f t="shared" ref="G30" si="28">SUBTOTAL(9,G5:G29)</f>
        <v>0</v>
      </c>
      <c r="H30" s="151"/>
      <c r="I30" s="150">
        <f t="shared" ref="I30" si="29">SUBTOTAL(9,I5:I29)</f>
        <v>0</v>
      </c>
      <c r="J30" s="151"/>
      <c r="K30" s="151"/>
      <c r="L30" s="151"/>
      <c r="M30" s="150">
        <f t="shared" ref="M30" si="30">SUBTOTAL(9,M5:M29)</f>
        <v>0</v>
      </c>
      <c r="N30" s="151"/>
      <c r="O30" s="150">
        <f t="shared" ref="O30" si="31">SUBTOTAL(9,O5:O29)</f>
        <v>0</v>
      </c>
      <c r="P30" s="151"/>
    </row>
    <row r="31" spans="1:19" customFormat="1" ht="18.600000000000001" customHeight="1" x14ac:dyDescent="0.2">
      <c r="A31" s="434" t="str">
        <f>A1</f>
        <v>DANH SÁCH LỚP TOÁN</v>
      </c>
      <c r="B31" s="434"/>
      <c r="C31" s="434"/>
      <c r="D31" s="434"/>
      <c r="E31" s="434"/>
      <c r="F31" s="434"/>
      <c r="G31" s="434"/>
      <c r="H31" s="434"/>
      <c r="I31" s="92" t="s">
        <v>847</v>
      </c>
      <c r="J31" s="48"/>
      <c r="K31" s="48"/>
      <c r="L31" s="48"/>
      <c r="M31" s="41"/>
      <c r="N31" s="41"/>
      <c r="O31" s="41"/>
      <c r="P31" s="41"/>
    </row>
    <row r="32" spans="1:19" customFormat="1" ht="18.600000000000001" customHeight="1" x14ac:dyDescent="0.2">
      <c r="A32" s="28"/>
      <c r="B32" s="29"/>
      <c r="C32" s="30"/>
      <c r="D32" s="36"/>
      <c r="E32" s="28"/>
      <c r="F32" s="28"/>
      <c r="G32" s="28"/>
      <c r="H32" s="28"/>
      <c r="I32" s="79"/>
      <c r="J32" s="28"/>
      <c r="K32" s="28"/>
      <c r="L32" s="28"/>
      <c r="M32" s="28"/>
      <c r="N32" s="28"/>
      <c r="O32" s="28"/>
      <c r="P32" s="28"/>
    </row>
    <row r="33" spans="1:16" customFormat="1" ht="18.600000000000001" customHeight="1" x14ac:dyDescent="0.2">
      <c r="A33" s="435" t="s">
        <v>374</v>
      </c>
      <c r="B33" s="435" t="s">
        <v>380</v>
      </c>
      <c r="C33" s="435" t="s">
        <v>383</v>
      </c>
      <c r="D33" s="437" t="s">
        <v>384</v>
      </c>
      <c r="E33" s="438" t="s">
        <v>385</v>
      </c>
      <c r="F33" s="439"/>
      <c r="G33" s="432" t="str">
        <f>$R$1</f>
        <v>Đợt 6</v>
      </c>
      <c r="H33" s="433"/>
      <c r="I33" s="432" t="str">
        <f>$T$1</f>
        <v>Đợt 7</v>
      </c>
      <c r="J33" s="433"/>
      <c r="K33" s="432" t="str">
        <f>$V$1</f>
        <v>Đợt 8</v>
      </c>
      <c r="L33" s="433"/>
      <c r="M33" s="432" t="str">
        <f>$X$1</f>
        <v>Đợt 9</v>
      </c>
      <c r="N33" s="433"/>
      <c r="O33" s="432" t="str">
        <f>$Z$1</f>
        <v>Đợt 10</v>
      </c>
      <c r="P33" s="433"/>
    </row>
    <row r="34" spans="1:16" customFormat="1" ht="18.600000000000001" customHeight="1" x14ac:dyDescent="0.2">
      <c r="A34" s="436"/>
      <c r="B34" s="436"/>
      <c r="C34" s="436"/>
      <c r="D34" s="436"/>
      <c r="E34" s="31" t="s">
        <v>381</v>
      </c>
      <c r="F34" s="31" t="s">
        <v>382</v>
      </c>
      <c r="G34" s="31" t="s">
        <v>381</v>
      </c>
      <c r="H34" s="31" t="s">
        <v>382</v>
      </c>
      <c r="I34" s="80" t="s">
        <v>381</v>
      </c>
      <c r="J34" s="31" t="s">
        <v>382</v>
      </c>
      <c r="K34" s="80" t="s">
        <v>381</v>
      </c>
      <c r="L34" s="31" t="s">
        <v>382</v>
      </c>
      <c r="M34" s="31" t="s">
        <v>381</v>
      </c>
      <c r="N34" s="31" t="s">
        <v>382</v>
      </c>
      <c r="O34" s="31" t="s">
        <v>381</v>
      </c>
      <c r="P34" s="31" t="s">
        <v>382</v>
      </c>
    </row>
    <row r="35" spans="1:16" customFormat="1" ht="18.600000000000001" customHeight="1" x14ac:dyDescent="0.2">
      <c r="A35" s="32">
        <v>1</v>
      </c>
      <c r="B35" s="174" t="s">
        <v>358</v>
      </c>
      <c r="C35" s="24" t="s">
        <v>1188</v>
      </c>
      <c r="D35" s="163"/>
      <c r="E35" s="32"/>
      <c r="F35" s="34"/>
      <c r="G35" s="32"/>
      <c r="H35" s="93"/>
      <c r="I35" s="81"/>
      <c r="J35" s="34"/>
      <c r="K35" s="34"/>
      <c r="L35" s="34"/>
      <c r="M35" s="32"/>
      <c r="N35" s="34"/>
      <c r="O35" s="32"/>
      <c r="P35" s="34"/>
    </row>
    <row r="36" spans="1:16" customFormat="1" ht="18.600000000000001" customHeight="1" x14ac:dyDescent="0.2">
      <c r="A36" s="7">
        <f t="shared" ref="A36:A59" si="32">A35+1</f>
        <v>2</v>
      </c>
      <c r="B36" s="26" t="s">
        <v>171</v>
      </c>
      <c r="C36" s="26" t="s">
        <v>732</v>
      </c>
      <c r="D36" s="163">
        <v>931761547</v>
      </c>
      <c r="E36" s="7"/>
      <c r="F36" s="7"/>
      <c r="G36" s="7"/>
      <c r="H36" s="7"/>
      <c r="I36" s="82"/>
      <c r="J36" s="7"/>
      <c r="K36" s="7"/>
      <c r="L36" s="7"/>
      <c r="M36" s="7"/>
      <c r="N36" s="7"/>
      <c r="O36" s="7"/>
      <c r="P36" s="7"/>
    </row>
    <row r="37" spans="1:16" customFormat="1" ht="18.600000000000001" customHeight="1" x14ac:dyDescent="0.3">
      <c r="A37" s="7">
        <f t="shared" si="32"/>
        <v>3</v>
      </c>
      <c r="B37" s="143" t="s">
        <v>885</v>
      </c>
      <c r="C37" s="143" t="s">
        <v>95</v>
      </c>
      <c r="D37" s="143"/>
      <c r="E37" s="7"/>
      <c r="F37" s="7"/>
      <c r="G37" s="7"/>
      <c r="H37" s="7"/>
      <c r="I37" s="82"/>
      <c r="J37" s="7"/>
      <c r="K37" s="7"/>
      <c r="L37" s="7"/>
      <c r="M37" s="7"/>
      <c r="N37" s="7"/>
      <c r="O37" s="7"/>
      <c r="P37" s="7"/>
    </row>
    <row r="38" spans="1:16" customFormat="1" ht="18.600000000000001" customHeight="1" x14ac:dyDescent="0.2">
      <c r="A38" s="7">
        <f t="shared" si="32"/>
        <v>4</v>
      </c>
      <c r="B38" s="27" t="s">
        <v>491</v>
      </c>
      <c r="C38" s="27" t="s">
        <v>4</v>
      </c>
      <c r="D38" s="26">
        <v>379111227</v>
      </c>
      <c r="E38" s="7"/>
      <c r="F38" s="7"/>
      <c r="G38" s="7"/>
      <c r="H38" s="7"/>
      <c r="I38" s="82"/>
      <c r="J38" s="7"/>
      <c r="K38" s="7"/>
      <c r="L38" s="7"/>
      <c r="M38" s="7"/>
      <c r="N38" s="7"/>
      <c r="O38" s="7"/>
      <c r="P38" s="7"/>
    </row>
    <row r="39" spans="1:16" customFormat="1" ht="18.600000000000001" customHeight="1" x14ac:dyDescent="0.2">
      <c r="A39" s="6">
        <f t="shared" si="32"/>
        <v>5</v>
      </c>
      <c r="B39" s="24" t="s">
        <v>456</v>
      </c>
      <c r="C39" s="24" t="s">
        <v>21</v>
      </c>
      <c r="D39" s="163"/>
      <c r="E39" s="16"/>
      <c r="F39" s="16"/>
      <c r="G39" s="16"/>
      <c r="H39" s="16"/>
      <c r="I39" s="83"/>
      <c r="J39" s="16"/>
      <c r="K39" s="16"/>
      <c r="L39" s="16"/>
      <c r="M39" s="16"/>
      <c r="N39" s="16"/>
      <c r="O39" s="16"/>
      <c r="P39" s="16"/>
    </row>
    <row r="40" spans="1:16" customFormat="1" ht="18.600000000000001" customHeight="1" x14ac:dyDescent="0.2">
      <c r="A40" s="56">
        <f t="shared" si="32"/>
        <v>6</v>
      </c>
      <c r="B40" s="174" t="s">
        <v>1187</v>
      </c>
      <c r="C40" s="24" t="s">
        <v>77</v>
      </c>
      <c r="D40" s="163"/>
      <c r="E40" s="2"/>
      <c r="F40" s="2"/>
      <c r="G40" s="2"/>
      <c r="H40" s="2"/>
      <c r="I40" s="84"/>
      <c r="J40" s="2"/>
      <c r="K40" s="2"/>
      <c r="L40" s="2"/>
      <c r="M40" s="2"/>
      <c r="N40" s="2"/>
      <c r="O40" s="2"/>
      <c r="P40" s="2"/>
    </row>
    <row r="41" spans="1:16" customFormat="1" ht="18.600000000000001" customHeight="1" x14ac:dyDescent="0.2">
      <c r="A41" s="6">
        <f t="shared" si="32"/>
        <v>7</v>
      </c>
      <c r="B41" s="26" t="s">
        <v>735</v>
      </c>
      <c r="C41" s="26" t="s">
        <v>108</v>
      </c>
      <c r="D41" s="26"/>
      <c r="E41" s="4"/>
      <c r="F41" s="4"/>
      <c r="G41" s="4"/>
      <c r="H41" s="4"/>
      <c r="I41" s="85"/>
      <c r="J41" s="4"/>
      <c r="K41" s="4"/>
      <c r="L41" s="4"/>
      <c r="M41" s="4"/>
      <c r="N41" s="4"/>
      <c r="O41" s="4"/>
      <c r="P41" s="4"/>
    </row>
    <row r="42" spans="1:16" customFormat="1" ht="18.600000000000001" customHeight="1" x14ac:dyDescent="0.3">
      <c r="A42" s="6">
        <f t="shared" si="32"/>
        <v>8</v>
      </c>
      <c r="B42" s="39" t="s">
        <v>733</v>
      </c>
      <c r="C42" s="24" t="s">
        <v>102</v>
      </c>
      <c r="D42" s="163"/>
      <c r="E42" s="4"/>
      <c r="F42" s="4"/>
      <c r="G42" s="4"/>
      <c r="H42" s="4"/>
      <c r="I42" s="85"/>
      <c r="J42" s="4"/>
      <c r="K42" s="4"/>
      <c r="L42" s="4"/>
      <c r="M42" s="4"/>
      <c r="N42" s="4"/>
      <c r="O42" s="4"/>
      <c r="P42" s="4"/>
    </row>
    <row r="43" spans="1:16" customFormat="1" ht="18.600000000000001" customHeight="1" x14ac:dyDescent="0.3">
      <c r="A43" s="6">
        <f t="shared" si="32"/>
        <v>9</v>
      </c>
      <c r="B43" s="143" t="s">
        <v>771</v>
      </c>
      <c r="C43" s="143" t="s">
        <v>530</v>
      </c>
      <c r="D43" s="143">
        <v>348362610</v>
      </c>
      <c r="E43" s="4"/>
      <c r="F43" s="4"/>
      <c r="G43" s="4"/>
      <c r="H43" s="4"/>
      <c r="I43" s="85"/>
      <c r="J43" s="4"/>
      <c r="K43" s="4"/>
      <c r="L43" s="4"/>
      <c r="M43" s="4"/>
      <c r="N43" s="4"/>
      <c r="O43" s="4"/>
      <c r="P43" s="4"/>
    </row>
    <row r="44" spans="1:16" customFormat="1" ht="18.600000000000001" customHeight="1" x14ac:dyDescent="0.3">
      <c r="A44" s="10">
        <f t="shared" si="32"/>
        <v>10</v>
      </c>
      <c r="B44" s="39" t="s">
        <v>1104</v>
      </c>
      <c r="C44" s="24" t="s">
        <v>737</v>
      </c>
      <c r="D44" s="163"/>
      <c r="E44" s="12"/>
      <c r="F44" s="12"/>
      <c r="G44" s="12"/>
      <c r="H44" s="12"/>
      <c r="I44" s="86"/>
      <c r="J44" s="12"/>
      <c r="K44" s="12"/>
      <c r="L44" s="12"/>
      <c r="M44" s="12"/>
      <c r="N44" s="12"/>
      <c r="O44" s="12"/>
      <c r="P44" s="12"/>
    </row>
    <row r="45" spans="1:16" customFormat="1" ht="18.600000000000001" customHeight="1" x14ac:dyDescent="0.2">
      <c r="A45" s="35">
        <f t="shared" si="32"/>
        <v>11</v>
      </c>
      <c r="B45" s="24" t="s">
        <v>1051</v>
      </c>
      <c r="C45" s="24" t="s">
        <v>75</v>
      </c>
      <c r="D45" s="24"/>
      <c r="E45" s="14"/>
      <c r="F45" s="14"/>
      <c r="G45" s="14"/>
      <c r="H45" s="14"/>
      <c r="I45" s="87"/>
      <c r="J45" s="14"/>
      <c r="K45" s="14"/>
      <c r="L45" s="14"/>
      <c r="M45" s="14"/>
      <c r="N45" s="14"/>
      <c r="O45" s="14"/>
      <c r="P45" s="14"/>
    </row>
    <row r="46" spans="1:16" customFormat="1" ht="18.600000000000001" customHeight="1" x14ac:dyDescent="0.3">
      <c r="A46" s="7">
        <f t="shared" si="32"/>
        <v>12</v>
      </c>
      <c r="B46" s="143" t="s">
        <v>306</v>
      </c>
      <c r="C46" s="143" t="s">
        <v>34</v>
      </c>
      <c r="D46" s="143">
        <v>767486526</v>
      </c>
      <c r="E46" s="4"/>
      <c r="F46" s="4"/>
      <c r="G46" s="4"/>
      <c r="H46" s="4"/>
      <c r="I46" s="85"/>
      <c r="J46" s="4"/>
      <c r="K46" s="4"/>
      <c r="L46" s="4"/>
      <c r="M46" s="4"/>
      <c r="N46" s="4"/>
      <c r="O46" s="4"/>
      <c r="P46" s="4"/>
    </row>
    <row r="47" spans="1:16" customFormat="1" ht="18.600000000000001" customHeight="1" x14ac:dyDescent="0.3">
      <c r="A47" s="7">
        <f t="shared" si="32"/>
        <v>13</v>
      </c>
      <c r="B47" s="143" t="s">
        <v>796</v>
      </c>
      <c r="C47" s="143" t="s">
        <v>56</v>
      </c>
      <c r="D47" s="143">
        <v>932955580</v>
      </c>
      <c r="E47" s="4"/>
      <c r="F47" s="4"/>
      <c r="G47" s="4"/>
      <c r="H47" s="4"/>
      <c r="I47" s="85"/>
      <c r="J47" s="4"/>
      <c r="K47" s="4"/>
      <c r="L47" s="4"/>
      <c r="M47" s="4"/>
      <c r="N47" s="4"/>
      <c r="O47" s="4"/>
      <c r="P47" s="4"/>
    </row>
    <row r="48" spans="1:16" customFormat="1" ht="18.600000000000001" customHeight="1" x14ac:dyDescent="0.3">
      <c r="A48" s="7">
        <f t="shared" si="32"/>
        <v>14</v>
      </c>
      <c r="B48" s="39" t="s">
        <v>887</v>
      </c>
      <c r="C48" s="24" t="s">
        <v>40</v>
      </c>
      <c r="D48" s="163">
        <v>348266096</v>
      </c>
      <c r="E48" s="4"/>
      <c r="F48" s="4"/>
      <c r="G48" s="4"/>
      <c r="H48" s="4"/>
      <c r="I48" s="85"/>
      <c r="J48" s="4"/>
      <c r="K48" s="4"/>
      <c r="L48" s="4"/>
      <c r="M48" s="4"/>
      <c r="N48" s="4"/>
      <c r="O48" s="4"/>
      <c r="P48" s="4"/>
    </row>
    <row r="49" spans="1:16" customFormat="1" ht="18.600000000000001" customHeight="1" x14ac:dyDescent="0.3">
      <c r="A49" s="6">
        <f t="shared" si="32"/>
        <v>15</v>
      </c>
      <c r="B49" s="39" t="s">
        <v>211</v>
      </c>
      <c r="C49" s="24" t="s">
        <v>886</v>
      </c>
      <c r="D49" s="163">
        <v>359348496</v>
      </c>
      <c r="E49" s="16"/>
      <c r="F49" s="16"/>
      <c r="G49" s="16"/>
      <c r="H49" s="16"/>
      <c r="I49" s="83"/>
      <c r="J49" s="16"/>
      <c r="K49" s="16"/>
      <c r="L49" s="16"/>
      <c r="M49" s="16"/>
      <c r="N49" s="16"/>
      <c r="O49" s="16"/>
      <c r="P49" s="16"/>
    </row>
    <row r="50" spans="1:16" customFormat="1" ht="18.600000000000001" customHeight="1" x14ac:dyDescent="0.2">
      <c r="A50" s="32">
        <f t="shared" si="32"/>
        <v>16</v>
      </c>
      <c r="B50" s="27" t="s">
        <v>170</v>
      </c>
      <c r="C50" s="27" t="s">
        <v>31</v>
      </c>
      <c r="D50" s="26"/>
      <c r="E50" s="2"/>
      <c r="F50" s="2"/>
      <c r="G50" s="2"/>
      <c r="H50" s="2"/>
      <c r="I50" s="84"/>
      <c r="J50" s="2"/>
      <c r="K50" s="2"/>
      <c r="L50" s="2"/>
      <c r="M50" s="2"/>
      <c r="N50" s="2"/>
      <c r="O50" s="2"/>
      <c r="P50" s="2"/>
    </row>
    <row r="51" spans="1:16" customFormat="1" ht="18.600000000000001" customHeight="1" x14ac:dyDescent="0.2">
      <c r="A51" s="7">
        <f t="shared" si="32"/>
        <v>17</v>
      </c>
      <c r="B51" s="26" t="s">
        <v>166</v>
      </c>
      <c r="C51" s="26" t="s">
        <v>28</v>
      </c>
      <c r="D51" s="163"/>
      <c r="E51" s="4"/>
      <c r="F51" s="4"/>
      <c r="G51" s="4"/>
      <c r="H51" s="4"/>
      <c r="I51" s="85"/>
      <c r="J51" s="4"/>
      <c r="K51" s="4"/>
      <c r="L51" s="4"/>
      <c r="M51" s="4"/>
      <c r="N51" s="4"/>
      <c r="O51" s="4"/>
      <c r="P51" s="4"/>
    </row>
    <row r="52" spans="1:16" customFormat="1" ht="18.600000000000001" customHeight="1" x14ac:dyDescent="0.3">
      <c r="A52" s="7">
        <f t="shared" si="32"/>
        <v>18</v>
      </c>
      <c r="B52" s="39" t="s">
        <v>888</v>
      </c>
      <c r="C52" s="24" t="s">
        <v>5</v>
      </c>
      <c r="D52" s="163">
        <v>792936591</v>
      </c>
      <c r="E52" s="4"/>
      <c r="F52" s="4"/>
      <c r="G52" s="4"/>
      <c r="H52" s="4"/>
      <c r="I52" s="85"/>
      <c r="J52" s="4"/>
      <c r="K52" s="4"/>
      <c r="L52" s="4"/>
      <c r="M52" s="4"/>
      <c r="N52" s="4"/>
      <c r="O52" s="4"/>
      <c r="P52" s="4"/>
    </row>
    <row r="53" spans="1:16" customFormat="1" ht="18.600000000000001" customHeight="1" x14ac:dyDescent="0.3">
      <c r="A53" s="7">
        <f t="shared" si="32"/>
        <v>19</v>
      </c>
      <c r="B53" s="39" t="s">
        <v>1095</v>
      </c>
      <c r="C53" s="24" t="s">
        <v>1002</v>
      </c>
      <c r="D53" s="163"/>
      <c r="E53" s="4"/>
      <c r="F53" s="4"/>
      <c r="G53" s="4"/>
      <c r="H53" s="4"/>
      <c r="I53" s="85"/>
      <c r="J53" s="4"/>
      <c r="K53" s="4"/>
      <c r="L53" s="4"/>
      <c r="M53" s="4"/>
      <c r="N53" s="4"/>
      <c r="O53" s="4"/>
      <c r="P53" s="4"/>
    </row>
    <row r="54" spans="1:16" customFormat="1" ht="18.600000000000001" customHeight="1" x14ac:dyDescent="0.3">
      <c r="A54" s="10">
        <f t="shared" si="32"/>
        <v>20</v>
      </c>
      <c r="B54" s="39" t="s">
        <v>159</v>
      </c>
      <c r="C54" s="24" t="s">
        <v>134</v>
      </c>
      <c r="D54" s="163"/>
      <c r="E54" s="12"/>
      <c r="F54" s="12"/>
      <c r="G54" s="12"/>
      <c r="H54" s="12"/>
      <c r="I54" s="86"/>
      <c r="J54" s="12"/>
      <c r="K54" s="12"/>
      <c r="L54" s="12"/>
      <c r="M54" s="12"/>
      <c r="N54" s="12"/>
      <c r="O54" s="12"/>
      <c r="P54" s="12"/>
    </row>
    <row r="55" spans="1:16" customFormat="1" ht="18.600000000000001" customHeight="1" x14ac:dyDescent="0.3">
      <c r="A55" s="35">
        <f t="shared" si="32"/>
        <v>21</v>
      </c>
      <c r="B55" s="143" t="s">
        <v>705</v>
      </c>
      <c r="C55" s="143" t="s">
        <v>20</v>
      </c>
      <c r="D55" s="143"/>
      <c r="E55" s="14"/>
      <c r="F55" s="14"/>
      <c r="G55" s="14"/>
      <c r="H55" s="14"/>
      <c r="I55" s="87"/>
      <c r="J55" s="14"/>
      <c r="K55" s="14"/>
      <c r="L55" s="14"/>
      <c r="M55" s="14"/>
      <c r="N55" s="14"/>
      <c r="O55" s="14"/>
      <c r="P55" s="14"/>
    </row>
    <row r="56" spans="1:16" customFormat="1" ht="18.600000000000001" customHeight="1" x14ac:dyDescent="0.2">
      <c r="A56" s="7">
        <f t="shared" si="32"/>
        <v>22</v>
      </c>
      <c r="B56" s="3"/>
      <c r="C56" s="4"/>
      <c r="D56" s="8"/>
      <c r="E56" s="4"/>
      <c r="F56" s="4"/>
      <c r="G56" s="4"/>
      <c r="H56" s="4"/>
      <c r="I56" s="85"/>
      <c r="J56" s="4"/>
      <c r="K56" s="4"/>
      <c r="L56" s="4"/>
      <c r="M56" s="4"/>
      <c r="N56" s="4"/>
      <c r="O56" s="4"/>
      <c r="P56" s="4"/>
    </row>
    <row r="57" spans="1:16" customFormat="1" ht="18.600000000000001" customHeight="1" x14ac:dyDescent="0.2">
      <c r="A57" s="35">
        <f t="shared" si="32"/>
        <v>23</v>
      </c>
      <c r="B57" s="3"/>
      <c r="C57" s="4"/>
      <c r="D57" s="8"/>
      <c r="E57" s="4"/>
      <c r="F57" s="4"/>
      <c r="G57" s="4"/>
      <c r="H57" s="4"/>
      <c r="I57" s="85"/>
      <c r="J57" s="4"/>
      <c r="K57" s="4"/>
      <c r="L57" s="4"/>
      <c r="M57" s="4"/>
      <c r="N57" s="4"/>
      <c r="O57" s="4"/>
      <c r="P57" s="4"/>
    </row>
    <row r="58" spans="1:16" customFormat="1" ht="18.600000000000001" customHeight="1" x14ac:dyDescent="0.2">
      <c r="A58" s="7">
        <f t="shared" si="32"/>
        <v>24</v>
      </c>
      <c r="B58" s="3"/>
      <c r="C58" s="4"/>
      <c r="D58" s="8"/>
      <c r="E58" s="4"/>
      <c r="F58" s="4"/>
      <c r="G58" s="4"/>
      <c r="H58" s="4"/>
      <c r="I58" s="85"/>
      <c r="J58" s="4"/>
      <c r="K58" s="4"/>
      <c r="L58" s="4"/>
      <c r="M58" s="4"/>
      <c r="N58" s="4"/>
      <c r="O58" s="4"/>
      <c r="P58" s="4"/>
    </row>
    <row r="59" spans="1:16" customFormat="1" ht="18.600000000000001" customHeight="1" x14ac:dyDescent="0.2">
      <c r="A59" s="35">
        <f t="shared" si="32"/>
        <v>25</v>
      </c>
      <c r="B59" s="11"/>
      <c r="C59" s="12"/>
      <c r="D59" s="9"/>
      <c r="E59" s="12"/>
      <c r="F59" s="12"/>
      <c r="G59" s="12"/>
      <c r="H59" s="12"/>
      <c r="I59" s="86"/>
      <c r="J59" s="12"/>
      <c r="K59" s="12"/>
      <c r="L59" s="12"/>
      <c r="M59" s="12"/>
      <c r="N59" s="12"/>
      <c r="O59" s="12"/>
      <c r="P59" s="12"/>
    </row>
    <row r="60" spans="1:16" customFormat="1" ht="18.600000000000001" customHeight="1" x14ac:dyDescent="0.3">
      <c r="A60" s="147"/>
      <c r="B60" s="148"/>
      <c r="C60" s="147"/>
      <c r="D60" s="149"/>
      <c r="E60" s="150">
        <f>SUBTOTAL(9,E35:E59)</f>
        <v>0</v>
      </c>
      <c r="F60" s="152"/>
      <c r="G60" s="150">
        <f t="shared" ref="G60" si="33">SUBTOTAL(9,G35:G59)</f>
        <v>0</v>
      </c>
      <c r="H60" s="152"/>
      <c r="I60" s="150">
        <f t="shared" ref="I60" si="34">SUBTOTAL(9,I35:I59)</f>
        <v>0</v>
      </c>
      <c r="J60" s="152"/>
      <c r="K60" s="152"/>
      <c r="L60" s="152"/>
      <c r="M60" s="150">
        <f t="shared" ref="M60" si="35">SUBTOTAL(9,M35:M59)</f>
        <v>0</v>
      </c>
      <c r="N60" s="152"/>
      <c r="O60" s="150">
        <f t="shared" ref="O60" si="36">SUBTOTAL(9,O35:O59)</f>
        <v>0</v>
      </c>
      <c r="P60" s="152"/>
    </row>
    <row r="61" spans="1:16" customFormat="1" ht="18.600000000000001" customHeight="1" x14ac:dyDescent="0.2">
      <c r="A61" s="434" t="str">
        <f>A31</f>
        <v>DANH SÁCH LỚP TOÁN</v>
      </c>
      <c r="B61" s="434"/>
      <c r="C61" s="434"/>
      <c r="D61" s="434"/>
      <c r="E61" s="434"/>
      <c r="F61" s="434"/>
      <c r="G61" s="434"/>
      <c r="H61" s="434"/>
      <c r="I61" s="92" t="s">
        <v>828</v>
      </c>
      <c r="J61" s="48"/>
      <c r="K61" s="48"/>
      <c r="L61" s="48"/>
      <c r="M61" s="41"/>
      <c r="N61" s="41"/>
      <c r="O61" s="41"/>
      <c r="P61" s="41"/>
    </row>
    <row r="62" spans="1:16" customFormat="1" ht="18.600000000000001" customHeight="1" x14ac:dyDescent="0.2">
      <c r="A62" s="28"/>
      <c r="B62" s="29"/>
      <c r="C62" s="30"/>
      <c r="D62" s="36"/>
      <c r="E62" s="28"/>
      <c r="F62" s="28"/>
      <c r="G62" s="28"/>
      <c r="H62" s="28"/>
      <c r="I62" s="79"/>
      <c r="J62" s="28"/>
      <c r="K62" s="28"/>
      <c r="L62" s="28"/>
      <c r="M62" s="28"/>
      <c r="N62" s="28"/>
      <c r="O62" s="28"/>
      <c r="P62" s="28"/>
    </row>
    <row r="63" spans="1:16" customFormat="1" ht="18.600000000000001" customHeight="1" x14ac:dyDescent="0.2">
      <c r="A63" s="435" t="s">
        <v>374</v>
      </c>
      <c r="B63" s="435" t="s">
        <v>380</v>
      </c>
      <c r="C63" s="435" t="s">
        <v>383</v>
      </c>
      <c r="D63" s="437" t="s">
        <v>384</v>
      </c>
      <c r="E63" s="438" t="s">
        <v>385</v>
      </c>
      <c r="F63" s="439"/>
      <c r="G63" s="432" t="str">
        <f>$R$1</f>
        <v>Đợt 6</v>
      </c>
      <c r="H63" s="433"/>
      <c r="I63" s="432" t="str">
        <f>$T$1</f>
        <v>Đợt 7</v>
      </c>
      <c r="J63" s="433"/>
      <c r="K63" s="432" t="str">
        <f>$V$1</f>
        <v>Đợt 8</v>
      </c>
      <c r="L63" s="433"/>
      <c r="M63" s="432" t="str">
        <f>$X$1</f>
        <v>Đợt 9</v>
      </c>
      <c r="N63" s="433"/>
      <c r="O63" s="432" t="str">
        <f>$Z$1</f>
        <v>Đợt 10</v>
      </c>
      <c r="P63" s="433"/>
    </row>
    <row r="64" spans="1:16" customFormat="1" ht="18.600000000000001" customHeight="1" x14ac:dyDescent="0.2">
      <c r="A64" s="436"/>
      <c r="B64" s="436"/>
      <c r="C64" s="436"/>
      <c r="D64" s="436"/>
      <c r="E64" s="31" t="s">
        <v>381</v>
      </c>
      <c r="F64" s="31" t="s">
        <v>382</v>
      </c>
      <c r="G64" s="31" t="s">
        <v>381</v>
      </c>
      <c r="H64" s="31" t="s">
        <v>382</v>
      </c>
      <c r="I64" s="80" t="s">
        <v>381</v>
      </c>
      <c r="J64" s="31" t="s">
        <v>382</v>
      </c>
      <c r="K64" s="80" t="s">
        <v>381</v>
      </c>
      <c r="L64" s="31" t="s">
        <v>382</v>
      </c>
      <c r="M64" s="31" t="s">
        <v>381</v>
      </c>
      <c r="N64" s="31" t="s">
        <v>382</v>
      </c>
      <c r="O64" s="31" t="s">
        <v>381</v>
      </c>
      <c r="P64" s="31" t="s">
        <v>382</v>
      </c>
    </row>
    <row r="65" spans="1:16" customFormat="1" ht="18.600000000000001" customHeight="1" x14ac:dyDescent="0.3">
      <c r="A65" s="32">
        <v>1</v>
      </c>
      <c r="B65" s="143" t="s">
        <v>424</v>
      </c>
      <c r="C65" s="143" t="s">
        <v>10</v>
      </c>
      <c r="D65" s="143"/>
      <c r="E65" s="32"/>
      <c r="F65" s="34"/>
      <c r="G65" s="32"/>
      <c r="H65" s="93"/>
      <c r="I65" s="81"/>
      <c r="J65" s="34"/>
      <c r="K65" s="34"/>
      <c r="L65" s="34"/>
      <c r="M65" s="32"/>
      <c r="N65" s="34"/>
      <c r="O65" s="32"/>
      <c r="P65" s="34"/>
    </row>
    <row r="66" spans="1:16" customFormat="1" ht="18.600000000000001" customHeight="1" x14ac:dyDescent="0.2">
      <c r="A66" s="7">
        <f t="shared" ref="A66:A89" si="37">A65+1</f>
        <v>2</v>
      </c>
      <c r="B66" s="3" t="s">
        <v>869</v>
      </c>
      <c r="C66" s="26" t="s">
        <v>14</v>
      </c>
      <c r="D66" s="26">
        <v>778932119</v>
      </c>
      <c r="E66" s="7"/>
      <c r="F66" s="7"/>
      <c r="G66" s="7"/>
      <c r="H66" s="7"/>
      <c r="I66" s="82"/>
      <c r="J66" s="7"/>
      <c r="K66" s="7"/>
      <c r="L66" s="7"/>
      <c r="M66" s="7"/>
      <c r="N66" s="7"/>
      <c r="O66" s="7"/>
      <c r="P66" s="7"/>
    </row>
    <row r="67" spans="1:16" customFormat="1" ht="18.600000000000001" customHeight="1" x14ac:dyDescent="0.3">
      <c r="A67" s="7">
        <f t="shared" si="37"/>
        <v>3</v>
      </c>
      <c r="B67" s="143" t="s">
        <v>950</v>
      </c>
      <c r="C67" s="143" t="s">
        <v>14</v>
      </c>
      <c r="D67" s="143"/>
      <c r="E67" s="7"/>
      <c r="F67" s="7"/>
      <c r="G67" s="7"/>
      <c r="H67" s="7"/>
      <c r="I67" s="82"/>
      <c r="J67" s="7"/>
      <c r="K67" s="7"/>
      <c r="L67" s="7"/>
      <c r="M67" s="7"/>
      <c r="N67" s="7"/>
      <c r="O67" s="7"/>
      <c r="P67" s="7"/>
    </row>
    <row r="68" spans="1:16" customFormat="1" ht="18.600000000000001" customHeight="1" x14ac:dyDescent="0.3">
      <c r="A68" s="7">
        <f t="shared" si="37"/>
        <v>4</v>
      </c>
      <c r="B68" s="143" t="s">
        <v>952</v>
      </c>
      <c r="C68" s="143" t="s">
        <v>949</v>
      </c>
      <c r="D68" s="143"/>
      <c r="E68" s="7"/>
      <c r="F68" s="7"/>
      <c r="G68" s="7"/>
      <c r="H68" s="7"/>
      <c r="I68" s="82"/>
      <c r="J68" s="7"/>
      <c r="K68" s="7"/>
      <c r="L68" s="7"/>
      <c r="M68" s="7"/>
      <c r="N68" s="7"/>
      <c r="O68" s="7"/>
      <c r="P68" s="7"/>
    </row>
    <row r="69" spans="1:16" customFormat="1" ht="18.600000000000001" customHeight="1" x14ac:dyDescent="0.3">
      <c r="A69" s="6">
        <f t="shared" si="37"/>
        <v>5</v>
      </c>
      <c r="B69" s="143" t="s">
        <v>806</v>
      </c>
      <c r="C69" s="143" t="s">
        <v>71</v>
      </c>
      <c r="D69" s="39">
        <v>868063631</v>
      </c>
      <c r="E69" s="16"/>
      <c r="F69" s="16"/>
      <c r="G69" s="16"/>
      <c r="H69" s="16"/>
      <c r="I69" s="83"/>
      <c r="J69" s="16"/>
      <c r="K69" s="16"/>
      <c r="L69" s="16"/>
      <c r="M69" s="16"/>
      <c r="N69" s="16"/>
      <c r="O69" s="16"/>
      <c r="P69" s="16"/>
    </row>
    <row r="70" spans="1:16" customFormat="1" ht="18.600000000000001" customHeight="1" x14ac:dyDescent="0.3">
      <c r="A70" s="56">
        <f t="shared" si="37"/>
        <v>6</v>
      </c>
      <c r="B70" s="39" t="s">
        <v>989</v>
      </c>
      <c r="C70" s="24" t="s">
        <v>49</v>
      </c>
      <c r="D70" s="163"/>
      <c r="E70" s="2"/>
      <c r="F70" s="2"/>
      <c r="G70" s="2"/>
      <c r="H70" s="2"/>
      <c r="I70" s="84"/>
      <c r="J70" s="2"/>
      <c r="K70" s="2"/>
      <c r="L70" s="2"/>
      <c r="M70" s="2"/>
      <c r="N70" s="2"/>
      <c r="O70" s="2"/>
      <c r="P70" s="2"/>
    </row>
    <row r="71" spans="1:16" customFormat="1" ht="18.600000000000001" customHeight="1" x14ac:dyDescent="0.3">
      <c r="A71" s="6">
        <f t="shared" si="37"/>
        <v>7</v>
      </c>
      <c r="B71" s="143" t="s">
        <v>813</v>
      </c>
      <c r="C71" s="143" t="s">
        <v>814</v>
      </c>
      <c r="D71" s="143">
        <v>962457413</v>
      </c>
      <c r="E71" s="4"/>
      <c r="F71" s="4"/>
      <c r="G71" s="4"/>
      <c r="H71" s="4"/>
      <c r="I71" s="85"/>
      <c r="J71" s="4"/>
      <c r="K71" s="4"/>
      <c r="L71" s="4"/>
      <c r="M71" s="4"/>
      <c r="N71" s="4"/>
      <c r="O71" s="4"/>
      <c r="P71" s="4"/>
    </row>
    <row r="72" spans="1:16" customFormat="1" ht="18.600000000000001" customHeight="1" x14ac:dyDescent="0.3">
      <c r="A72" s="6">
        <f t="shared" si="37"/>
        <v>8</v>
      </c>
      <c r="B72" s="143" t="s">
        <v>962</v>
      </c>
      <c r="C72" s="143" t="s">
        <v>948</v>
      </c>
      <c r="D72" s="143"/>
      <c r="E72" s="4"/>
      <c r="F72" s="4"/>
      <c r="G72" s="4"/>
      <c r="H72" s="4"/>
      <c r="I72" s="85"/>
      <c r="J72" s="4"/>
      <c r="K72" s="4"/>
      <c r="L72" s="4"/>
      <c r="M72" s="4"/>
      <c r="N72" s="4"/>
      <c r="O72" s="4"/>
      <c r="P72" s="4"/>
    </row>
    <row r="73" spans="1:16" customFormat="1" ht="18.600000000000001" customHeight="1" x14ac:dyDescent="0.3">
      <c r="A73" s="6">
        <f t="shared" si="37"/>
        <v>9</v>
      </c>
      <c r="B73" s="39" t="s">
        <v>986</v>
      </c>
      <c r="C73" s="24" t="s">
        <v>601</v>
      </c>
      <c r="D73" s="163"/>
      <c r="E73" s="4"/>
      <c r="F73" s="4"/>
      <c r="G73" s="4"/>
      <c r="H73" s="4"/>
      <c r="I73" s="85"/>
      <c r="J73" s="4"/>
      <c r="K73" s="4"/>
      <c r="L73" s="4"/>
      <c r="M73" s="4"/>
      <c r="N73" s="4"/>
      <c r="O73" s="4"/>
      <c r="P73" s="4"/>
    </row>
    <row r="74" spans="1:16" customFormat="1" ht="18.600000000000001" customHeight="1" x14ac:dyDescent="0.3">
      <c r="A74" s="10">
        <f t="shared" si="37"/>
        <v>10</v>
      </c>
      <c r="B74" s="143" t="s">
        <v>510</v>
      </c>
      <c r="C74" s="143" t="s">
        <v>13</v>
      </c>
      <c r="D74" s="143">
        <v>328202289</v>
      </c>
      <c r="E74" s="12"/>
      <c r="F74" s="12"/>
      <c r="G74" s="12"/>
      <c r="H74" s="12"/>
      <c r="I74" s="86"/>
      <c r="J74" s="12"/>
      <c r="K74" s="12"/>
      <c r="L74" s="12"/>
      <c r="M74" s="12"/>
      <c r="N74" s="12"/>
      <c r="O74" s="12"/>
      <c r="P74" s="12"/>
    </row>
    <row r="75" spans="1:16" customFormat="1" ht="18.600000000000001" customHeight="1" x14ac:dyDescent="0.3">
      <c r="A75" s="35">
        <f t="shared" si="37"/>
        <v>11</v>
      </c>
      <c r="B75" s="143" t="s">
        <v>739</v>
      </c>
      <c r="C75" s="143" t="s">
        <v>19</v>
      </c>
      <c r="D75" s="143">
        <v>369298992</v>
      </c>
      <c r="E75" s="14"/>
      <c r="F75" s="14"/>
      <c r="G75" s="14"/>
      <c r="H75" s="14"/>
      <c r="I75" s="87"/>
      <c r="J75" s="14"/>
      <c r="K75" s="14"/>
      <c r="L75" s="14"/>
      <c r="M75" s="14"/>
      <c r="N75" s="14"/>
      <c r="O75" s="14"/>
      <c r="P75" s="14"/>
    </row>
    <row r="76" spans="1:16" customFormat="1" ht="18.600000000000001" customHeight="1" x14ac:dyDescent="0.3">
      <c r="A76" s="7">
        <f t="shared" si="37"/>
        <v>12</v>
      </c>
      <c r="B76" s="143" t="s">
        <v>795</v>
      </c>
      <c r="C76" s="143" t="s">
        <v>62</v>
      </c>
      <c r="D76" s="143">
        <v>978323737</v>
      </c>
      <c r="E76" s="4"/>
      <c r="F76" s="4"/>
      <c r="G76" s="4"/>
      <c r="H76" s="4"/>
      <c r="I76" s="85"/>
      <c r="J76" s="4"/>
      <c r="K76" s="4"/>
      <c r="L76" s="4"/>
      <c r="M76" s="4"/>
      <c r="N76" s="4"/>
      <c r="O76" s="4"/>
      <c r="P76" s="4"/>
    </row>
    <row r="77" spans="1:16" customFormat="1" ht="18.600000000000001" customHeight="1" x14ac:dyDescent="0.3">
      <c r="A77" s="7">
        <f t="shared" si="37"/>
        <v>13</v>
      </c>
      <c r="B77" s="143" t="s">
        <v>787</v>
      </c>
      <c r="C77" s="143" t="s">
        <v>788</v>
      </c>
      <c r="D77" s="143"/>
      <c r="E77" s="4"/>
      <c r="F77" s="4"/>
      <c r="G77" s="4"/>
      <c r="H77" s="4"/>
      <c r="I77" s="85"/>
      <c r="J77" s="4"/>
      <c r="K77" s="4"/>
      <c r="L77" s="4"/>
      <c r="M77" s="4"/>
      <c r="N77" s="4"/>
      <c r="O77" s="4"/>
      <c r="P77" s="4"/>
    </row>
    <row r="78" spans="1:16" customFormat="1" ht="18.600000000000001" customHeight="1" x14ac:dyDescent="0.2">
      <c r="A78" s="7">
        <f t="shared" si="37"/>
        <v>14</v>
      </c>
      <c r="B78" s="24" t="s">
        <v>457</v>
      </c>
      <c r="C78" s="24" t="s">
        <v>43</v>
      </c>
      <c r="D78" s="163"/>
      <c r="E78" s="4"/>
      <c r="F78" s="4"/>
      <c r="G78" s="4"/>
      <c r="H78" s="4"/>
      <c r="I78" s="85"/>
      <c r="J78" s="4"/>
      <c r="K78" s="4"/>
      <c r="L78" s="4"/>
      <c r="M78" s="4"/>
      <c r="N78" s="4"/>
      <c r="O78" s="4"/>
      <c r="P78" s="4"/>
    </row>
    <row r="79" spans="1:16" customFormat="1" ht="18.600000000000001" customHeight="1" x14ac:dyDescent="0.2">
      <c r="A79" s="6">
        <f t="shared" si="37"/>
        <v>15</v>
      </c>
      <c r="B79" s="26" t="s">
        <v>198</v>
      </c>
      <c r="C79" s="26" t="s">
        <v>35</v>
      </c>
      <c r="D79" s="163"/>
      <c r="E79" s="16"/>
      <c r="F79" s="16"/>
      <c r="G79" s="16"/>
      <c r="H79" s="16"/>
      <c r="I79" s="83"/>
      <c r="J79" s="16"/>
      <c r="K79" s="16"/>
      <c r="L79" s="16"/>
      <c r="M79" s="16"/>
      <c r="N79" s="16"/>
      <c r="O79" s="16"/>
      <c r="P79" s="16"/>
    </row>
    <row r="80" spans="1:16" customFormat="1" ht="18.600000000000001" customHeight="1" x14ac:dyDescent="0.3">
      <c r="A80" s="32">
        <f t="shared" si="37"/>
        <v>16</v>
      </c>
      <c r="B80" s="39" t="s">
        <v>730</v>
      </c>
      <c r="C80" s="24" t="s">
        <v>91</v>
      </c>
      <c r="D80" s="163" t="s">
        <v>995</v>
      </c>
      <c r="E80" s="2"/>
      <c r="F80" s="2"/>
      <c r="G80" s="2"/>
      <c r="H80" s="2"/>
      <c r="I80" s="84"/>
      <c r="J80" s="2"/>
      <c r="K80" s="2"/>
      <c r="L80" s="2"/>
      <c r="M80" s="2"/>
      <c r="N80" s="2"/>
      <c r="O80" s="2"/>
      <c r="P80" s="2"/>
    </row>
    <row r="81" spans="1:16" customFormat="1" ht="18.600000000000001" customHeight="1" x14ac:dyDescent="0.3">
      <c r="A81" s="7">
        <f t="shared" si="37"/>
        <v>17</v>
      </c>
      <c r="B81" s="143" t="s">
        <v>571</v>
      </c>
      <c r="C81" s="143" t="s">
        <v>28</v>
      </c>
      <c r="D81" s="143"/>
      <c r="E81" s="4"/>
      <c r="F81" s="4"/>
      <c r="G81" s="4"/>
      <c r="H81" s="4"/>
      <c r="I81" s="85"/>
      <c r="J81" s="4"/>
      <c r="K81" s="4"/>
      <c r="L81" s="4"/>
      <c r="M81" s="4"/>
      <c r="N81" s="4"/>
      <c r="O81" s="4"/>
      <c r="P81" s="4"/>
    </row>
    <row r="82" spans="1:16" customFormat="1" ht="18.600000000000001" customHeight="1" x14ac:dyDescent="0.2">
      <c r="A82" s="7">
        <f t="shared" si="37"/>
        <v>18</v>
      </c>
      <c r="B82" s="24" t="s">
        <v>981</v>
      </c>
      <c r="C82" s="24" t="s">
        <v>982</v>
      </c>
      <c r="D82" s="163"/>
      <c r="E82" s="4"/>
      <c r="F82" s="4"/>
      <c r="G82" s="4"/>
      <c r="H82" s="4"/>
      <c r="I82" s="85"/>
      <c r="J82" s="4"/>
      <c r="K82" s="4"/>
      <c r="L82" s="4"/>
      <c r="M82" s="4"/>
      <c r="N82" s="4"/>
      <c r="O82" s="4"/>
      <c r="P82" s="4"/>
    </row>
    <row r="83" spans="1:16" customFormat="1" ht="18.600000000000001" customHeight="1" x14ac:dyDescent="0.3">
      <c r="A83" s="7">
        <f t="shared" si="37"/>
        <v>19</v>
      </c>
      <c r="B83" s="143" t="s">
        <v>191</v>
      </c>
      <c r="C83" s="143" t="s">
        <v>74</v>
      </c>
      <c r="D83" s="143"/>
      <c r="E83" s="4"/>
      <c r="F83" s="4"/>
      <c r="G83" s="4"/>
      <c r="H83" s="4"/>
      <c r="I83" s="85"/>
      <c r="J83" s="4"/>
      <c r="K83" s="4"/>
      <c r="L83" s="4"/>
      <c r="M83" s="4"/>
      <c r="N83" s="4"/>
      <c r="O83" s="4"/>
      <c r="P83" s="4"/>
    </row>
    <row r="84" spans="1:16" customFormat="1" ht="18.600000000000001" customHeight="1" x14ac:dyDescent="0.2">
      <c r="A84" s="10">
        <f t="shared" si="37"/>
        <v>20</v>
      </c>
      <c r="B84" s="26" t="s">
        <v>890</v>
      </c>
      <c r="C84" s="26" t="s">
        <v>20</v>
      </c>
      <c r="D84" s="24"/>
      <c r="E84" s="12"/>
      <c r="F84" s="12"/>
      <c r="G84" s="12"/>
      <c r="H84" s="12"/>
      <c r="I84" s="86"/>
      <c r="J84" s="12"/>
      <c r="K84" s="12"/>
      <c r="L84" s="12"/>
      <c r="M84" s="12"/>
      <c r="N84" s="12"/>
      <c r="O84" s="12"/>
      <c r="P84" s="12"/>
    </row>
    <row r="85" spans="1:16" customFormat="1" ht="18.600000000000001" customHeight="1" x14ac:dyDescent="0.2">
      <c r="A85" s="35">
        <f t="shared" si="37"/>
        <v>21</v>
      </c>
      <c r="B85" s="13"/>
      <c r="C85" s="14"/>
      <c r="D85" s="37"/>
      <c r="E85" s="14"/>
      <c r="F85" s="14"/>
      <c r="G85" s="14"/>
      <c r="H85" s="14"/>
      <c r="I85" s="87"/>
      <c r="J85" s="14"/>
      <c r="K85" s="14"/>
      <c r="L85" s="14"/>
      <c r="M85" s="14"/>
      <c r="N85" s="14"/>
      <c r="O85" s="14"/>
      <c r="P85" s="14"/>
    </row>
    <row r="86" spans="1:16" customFormat="1" ht="18.600000000000001" customHeight="1" x14ac:dyDescent="0.2">
      <c r="A86" s="7">
        <f t="shared" si="37"/>
        <v>22</v>
      </c>
      <c r="B86" s="3"/>
      <c r="C86" s="4"/>
      <c r="D86" s="8"/>
      <c r="E86" s="4"/>
      <c r="F86" s="4"/>
      <c r="G86" s="4"/>
      <c r="H86" s="4"/>
      <c r="I86" s="85"/>
      <c r="J86" s="4"/>
      <c r="K86" s="4"/>
      <c r="L86" s="4"/>
      <c r="M86" s="4"/>
      <c r="N86" s="4"/>
      <c r="O86" s="4"/>
      <c r="P86" s="4"/>
    </row>
    <row r="87" spans="1:16" customFormat="1" ht="18.600000000000001" customHeight="1" x14ac:dyDescent="0.2">
      <c r="A87" s="35">
        <f t="shared" si="37"/>
        <v>23</v>
      </c>
      <c r="B87" s="3"/>
      <c r="C87" s="4"/>
      <c r="D87" s="8"/>
      <c r="E87" s="4"/>
      <c r="F87" s="4"/>
      <c r="G87" s="4"/>
      <c r="H87" s="4"/>
      <c r="I87" s="85"/>
      <c r="J87" s="4"/>
      <c r="K87" s="4"/>
      <c r="L87" s="4"/>
      <c r="M87" s="4"/>
      <c r="N87" s="4"/>
      <c r="O87" s="4"/>
      <c r="P87" s="4"/>
    </row>
    <row r="88" spans="1:16" customFormat="1" ht="18.600000000000001" customHeight="1" x14ac:dyDescent="0.2">
      <c r="A88" s="7">
        <f t="shared" si="37"/>
        <v>24</v>
      </c>
      <c r="B88" s="3"/>
      <c r="C88" s="4"/>
      <c r="D88" s="8"/>
      <c r="E88" s="4"/>
      <c r="F88" s="4"/>
      <c r="G88" s="4"/>
      <c r="H88" s="4"/>
      <c r="I88" s="85"/>
      <c r="J88" s="4"/>
      <c r="K88" s="4"/>
      <c r="L88" s="4"/>
      <c r="M88" s="4"/>
      <c r="N88" s="4"/>
      <c r="O88" s="4"/>
      <c r="P88" s="4"/>
    </row>
    <row r="89" spans="1:16" customFormat="1" ht="18.600000000000001" customHeight="1" x14ac:dyDescent="0.2">
      <c r="A89" s="35">
        <f t="shared" si="37"/>
        <v>25</v>
      </c>
      <c r="B89" s="11"/>
      <c r="C89" s="12"/>
      <c r="D89" s="9"/>
      <c r="E89" s="12"/>
      <c r="F89" s="12"/>
      <c r="G89" s="12"/>
      <c r="H89" s="12"/>
      <c r="I89" s="86"/>
      <c r="J89" s="12"/>
      <c r="K89" s="12"/>
      <c r="L89" s="12"/>
      <c r="M89" s="12"/>
      <c r="N89" s="12"/>
      <c r="O89" s="12"/>
      <c r="P89" s="12"/>
    </row>
    <row r="90" spans="1:16" customFormat="1" ht="18.600000000000001" customHeight="1" x14ac:dyDescent="0.3">
      <c r="A90" s="147"/>
      <c r="B90" s="148"/>
      <c r="C90" s="147"/>
      <c r="D90" s="149"/>
      <c r="E90" s="150">
        <f>SUBTOTAL(9,E65:E89)</f>
        <v>0</v>
      </c>
      <c r="F90" s="152"/>
      <c r="G90" s="150">
        <f t="shared" ref="G90" si="38">SUBTOTAL(9,G65:G89)</f>
        <v>0</v>
      </c>
      <c r="H90" s="152"/>
      <c r="I90" s="150">
        <f t="shared" ref="I90" si="39">SUBTOTAL(9,I65:I89)</f>
        <v>0</v>
      </c>
      <c r="J90" s="152"/>
      <c r="K90" s="152"/>
      <c r="L90" s="152"/>
      <c r="M90" s="150">
        <f t="shared" ref="M90" si="40">SUBTOTAL(9,M65:M89)</f>
        <v>0</v>
      </c>
      <c r="N90" s="152"/>
      <c r="O90" s="150">
        <f t="shared" ref="O90" si="41">SUBTOTAL(9,O65:O89)</f>
        <v>0</v>
      </c>
      <c r="P90" s="152"/>
    </row>
    <row r="91" spans="1:16" customFormat="1" ht="18.600000000000001" customHeight="1" x14ac:dyDescent="0.2">
      <c r="A91" s="434" t="str">
        <f>A61</f>
        <v>DANH SÁCH LỚP TOÁN</v>
      </c>
      <c r="B91" s="434"/>
      <c r="C91" s="434"/>
      <c r="D91" s="434"/>
      <c r="E91" s="434"/>
      <c r="F91" s="434"/>
      <c r="G91" s="434"/>
      <c r="H91" s="434"/>
      <c r="I91" s="92" t="s">
        <v>1045</v>
      </c>
      <c r="J91" s="48"/>
      <c r="K91" s="48"/>
      <c r="L91" s="48"/>
      <c r="M91" s="41"/>
      <c r="N91" s="41"/>
      <c r="O91" s="41"/>
      <c r="P91" s="41"/>
    </row>
    <row r="92" spans="1:16" customFormat="1" ht="18.600000000000001" customHeight="1" x14ac:dyDescent="0.2">
      <c r="A92" s="28"/>
      <c r="B92" s="29"/>
      <c r="C92" s="30"/>
      <c r="D92" s="36"/>
      <c r="E92" s="28"/>
      <c r="F92" s="28"/>
      <c r="G92" s="28"/>
      <c r="H92" s="28"/>
      <c r="I92" s="79"/>
      <c r="J92" s="28"/>
      <c r="K92" s="28"/>
      <c r="L92" s="28"/>
      <c r="M92" s="28"/>
      <c r="N92" s="28"/>
      <c r="O92" s="28"/>
      <c r="P92" s="28"/>
    </row>
    <row r="93" spans="1:16" customFormat="1" ht="18.600000000000001" customHeight="1" x14ac:dyDescent="0.2">
      <c r="A93" s="435" t="s">
        <v>374</v>
      </c>
      <c r="B93" s="435" t="s">
        <v>380</v>
      </c>
      <c r="C93" s="435" t="s">
        <v>383</v>
      </c>
      <c r="D93" s="437" t="s">
        <v>384</v>
      </c>
      <c r="E93" s="438" t="s">
        <v>385</v>
      </c>
      <c r="F93" s="439"/>
      <c r="G93" s="432" t="str">
        <f>$R$1</f>
        <v>Đợt 6</v>
      </c>
      <c r="H93" s="433"/>
      <c r="I93" s="432" t="str">
        <f>$T$1</f>
        <v>Đợt 7</v>
      </c>
      <c r="J93" s="433"/>
      <c r="K93" s="432" t="str">
        <f>$V$1</f>
        <v>Đợt 8</v>
      </c>
      <c r="L93" s="433"/>
      <c r="M93" s="432" t="str">
        <f>$X$1</f>
        <v>Đợt 9</v>
      </c>
      <c r="N93" s="433"/>
      <c r="O93" s="432" t="str">
        <f>$Z$1</f>
        <v>Đợt 10</v>
      </c>
      <c r="P93" s="433"/>
    </row>
    <row r="94" spans="1:16" customFormat="1" ht="18.600000000000001" customHeight="1" x14ac:dyDescent="0.2">
      <c r="A94" s="436"/>
      <c r="B94" s="436"/>
      <c r="C94" s="436"/>
      <c r="D94" s="436"/>
      <c r="E94" s="31" t="s">
        <v>381</v>
      </c>
      <c r="F94" s="31" t="s">
        <v>382</v>
      </c>
      <c r="G94" s="31" t="s">
        <v>381</v>
      </c>
      <c r="H94" s="31" t="s">
        <v>382</v>
      </c>
      <c r="I94" s="80" t="s">
        <v>381</v>
      </c>
      <c r="J94" s="31" t="s">
        <v>382</v>
      </c>
      <c r="K94" s="80" t="s">
        <v>381</v>
      </c>
      <c r="L94" s="31" t="s">
        <v>382</v>
      </c>
      <c r="M94" s="31" t="s">
        <v>381</v>
      </c>
      <c r="N94" s="31" t="s">
        <v>382</v>
      </c>
      <c r="O94" s="31" t="s">
        <v>381</v>
      </c>
      <c r="P94" s="31" t="s">
        <v>382</v>
      </c>
    </row>
    <row r="95" spans="1:16" customFormat="1" ht="18.600000000000001" customHeight="1" x14ac:dyDescent="0.3">
      <c r="A95" s="32">
        <v>1</v>
      </c>
      <c r="B95" s="39" t="s">
        <v>477</v>
      </c>
      <c r="C95" s="24" t="s">
        <v>14</v>
      </c>
      <c r="D95" s="163"/>
      <c r="E95" s="32"/>
      <c r="F95" s="34"/>
      <c r="G95" s="32"/>
      <c r="H95" s="93"/>
      <c r="I95" s="81"/>
      <c r="J95" s="34"/>
      <c r="K95" s="34"/>
      <c r="L95" s="34"/>
      <c r="M95" s="32"/>
      <c r="N95" s="34"/>
      <c r="O95" s="32"/>
      <c r="P95" s="34"/>
    </row>
    <row r="96" spans="1:16" customFormat="1" ht="18.600000000000001" customHeight="1" x14ac:dyDescent="0.3">
      <c r="A96" s="7">
        <f t="shared" ref="A96:A119" si="42">A95+1</f>
        <v>2</v>
      </c>
      <c r="B96" s="143" t="s">
        <v>816</v>
      </c>
      <c r="C96" s="143" t="s">
        <v>12</v>
      </c>
      <c r="D96" s="143">
        <v>912128972</v>
      </c>
      <c r="E96" s="7"/>
      <c r="F96" s="7"/>
      <c r="G96" s="7"/>
      <c r="H96" s="7"/>
      <c r="I96" s="82"/>
      <c r="J96" s="7"/>
      <c r="K96" s="7"/>
      <c r="L96" s="7"/>
      <c r="M96" s="7"/>
      <c r="N96" s="7"/>
      <c r="O96" s="7"/>
      <c r="P96" s="7"/>
    </row>
    <row r="97" spans="1:16" customFormat="1" ht="18.600000000000001" customHeight="1" x14ac:dyDescent="0.2">
      <c r="A97" s="7">
        <f t="shared" si="42"/>
        <v>3</v>
      </c>
      <c r="B97" s="26" t="s">
        <v>731</v>
      </c>
      <c r="C97" s="26" t="s">
        <v>18</v>
      </c>
      <c r="D97" s="26"/>
      <c r="E97" s="7"/>
      <c r="F97" s="7"/>
      <c r="G97" s="7"/>
      <c r="H97" s="7"/>
      <c r="I97" s="82"/>
      <c r="J97" s="7"/>
      <c r="K97" s="7"/>
      <c r="L97" s="7"/>
      <c r="M97" s="7"/>
      <c r="N97" s="7"/>
      <c r="O97" s="7"/>
      <c r="P97" s="7"/>
    </row>
    <row r="98" spans="1:16" customFormat="1" ht="18.600000000000001" customHeight="1" x14ac:dyDescent="0.2">
      <c r="A98" s="7">
        <f t="shared" si="42"/>
        <v>4</v>
      </c>
      <c r="B98" s="26" t="s">
        <v>727</v>
      </c>
      <c r="C98" s="26" t="s">
        <v>19</v>
      </c>
      <c r="D98" s="26"/>
      <c r="E98" s="7"/>
      <c r="F98" s="7"/>
      <c r="G98" s="7"/>
      <c r="H98" s="7"/>
      <c r="I98" s="82"/>
      <c r="J98" s="7"/>
      <c r="K98" s="7"/>
      <c r="L98" s="7"/>
      <c r="M98" s="7"/>
      <c r="N98" s="7"/>
      <c r="O98" s="7"/>
      <c r="P98" s="7"/>
    </row>
    <row r="99" spans="1:16" customFormat="1" ht="18.600000000000001" customHeight="1" x14ac:dyDescent="0.3">
      <c r="A99" s="6">
        <f t="shared" si="42"/>
        <v>5</v>
      </c>
      <c r="B99" s="143" t="s">
        <v>819</v>
      </c>
      <c r="C99" s="143" t="s">
        <v>35</v>
      </c>
      <c r="D99" s="143">
        <v>344818159</v>
      </c>
      <c r="E99" s="16"/>
      <c r="F99" s="16"/>
      <c r="G99" s="16"/>
      <c r="H99" s="16"/>
      <c r="I99" s="83"/>
      <c r="J99" s="16"/>
      <c r="K99" s="16"/>
      <c r="L99" s="16"/>
      <c r="M99" s="16"/>
      <c r="N99" s="16"/>
      <c r="O99" s="16"/>
      <c r="P99" s="16"/>
    </row>
    <row r="100" spans="1:16" customFormat="1" ht="18.600000000000001" customHeight="1" x14ac:dyDescent="0.3">
      <c r="A100" s="56">
        <f t="shared" si="42"/>
        <v>6</v>
      </c>
      <c r="B100" s="39" t="s">
        <v>988</v>
      </c>
      <c r="C100" s="24" t="s">
        <v>91</v>
      </c>
      <c r="D100" s="163"/>
      <c r="E100" s="2"/>
      <c r="F100" s="2"/>
      <c r="G100" s="2"/>
      <c r="H100" s="2"/>
      <c r="I100" s="84"/>
      <c r="J100" s="2"/>
      <c r="K100" s="2"/>
      <c r="L100" s="2"/>
      <c r="M100" s="2"/>
      <c r="N100" s="2"/>
      <c r="O100" s="2"/>
      <c r="P100" s="2"/>
    </row>
    <row r="101" spans="1:16" customFormat="1" ht="18.600000000000001" customHeight="1" x14ac:dyDescent="0.2">
      <c r="A101" s="6">
        <f t="shared" si="42"/>
        <v>7</v>
      </c>
      <c r="B101" s="24" t="s">
        <v>726</v>
      </c>
      <c r="C101" s="24" t="s">
        <v>98</v>
      </c>
      <c r="D101" s="24"/>
      <c r="E101" s="4"/>
      <c r="F101" s="4"/>
      <c r="G101" s="4"/>
      <c r="H101" s="4"/>
      <c r="I101" s="85"/>
      <c r="J101" s="4"/>
      <c r="K101" s="4"/>
      <c r="L101" s="4"/>
      <c r="M101" s="4"/>
      <c r="N101" s="4"/>
      <c r="O101" s="4"/>
      <c r="P101" s="4"/>
    </row>
    <row r="102" spans="1:16" customFormat="1" ht="18.600000000000001" customHeight="1" x14ac:dyDescent="0.3">
      <c r="A102" s="6">
        <f t="shared" si="42"/>
        <v>8</v>
      </c>
      <c r="B102" s="143" t="s">
        <v>779</v>
      </c>
      <c r="C102" s="143" t="s">
        <v>104</v>
      </c>
      <c r="D102" s="143">
        <v>972576593</v>
      </c>
      <c r="E102" s="4"/>
      <c r="F102" s="4"/>
      <c r="G102" s="4"/>
      <c r="H102" s="4"/>
      <c r="I102" s="85"/>
      <c r="J102" s="4"/>
      <c r="K102" s="4"/>
      <c r="L102" s="4"/>
      <c r="M102" s="4"/>
      <c r="N102" s="4"/>
      <c r="O102" s="4"/>
      <c r="P102" s="4"/>
    </row>
    <row r="103" spans="1:16" customFormat="1" ht="18.600000000000001" customHeight="1" x14ac:dyDescent="0.2">
      <c r="A103" s="6">
        <f t="shared" si="42"/>
        <v>9</v>
      </c>
      <c r="B103" s="26" t="s">
        <v>734</v>
      </c>
      <c r="C103" s="26" t="s">
        <v>7</v>
      </c>
      <c r="D103" s="26"/>
      <c r="E103" s="4"/>
      <c r="F103" s="4"/>
      <c r="G103" s="4"/>
      <c r="H103" s="4"/>
      <c r="I103" s="85"/>
      <c r="J103" s="4"/>
      <c r="K103" s="4"/>
      <c r="L103" s="4"/>
      <c r="M103" s="4"/>
      <c r="N103" s="4"/>
      <c r="O103" s="4"/>
      <c r="P103" s="4"/>
    </row>
    <row r="104" spans="1:16" customFormat="1" ht="18.600000000000001" customHeight="1" x14ac:dyDescent="0.3">
      <c r="A104" s="10">
        <f t="shared" si="42"/>
        <v>10</v>
      </c>
      <c r="B104" s="143" t="s">
        <v>951</v>
      </c>
      <c r="C104" s="143" t="s">
        <v>5</v>
      </c>
      <c r="D104" s="143"/>
      <c r="E104" s="12"/>
      <c r="F104" s="12"/>
      <c r="G104" s="12"/>
      <c r="H104" s="12"/>
      <c r="I104" s="86"/>
      <c r="J104" s="12"/>
      <c r="K104" s="12"/>
      <c r="L104" s="12"/>
      <c r="M104" s="12"/>
      <c r="N104" s="12"/>
      <c r="O104" s="12"/>
      <c r="P104" s="12"/>
    </row>
    <row r="105" spans="1:16" customFormat="1" ht="18.600000000000001" customHeight="1" x14ac:dyDescent="0.2">
      <c r="A105" s="35">
        <f t="shared" si="42"/>
        <v>11</v>
      </c>
      <c r="B105" s="174" t="s">
        <v>950</v>
      </c>
      <c r="C105" s="24" t="s">
        <v>85</v>
      </c>
      <c r="D105" s="163"/>
      <c r="E105" s="14"/>
      <c r="F105" s="14"/>
      <c r="G105" s="14"/>
      <c r="H105" s="14"/>
      <c r="I105" s="87"/>
      <c r="J105" s="14"/>
      <c r="K105" s="14"/>
      <c r="L105" s="14"/>
      <c r="M105" s="14"/>
      <c r="N105" s="14"/>
      <c r="O105" s="14"/>
      <c r="P105" s="14"/>
    </row>
    <row r="106" spans="1:16" customFormat="1" ht="18.600000000000001" customHeight="1" x14ac:dyDescent="0.2">
      <c r="A106" s="7">
        <f t="shared" si="42"/>
        <v>12</v>
      </c>
      <c r="B106" s="24" t="s">
        <v>985</v>
      </c>
      <c r="C106" s="24" t="s">
        <v>58</v>
      </c>
      <c r="D106" s="24"/>
      <c r="E106" s="4"/>
      <c r="F106" s="4"/>
      <c r="G106" s="4"/>
      <c r="H106" s="4"/>
      <c r="I106" s="85"/>
      <c r="J106" s="4"/>
      <c r="K106" s="4"/>
      <c r="L106" s="4"/>
      <c r="M106" s="4"/>
      <c r="N106" s="4"/>
      <c r="O106" s="4"/>
      <c r="P106" s="4"/>
    </row>
    <row r="107" spans="1:16" customFormat="1" ht="18.600000000000001" customHeight="1" x14ac:dyDescent="0.3">
      <c r="A107" s="7">
        <f t="shared" si="42"/>
        <v>13</v>
      </c>
      <c r="B107" s="39" t="s">
        <v>1075</v>
      </c>
      <c r="C107" s="24" t="s">
        <v>1186</v>
      </c>
      <c r="D107" s="163"/>
      <c r="E107" s="4"/>
      <c r="F107" s="4"/>
      <c r="G107" s="4"/>
      <c r="H107" s="4"/>
      <c r="I107" s="85"/>
      <c r="J107" s="4"/>
      <c r="K107" s="4"/>
      <c r="L107" s="4"/>
      <c r="M107" s="4"/>
      <c r="N107" s="4"/>
      <c r="O107" s="4"/>
      <c r="P107" s="4"/>
    </row>
    <row r="108" spans="1:16" customFormat="1" ht="18.600000000000001" customHeight="1" x14ac:dyDescent="0.3">
      <c r="A108" s="7">
        <f t="shared" si="42"/>
        <v>14</v>
      </c>
      <c r="B108" s="143" t="s">
        <v>190</v>
      </c>
      <c r="C108" s="143" t="s">
        <v>96</v>
      </c>
      <c r="D108" s="143"/>
      <c r="E108" s="4"/>
      <c r="F108" s="4"/>
      <c r="G108" s="4"/>
      <c r="H108" s="4"/>
      <c r="I108" s="85"/>
      <c r="J108" s="4"/>
      <c r="K108" s="4"/>
      <c r="L108" s="4"/>
      <c r="M108" s="4"/>
      <c r="N108" s="4"/>
      <c r="O108" s="4"/>
      <c r="P108" s="4"/>
    </row>
    <row r="109" spans="1:16" customFormat="1" ht="18.600000000000001" customHeight="1" x14ac:dyDescent="0.3">
      <c r="A109" s="6">
        <f t="shared" si="42"/>
        <v>15</v>
      </c>
      <c r="B109" s="39" t="s">
        <v>465</v>
      </c>
      <c r="C109" s="24" t="s">
        <v>16</v>
      </c>
      <c r="D109" s="163"/>
      <c r="E109" s="16"/>
      <c r="F109" s="16"/>
      <c r="G109" s="16"/>
      <c r="H109" s="16"/>
      <c r="I109" s="83"/>
      <c r="J109" s="16"/>
      <c r="K109" s="16"/>
      <c r="L109" s="16"/>
      <c r="M109" s="16"/>
      <c r="N109" s="16"/>
      <c r="O109" s="16"/>
      <c r="P109" s="16"/>
    </row>
    <row r="110" spans="1:16" customFormat="1" ht="18.600000000000001" customHeight="1" x14ac:dyDescent="0.3">
      <c r="A110" s="32">
        <f t="shared" si="42"/>
        <v>16</v>
      </c>
      <c r="B110" s="39" t="s">
        <v>159</v>
      </c>
      <c r="C110" s="24" t="s">
        <v>20</v>
      </c>
      <c r="D110" s="163"/>
      <c r="E110" s="2"/>
      <c r="F110" s="2"/>
      <c r="G110" s="2"/>
      <c r="H110" s="2"/>
      <c r="I110" s="84"/>
      <c r="J110" s="2"/>
      <c r="K110" s="2"/>
      <c r="L110" s="2"/>
      <c r="M110" s="2"/>
      <c r="N110" s="2"/>
      <c r="O110" s="2"/>
      <c r="P110" s="2"/>
    </row>
    <row r="111" spans="1:16" customFormat="1" ht="18.600000000000001" customHeight="1" x14ac:dyDescent="0.2">
      <c r="A111" s="7">
        <f t="shared" si="42"/>
        <v>17</v>
      </c>
      <c r="B111" s="3"/>
      <c r="C111" s="4"/>
      <c r="D111" s="8"/>
      <c r="E111" s="4"/>
      <c r="F111" s="4"/>
      <c r="G111" s="4"/>
      <c r="H111" s="4"/>
      <c r="I111" s="85"/>
      <c r="J111" s="4"/>
      <c r="K111" s="4"/>
      <c r="L111" s="4"/>
      <c r="M111" s="4"/>
      <c r="N111" s="4"/>
      <c r="O111" s="4"/>
      <c r="P111" s="4"/>
    </row>
    <row r="112" spans="1:16" customFormat="1" ht="18.600000000000001" customHeight="1" x14ac:dyDescent="0.2">
      <c r="A112" s="7">
        <f t="shared" si="42"/>
        <v>18</v>
      </c>
      <c r="B112" s="3"/>
      <c r="C112" s="4"/>
      <c r="D112" s="8"/>
      <c r="E112" s="4"/>
      <c r="F112" s="4"/>
      <c r="G112" s="4"/>
      <c r="H112" s="4"/>
      <c r="I112" s="85"/>
      <c r="J112" s="4"/>
      <c r="K112" s="4"/>
      <c r="L112" s="4"/>
      <c r="M112" s="4"/>
      <c r="N112" s="4"/>
      <c r="O112" s="4"/>
      <c r="P112" s="4"/>
    </row>
    <row r="113" spans="1:16" customFormat="1" ht="18.600000000000001" customHeight="1" x14ac:dyDescent="0.2">
      <c r="A113" s="7">
        <f t="shared" si="42"/>
        <v>19</v>
      </c>
      <c r="B113" s="3"/>
      <c r="C113" s="4"/>
      <c r="D113" s="8"/>
      <c r="E113" s="4"/>
      <c r="F113" s="4"/>
      <c r="G113" s="4"/>
      <c r="H113" s="4"/>
      <c r="I113" s="85"/>
      <c r="J113" s="4"/>
      <c r="K113" s="4"/>
      <c r="L113" s="4"/>
      <c r="M113" s="4"/>
      <c r="N113" s="4"/>
      <c r="O113" s="4"/>
      <c r="P113" s="4"/>
    </row>
    <row r="114" spans="1:16" customFormat="1" ht="18.600000000000001" customHeight="1" x14ac:dyDescent="0.2">
      <c r="A114" s="10">
        <f t="shared" si="42"/>
        <v>20</v>
      </c>
      <c r="B114" s="11"/>
      <c r="C114" s="12"/>
      <c r="D114" s="9"/>
      <c r="E114" s="12"/>
      <c r="F114" s="12"/>
      <c r="G114" s="12"/>
      <c r="H114" s="12"/>
      <c r="I114" s="86"/>
      <c r="J114" s="12"/>
      <c r="K114" s="12"/>
      <c r="L114" s="12"/>
      <c r="M114" s="12"/>
      <c r="N114" s="12"/>
      <c r="O114" s="12"/>
      <c r="P114" s="12"/>
    </row>
    <row r="115" spans="1:16" customFormat="1" ht="18.600000000000001" customHeight="1" x14ac:dyDescent="0.2">
      <c r="A115" s="35">
        <f t="shared" si="42"/>
        <v>21</v>
      </c>
      <c r="B115" s="13"/>
      <c r="C115" s="14"/>
      <c r="D115" s="37"/>
      <c r="E115" s="14"/>
      <c r="F115" s="14"/>
      <c r="G115" s="14"/>
      <c r="H115" s="14"/>
      <c r="I115" s="87"/>
      <c r="J115" s="14"/>
      <c r="K115" s="14"/>
      <c r="L115" s="14"/>
      <c r="M115" s="14"/>
      <c r="N115" s="14"/>
      <c r="O115" s="14"/>
      <c r="P115" s="14"/>
    </row>
    <row r="116" spans="1:16" customFormat="1" ht="18.600000000000001" customHeight="1" x14ac:dyDescent="0.2">
      <c r="A116" s="7">
        <f t="shared" si="42"/>
        <v>22</v>
      </c>
      <c r="B116" s="3"/>
      <c r="C116" s="4"/>
      <c r="D116" s="8"/>
      <c r="E116" s="4"/>
      <c r="F116" s="4"/>
      <c r="G116" s="4"/>
      <c r="H116" s="4"/>
      <c r="I116" s="85"/>
      <c r="J116" s="4"/>
      <c r="K116" s="4"/>
      <c r="L116" s="4"/>
      <c r="M116" s="4"/>
      <c r="N116" s="4"/>
      <c r="O116" s="4"/>
      <c r="P116" s="4"/>
    </row>
    <row r="117" spans="1:16" customFormat="1" ht="18.600000000000001" customHeight="1" x14ac:dyDescent="0.2">
      <c r="A117" s="35">
        <f t="shared" si="42"/>
        <v>23</v>
      </c>
      <c r="B117" s="3"/>
      <c r="C117" s="4"/>
      <c r="D117" s="8"/>
      <c r="E117" s="4"/>
      <c r="F117" s="4"/>
      <c r="G117" s="4"/>
      <c r="H117" s="4"/>
      <c r="I117" s="85"/>
      <c r="J117" s="4"/>
      <c r="K117" s="4"/>
      <c r="L117" s="4"/>
      <c r="M117" s="4"/>
      <c r="N117" s="4"/>
      <c r="O117" s="4"/>
      <c r="P117" s="4"/>
    </row>
    <row r="118" spans="1:16" customFormat="1" ht="18.600000000000001" customHeight="1" x14ac:dyDescent="0.2">
      <c r="A118" s="7">
        <f t="shared" si="42"/>
        <v>24</v>
      </c>
      <c r="B118" s="3"/>
      <c r="C118" s="4"/>
      <c r="D118" s="8"/>
      <c r="E118" s="4"/>
      <c r="F118" s="4"/>
      <c r="G118" s="4"/>
      <c r="H118" s="4"/>
      <c r="I118" s="85"/>
      <c r="J118" s="4"/>
      <c r="K118" s="4"/>
      <c r="L118" s="4"/>
      <c r="M118" s="4"/>
      <c r="N118" s="4"/>
      <c r="O118" s="4"/>
      <c r="P118" s="4"/>
    </row>
    <row r="119" spans="1:16" customFormat="1" ht="18.600000000000001" customHeight="1" x14ac:dyDescent="0.2">
      <c r="A119" s="35">
        <f t="shared" si="42"/>
        <v>25</v>
      </c>
      <c r="B119" s="11"/>
      <c r="C119" s="12"/>
      <c r="D119" s="9"/>
      <c r="E119" s="12"/>
      <c r="F119" s="12"/>
      <c r="G119" s="12"/>
      <c r="H119" s="12"/>
      <c r="I119" s="86"/>
      <c r="J119" s="12"/>
      <c r="K119" s="12"/>
      <c r="L119" s="12"/>
      <c r="M119" s="12"/>
      <c r="N119" s="12"/>
      <c r="O119" s="12"/>
      <c r="P119" s="12"/>
    </row>
    <row r="120" spans="1:16" customFormat="1" ht="18.600000000000001" customHeight="1" x14ac:dyDescent="0.3">
      <c r="A120" s="147"/>
      <c r="B120" s="148"/>
      <c r="C120" s="147"/>
      <c r="D120" s="149"/>
      <c r="E120" s="150">
        <f>SUBTOTAL(9,E95:E119)</f>
        <v>0</v>
      </c>
      <c r="F120" s="152"/>
      <c r="G120" s="150">
        <f t="shared" ref="G120" si="43">SUBTOTAL(9,G95:G119)</f>
        <v>0</v>
      </c>
      <c r="H120" s="152"/>
      <c r="I120" s="150">
        <f t="shared" ref="I120" si="44">SUBTOTAL(9,I95:I119)</f>
        <v>0</v>
      </c>
      <c r="J120" s="152"/>
      <c r="K120" s="152"/>
      <c r="L120" s="152"/>
      <c r="M120" s="150">
        <f t="shared" ref="M120" si="45">SUBTOTAL(9,M95:M119)</f>
        <v>0</v>
      </c>
      <c r="N120" s="152"/>
      <c r="O120" s="150">
        <f t="shared" ref="O120" si="46">SUBTOTAL(9,O95:O119)</f>
        <v>0</v>
      </c>
      <c r="P120" s="152"/>
    </row>
    <row r="121" spans="1:16" customFormat="1" ht="18.600000000000001" customHeight="1" x14ac:dyDescent="0.2">
      <c r="A121" s="434" t="str">
        <f>A91</f>
        <v>DANH SÁCH LỚP TOÁN</v>
      </c>
      <c r="B121" s="434"/>
      <c r="C121" s="434"/>
      <c r="D121" s="434"/>
      <c r="E121" s="434"/>
      <c r="F121" s="434"/>
      <c r="G121" s="434"/>
      <c r="H121" s="434"/>
      <c r="I121" s="92" t="s">
        <v>1029</v>
      </c>
      <c r="J121" s="48"/>
      <c r="K121" s="48"/>
      <c r="L121" s="48"/>
      <c r="M121" s="41"/>
      <c r="N121" s="41"/>
      <c r="O121" s="41"/>
      <c r="P121" s="41"/>
    </row>
    <row r="122" spans="1:16" customFormat="1" ht="18.600000000000001" customHeight="1" x14ac:dyDescent="0.2">
      <c r="A122" s="28"/>
      <c r="B122" s="29"/>
      <c r="C122" s="30"/>
      <c r="D122" s="36"/>
      <c r="E122" s="28"/>
      <c r="F122" s="28"/>
      <c r="G122" s="28"/>
      <c r="H122" s="28"/>
      <c r="I122" s="79"/>
      <c r="J122" s="28"/>
      <c r="K122" s="28"/>
      <c r="L122" s="28"/>
      <c r="M122" s="28"/>
      <c r="N122" s="28"/>
      <c r="O122" s="28"/>
      <c r="P122" s="28"/>
    </row>
    <row r="123" spans="1:16" customFormat="1" ht="18.600000000000001" customHeight="1" x14ac:dyDescent="0.2">
      <c r="A123" s="435" t="s">
        <v>374</v>
      </c>
      <c r="B123" s="435" t="s">
        <v>380</v>
      </c>
      <c r="C123" s="435" t="s">
        <v>383</v>
      </c>
      <c r="D123" s="437" t="s">
        <v>384</v>
      </c>
      <c r="E123" s="438" t="s">
        <v>385</v>
      </c>
      <c r="F123" s="439"/>
      <c r="G123" s="432" t="str">
        <f>$R$1</f>
        <v>Đợt 6</v>
      </c>
      <c r="H123" s="433"/>
      <c r="I123" s="432" t="str">
        <f>$T$1</f>
        <v>Đợt 7</v>
      </c>
      <c r="J123" s="433"/>
      <c r="K123" s="432" t="str">
        <f>$V$1</f>
        <v>Đợt 8</v>
      </c>
      <c r="L123" s="433"/>
      <c r="M123" s="432" t="str">
        <f>$X$1</f>
        <v>Đợt 9</v>
      </c>
      <c r="N123" s="433"/>
      <c r="O123" s="432" t="str">
        <f>$Z$1</f>
        <v>Đợt 10</v>
      </c>
      <c r="P123" s="433"/>
    </row>
    <row r="124" spans="1:16" customFormat="1" ht="18.600000000000001" customHeight="1" x14ac:dyDescent="0.2">
      <c r="A124" s="436"/>
      <c r="B124" s="436"/>
      <c r="C124" s="436"/>
      <c r="D124" s="436"/>
      <c r="E124" s="31" t="s">
        <v>381</v>
      </c>
      <c r="F124" s="31" t="s">
        <v>382</v>
      </c>
      <c r="G124" s="31" t="s">
        <v>381</v>
      </c>
      <c r="H124" s="31" t="s">
        <v>382</v>
      </c>
      <c r="I124" s="80" t="s">
        <v>381</v>
      </c>
      <c r="J124" s="31" t="s">
        <v>382</v>
      </c>
      <c r="K124" s="80" t="s">
        <v>381</v>
      </c>
      <c r="L124" s="31" t="s">
        <v>382</v>
      </c>
      <c r="M124" s="31" t="s">
        <v>381</v>
      </c>
      <c r="N124" s="31" t="s">
        <v>382</v>
      </c>
      <c r="O124" s="31" t="s">
        <v>381</v>
      </c>
      <c r="P124" s="31" t="s">
        <v>382</v>
      </c>
    </row>
    <row r="125" spans="1:16" customFormat="1" ht="18.600000000000001" customHeight="1" x14ac:dyDescent="0.2">
      <c r="A125" s="32">
        <v>1</v>
      </c>
      <c r="B125" s="25" t="s">
        <v>179</v>
      </c>
      <c r="C125" s="25" t="s">
        <v>39</v>
      </c>
      <c r="D125" s="163"/>
      <c r="E125" s="32"/>
      <c r="F125" s="34"/>
      <c r="G125" s="32"/>
      <c r="H125" s="93"/>
      <c r="I125" s="81"/>
      <c r="J125" s="34"/>
      <c r="K125" s="34"/>
      <c r="L125" s="34"/>
      <c r="M125" s="32"/>
      <c r="N125" s="34"/>
      <c r="O125" s="32"/>
      <c r="P125" s="34"/>
    </row>
    <row r="126" spans="1:16" customFormat="1" ht="18.600000000000001" customHeight="1" x14ac:dyDescent="0.2">
      <c r="A126" s="7">
        <f t="shared" ref="A126:A149" si="47">A125+1</f>
        <v>2</v>
      </c>
      <c r="B126" s="25" t="s">
        <v>512</v>
      </c>
      <c r="C126" s="25" t="s">
        <v>619</v>
      </c>
      <c r="D126" s="163"/>
      <c r="E126" s="7"/>
      <c r="F126" s="7"/>
      <c r="G126" s="7"/>
      <c r="H126" s="7"/>
      <c r="I126" s="82"/>
      <c r="J126" s="7"/>
      <c r="K126" s="7"/>
      <c r="L126" s="7"/>
      <c r="M126" s="7"/>
      <c r="N126" s="7"/>
      <c r="O126" s="7"/>
      <c r="P126" s="7"/>
    </row>
    <row r="127" spans="1:16" customFormat="1" ht="18.600000000000001" customHeight="1" x14ac:dyDescent="0.2">
      <c r="A127" s="7">
        <f t="shared" si="47"/>
        <v>3</v>
      </c>
      <c r="B127" s="25" t="s">
        <v>563</v>
      </c>
      <c r="C127" s="25" t="s">
        <v>562</v>
      </c>
      <c r="D127" s="163"/>
      <c r="E127" s="7"/>
      <c r="F127" s="7"/>
      <c r="G127" s="7"/>
      <c r="H127" s="7"/>
      <c r="I127" s="82"/>
      <c r="J127" s="7"/>
      <c r="K127" s="7"/>
      <c r="L127" s="7"/>
      <c r="M127" s="7"/>
      <c r="N127" s="7"/>
      <c r="O127" s="7"/>
      <c r="P127" s="7"/>
    </row>
    <row r="128" spans="1:16" customFormat="1" ht="18.600000000000001" customHeight="1" x14ac:dyDescent="0.2">
      <c r="A128" s="7">
        <f t="shared" si="47"/>
        <v>4</v>
      </c>
      <c r="B128" s="26" t="s">
        <v>537</v>
      </c>
      <c r="C128" s="26" t="s">
        <v>86</v>
      </c>
      <c r="D128" s="26">
        <v>388861613</v>
      </c>
      <c r="E128" s="7"/>
      <c r="F128" s="7"/>
      <c r="G128" s="7"/>
      <c r="H128" s="7"/>
      <c r="I128" s="82"/>
      <c r="J128" s="7"/>
      <c r="K128" s="7"/>
      <c r="L128" s="7"/>
      <c r="M128" s="7"/>
      <c r="N128" s="7"/>
      <c r="O128" s="7"/>
      <c r="P128" s="7"/>
    </row>
    <row r="129" spans="1:16" customFormat="1" ht="18.600000000000001" customHeight="1" x14ac:dyDescent="0.2">
      <c r="A129" s="6">
        <f t="shared" si="47"/>
        <v>5</v>
      </c>
      <c r="B129" s="25" t="s">
        <v>182</v>
      </c>
      <c r="C129" s="25" t="s">
        <v>41</v>
      </c>
      <c r="D129" s="24"/>
      <c r="E129" s="16"/>
      <c r="F129" s="16"/>
      <c r="G129" s="16"/>
      <c r="H129" s="16"/>
      <c r="I129" s="83"/>
      <c r="J129" s="16"/>
      <c r="K129" s="16"/>
      <c r="L129" s="16"/>
      <c r="M129" s="16"/>
      <c r="N129" s="16"/>
      <c r="O129" s="16"/>
      <c r="P129" s="16"/>
    </row>
    <row r="130" spans="1:16" customFormat="1" ht="18.600000000000001" customHeight="1" x14ac:dyDescent="0.2">
      <c r="A130" s="56">
        <f t="shared" si="47"/>
        <v>6</v>
      </c>
      <c r="B130" s="26" t="s">
        <v>538</v>
      </c>
      <c r="C130" s="26" t="s">
        <v>73</v>
      </c>
      <c r="D130" s="26">
        <v>374455700</v>
      </c>
      <c r="E130" s="2"/>
      <c r="F130" s="2"/>
      <c r="G130" s="2"/>
      <c r="H130" s="2"/>
      <c r="I130" s="84"/>
      <c r="J130" s="2"/>
      <c r="K130" s="2"/>
      <c r="L130" s="2"/>
      <c r="M130" s="2"/>
      <c r="N130" s="2"/>
      <c r="O130" s="2"/>
      <c r="P130" s="2"/>
    </row>
    <row r="131" spans="1:16" customFormat="1" ht="18.600000000000001" customHeight="1" x14ac:dyDescent="0.2">
      <c r="A131" s="6">
        <f t="shared" si="47"/>
        <v>7</v>
      </c>
      <c r="B131" s="26" t="s">
        <v>426</v>
      </c>
      <c r="C131" s="26" t="s">
        <v>34</v>
      </c>
      <c r="D131" s="26">
        <v>326272369</v>
      </c>
      <c r="E131" s="4"/>
      <c r="F131" s="4"/>
      <c r="G131" s="4"/>
      <c r="H131" s="4"/>
      <c r="I131" s="85"/>
      <c r="J131" s="4"/>
      <c r="K131" s="4"/>
      <c r="L131" s="4"/>
      <c r="M131" s="4"/>
      <c r="N131" s="4"/>
      <c r="O131" s="4"/>
      <c r="P131" s="4"/>
    </row>
    <row r="132" spans="1:16" customFormat="1" ht="18.600000000000001" customHeight="1" x14ac:dyDescent="0.2">
      <c r="A132" s="6">
        <f t="shared" si="47"/>
        <v>8</v>
      </c>
      <c r="B132" s="26" t="s">
        <v>539</v>
      </c>
      <c r="C132" s="26" t="s">
        <v>26</v>
      </c>
      <c r="D132" s="26">
        <v>845802625</v>
      </c>
      <c r="E132" s="4"/>
      <c r="F132" s="4"/>
      <c r="G132" s="4"/>
      <c r="H132" s="4"/>
      <c r="I132" s="85"/>
      <c r="J132" s="4"/>
      <c r="K132" s="4"/>
      <c r="L132" s="4"/>
      <c r="M132" s="4"/>
      <c r="N132" s="4"/>
      <c r="O132" s="4"/>
      <c r="P132" s="4"/>
    </row>
    <row r="133" spans="1:16" customFormat="1" ht="18.600000000000001" customHeight="1" x14ac:dyDescent="0.2">
      <c r="A133" s="6">
        <f t="shared" si="47"/>
        <v>9</v>
      </c>
      <c r="B133" s="26" t="s">
        <v>451</v>
      </c>
      <c r="C133" s="26" t="s">
        <v>26</v>
      </c>
      <c r="D133" s="26">
        <v>7952822636</v>
      </c>
      <c r="E133" s="4"/>
      <c r="F133" s="4"/>
      <c r="G133" s="4"/>
      <c r="H133" s="4"/>
      <c r="I133" s="85"/>
      <c r="J133" s="4"/>
      <c r="K133" s="4"/>
      <c r="L133" s="4"/>
      <c r="M133" s="4"/>
      <c r="N133" s="4"/>
      <c r="O133" s="4"/>
      <c r="P133" s="4"/>
    </row>
    <row r="134" spans="1:16" customFormat="1" ht="18.600000000000001" customHeight="1" x14ac:dyDescent="0.2">
      <c r="A134" s="10">
        <f t="shared" si="47"/>
        <v>10</v>
      </c>
      <c r="B134" s="26" t="s">
        <v>434</v>
      </c>
      <c r="C134" s="26" t="s">
        <v>26</v>
      </c>
      <c r="D134" s="26">
        <v>974773131</v>
      </c>
      <c r="E134" s="12"/>
      <c r="F134" s="12"/>
      <c r="G134" s="12"/>
      <c r="H134" s="12"/>
      <c r="I134" s="86"/>
      <c r="J134" s="12"/>
      <c r="K134" s="12"/>
      <c r="L134" s="12"/>
      <c r="M134" s="12"/>
      <c r="N134" s="12"/>
      <c r="O134" s="12"/>
      <c r="P134" s="12"/>
    </row>
    <row r="135" spans="1:16" customFormat="1" ht="18.600000000000001" customHeight="1" x14ac:dyDescent="0.2">
      <c r="A135" s="35">
        <f t="shared" si="47"/>
        <v>11</v>
      </c>
      <c r="B135" s="26" t="s">
        <v>447</v>
      </c>
      <c r="C135" s="26" t="s">
        <v>92</v>
      </c>
      <c r="D135" s="26">
        <v>968385969</v>
      </c>
      <c r="E135" s="14"/>
      <c r="F135" s="14"/>
      <c r="G135" s="14"/>
      <c r="H135" s="14"/>
      <c r="I135" s="87"/>
      <c r="J135" s="14"/>
      <c r="K135" s="14"/>
      <c r="L135" s="14"/>
      <c r="M135" s="14"/>
      <c r="N135" s="14"/>
      <c r="O135" s="14"/>
      <c r="P135" s="14"/>
    </row>
    <row r="136" spans="1:16" customFormat="1" ht="18.600000000000001" customHeight="1" x14ac:dyDescent="0.2">
      <c r="A136" s="7">
        <f t="shared" si="47"/>
        <v>12</v>
      </c>
      <c r="B136" s="26" t="s">
        <v>172</v>
      </c>
      <c r="C136" s="26" t="s">
        <v>92</v>
      </c>
      <c r="D136" s="26">
        <v>939960241</v>
      </c>
      <c r="E136" s="4"/>
      <c r="F136" s="4"/>
      <c r="G136" s="4"/>
      <c r="H136" s="4"/>
      <c r="I136" s="85"/>
      <c r="J136" s="4"/>
      <c r="K136" s="4"/>
      <c r="L136" s="4"/>
      <c r="M136" s="4"/>
      <c r="N136" s="4"/>
      <c r="O136" s="4"/>
      <c r="P136" s="4"/>
    </row>
    <row r="137" spans="1:16" customFormat="1" ht="18.600000000000001" customHeight="1" x14ac:dyDescent="0.2">
      <c r="A137" s="7">
        <f t="shared" si="47"/>
        <v>13</v>
      </c>
      <c r="B137" s="26" t="s">
        <v>433</v>
      </c>
      <c r="C137" s="26" t="s">
        <v>98</v>
      </c>
      <c r="D137" s="26">
        <v>362324197</v>
      </c>
      <c r="E137" s="4"/>
      <c r="F137" s="4"/>
      <c r="G137" s="4"/>
      <c r="H137" s="4"/>
      <c r="I137" s="85"/>
      <c r="J137" s="4"/>
      <c r="K137" s="4"/>
      <c r="L137" s="4"/>
      <c r="M137" s="4"/>
      <c r="N137" s="4"/>
      <c r="O137" s="4"/>
      <c r="P137" s="4"/>
    </row>
    <row r="138" spans="1:16" customFormat="1" ht="18.600000000000001" customHeight="1" x14ac:dyDescent="0.2">
      <c r="A138" s="7">
        <f t="shared" si="47"/>
        <v>14</v>
      </c>
      <c r="B138" s="26" t="s">
        <v>431</v>
      </c>
      <c r="C138" s="26" t="s">
        <v>432</v>
      </c>
      <c r="D138" s="26">
        <v>708678032</v>
      </c>
      <c r="E138" s="4"/>
      <c r="F138" s="4"/>
      <c r="G138" s="4"/>
      <c r="H138" s="4"/>
      <c r="I138" s="85"/>
      <c r="J138" s="4"/>
      <c r="K138" s="4"/>
      <c r="L138" s="4"/>
      <c r="M138" s="4"/>
      <c r="N138" s="4"/>
      <c r="O138" s="4"/>
      <c r="P138" s="4"/>
    </row>
    <row r="139" spans="1:16" customFormat="1" ht="18.600000000000001" customHeight="1" x14ac:dyDescent="0.2">
      <c r="A139" s="6">
        <f t="shared" si="47"/>
        <v>15</v>
      </c>
      <c r="B139" s="15"/>
      <c r="C139" s="16"/>
      <c r="D139" s="5"/>
      <c r="E139" s="16"/>
      <c r="F139" s="16"/>
      <c r="G139" s="16"/>
      <c r="H139" s="16"/>
      <c r="I139" s="83"/>
      <c r="J139" s="16"/>
      <c r="K139" s="16"/>
      <c r="L139" s="16"/>
      <c r="M139" s="16"/>
      <c r="N139" s="16"/>
      <c r="O139" s="16"/>
      <c r="P139" s="16"/>
    </row>
    <row r="140" spans="1:16" customFormat="1" ht="18.600000000000001" customHeight="1" x14ac:dyDescent="0.2">
      <c r="A140" s="32">
        <f t="shared" si="47"/>
        <v>16</v>
      </c>
      <c r="B140" s="1"/>
      <c r="C140" s="2"/>
      <c r="D140" s="33"/>
      <c r="E140" s="2"/>
      <c r="F140" s="2"/>
      <c r="G140" s="2"/>
      <c r="H140" s="2"/>
      <c r="I140" s="84"/>
      <c r="J140" s="2"/>
      <c r="K140" s="2"/>
      <c r="L140" s="2"/>
      <c r="M140" s="2"/>
      <c r="N140" s="2"/>
      <c r="O140" s="2"/>
      <c r="P140" s="2"/>
    </row>
    <row r="141" spans="1:16" customFormat="1" ht="18.600000000000001" customHeight="1" x14ac:dyDescent="0.2">
      <c r="A141" s="7">
        <f t="shared" si="47"/>
        <v>17</v>
      </c>
      <c r="B141" s="3"/>
      <c r="C141" s="4"/>
      <c r="D141" s="8"/>
      <c r="E141" s="4"/>
      <c r="F141" s="4"/>
      <c r="G141" s="4"/>
      <c r="H141" s="4"/>
      <c r="I141" s="85"/>
      <c r="J141" s="4"/>
      <c r="K141" s="4"/>
      <c r="L141" s="4"/>
      <c r="M141" s="4"/>
      <c r="N141" s="4"/>
      <c r="O141" s="4"/>
      <c r="P141" s="4"/>
    </row>
    <row r="142" spans="1:16" customFormat="1" ht="18.600000000000001" customHeight="1" x14ac:dyDescent="0.2">
      <c r="A142" s="7">
        <f t="shared" si="47"/>
        <v>18</v>
      </c>
      <c r="B142" s="3"/>
      <c r="C142" s="4"/>
      <c r="D142" s="8"/>
      <c r="E142" s="4"/>
      <c r="F142" s="4"/>
      <c r="G142" s="4"/>
      <c r="H142" s="4"/>
      <c r="I142" s="85"/>
      <c r="J142" s="4"/>
      <c r="K142" s="4"/>
      <c r="L142" s="4"/>
      <c r="M142" s="4"/>
      <c r="N142" s="4"/>
      <c r="O142" s="4"/>
      <c r="P142" s="4"/>
    </row>
    <row r="143" spans="1:16" customFormat="1" ht="18.600000000000001" customHeight="1" x14ac:dyDescent="0.2">
      <c r="A143" s="7">
        <f t="shared" si="47"/>
        <v>19</v>
      </c>
      <c r="B143" s="3"/>
      <c r="C143" s="4"/>
      <c r="D143" s="8"/>
      <c r="E143" s="4"/>
      <c r="F143" s="4"/>
      <c r="G143" s="4"/>
      <c r="H143" s="4"/>
      <c r="I143" s="85"/>
      <c r="J143" s="4"/>
      <c r="K143" s="4"/>
      <c r="L143" s="4"/>
      <c r="M143" s="4"/>
      <c r="N143" s="4"/>
      <c r="O143" s="4"/>
      <c r="P143" s="4"/>
    </row>
    <row r="144" spans="1:16" customFormat="1" ht="18.600000000000001" customHeight="1" x14ac:dyDescent="0.2">
      <c r="A144" s="10">
        <f t="shared" si="47"/>
        <v>20</v>
      </c>
      <c r="B144" s="11"/>
      <c r="C144" s="12"/>
      <c r="D144" s="9"/>
      <c r="E144" s="12"/>
      <c r="F144" s="12"/>
      <c r="G144" s="12"/>
      <c r="H144" s="12"/>
      <c r="I144" s="86"/>
      <c r="J144" s="12"/>
      <c r="K144" s="12"/>
      <c r="L144" s="12"/>
      <c r="M144" s="12"/>
      <c r="N144" s="12"/>
      <c r="O144" s="12"/>
      <c r="P144" s="12"/>
    </row>
    <row r="145" spans="1:16" customFormat="1" ht="18.600000000000001" customHeight="1" x14ac:dyDescent="0.2">
      <c r="A145" s="35">
        <f t="shared" si="47"/>
        <v>21</v>
      </c>
      <c r="B145" s="13"/>
      <c r="C145" s="14"/>
      <c r="D145" s="37"/>
      <c r="E145" s="14"/>
      <c r="F145" s="14"/>
      <c r="G145" s="14"/>
      <c r="H145" s="14"/>
      <c r="I145" s="87"/>
      <c r="J145" s="14"/>
      <c r="K145" s="14"/>
      <c r="L145" s="14"/>
      <c r="M145" s="14"/>
      <c r="N145" s="14"/>
      <c r="O145" s="14"/>
      <c r="P145" s="14"/>
    </row>
    <row r="146" spans="1:16" customFormat="1" ht="18.600000000000001" customHeight="1" x14ac:dyDescent="0.2">
      <c r="A146" s="7">
        <f t="shared" si="47"/>
        <v>22</v>
      </c>
      <c r="B146" s="3"/>
      <c r="C146" s="4"/>
      <c r="D146" s="8"/>
      <c r="E146" s="4"/>
      <c r="F146" s="4"/>
      <c r="G146" s="4"/>
      <c r="H146" s="4"/>
      <c r="I146" s="85"/>
      <c r="J146" s="4"/>
      <c r="K146" s="4"/>
      <c r="L146" s="4"/>
      <c r="M146" s="4"/>
      <c r="N146" s="4"/>
      <c r="O146" s="4"/>
      <c r="P146" s="4"/>
    </row>
    <row r="147" spans="1:16" customFormat="1" ht="18.600000000000001" customHeight="1" x14ac:dyDescent="0.2">
      <c r="A147" s="35">
        <f t="shared" si="47"/>
        <v>23</v>
      </c>
      <c r="B147" s="3"/>
      <c r="C147" s="4"/>
      <c r="D147" s="8"/>
      <c r="E147" s="4"/>
      <c r="F147" s="4"/>
      <c r="G147" s="4"/>
      <c r="H147" s="4"/>
      <c r="I147" s="85"/>
      <c r="J147" s="4"/>
      <c r="K147" s="4"/>
      <c r="L147" s="4"/>
      <c r="M147" s="4"/>
      <c r="N147" s="4"/>
      <c r="O147" s="4"/>
      <c r="P147" s="4"/>
    </row>
    <row r="148" spans="1:16" customFormat="1" ht="18.600000000000001" customHeight="1" x14ac:dyDescent="0.2">
      <c r="A148" s="7">
        <f t="shared" si="47"/>
        <v>24</v>
      </c>
      <c r="B148" s="3"/>
      <c r="C148" s="4"/>
      <c r="D148" s="8"/>
      <c r="E148" s="4"/>
      <c r="F148" s="4"/>
      <c r="G148" s="4"/>
      <c r="H148" s="4"/>
      <c r="I148" s="85"/>
      <c r="J148" s="4"/>
      <c r="K148" s="4"/>
      <c r="L148" s="4"/>
      <c r="M148" s="4"/>
      <c r="N148" s="4"/>
      <c r="O148" s="4"/>
      <c r="P148" s="4"/>
    </row>
    <row r="149" spans="1:16" customFormat="1" ht="18.600000000000001" customHeight="1" x14ac:dyDescent="0.2">
      <c r="A149" s="35">
        <f t="shared" si="47"/>
        <v>25</v>
      </c>
      <c r="B149" s="11"/>
      <c r="C149" s="12"/>
      <c r="D149" s="9"/>
      <c r="E149" s="12"/>
      <c r="F149" s="12"/>
      <c r="G149" s="12"/>
      <c r="H149" s="12"/>
      <c r="I149" s="86"/>
      <c r="J149" s="12"/>
      <c r="K149" s="12"/>
      <c r="L149" s="12"/>
      <c r="M149" s="12"/>
      <c r="N149" s="12"/>
      <c r="O149" s="12"/>
      <c r="P149" s="12"/>
    </row>
    <row r="150" spans="1:16" customFormat="1" ht="18.600000000000001" customHeight="1" x14ac:dyDescent="0.3">
      <c r="A150" s="147"/>
      <c r="B150" s="148"/>
      <c r="C150" s="147"/>
      <c r="D150" s="149"/>
      <c r="E150" s="150">
        <f>SUBTOTAL(9,E125:E149)</f>
        <v>0</v>
      </c>
      <c r="F150" s="152"/>
      <c r="G150" s="150">
        <f t="shared" ref="G150" si="48">SUBTOTAL(9,G125:G149)</f>
        <v>0</v>
      </c>
      <c r="H150" s="152"/>
      <c r="I150" s="150">
        <f t="shared" ref="I150" si="49">SUBTOTAL(9,I125:I149)</f>
        <v>0</v>
      </c>
      <c r="J150" s="152"/>
      <c r="K150" s="152"/>
      <c r="L150" s="152"/>
      <c r="M150" s="150">
        <f t="shared" ref="M150" si="50">SUBTOTAL(9,M125:M149)</f>
        <v>0</v>
      </c>
      <c r="N150" s="152"/>
      <c r="O150" s="150">
        <f t="shared" ref="O150" si="51">SUBTOTAL(9,O125:O149)</f>
        <v>0</v>
      </c>
      <c r="P150" s="152"/>
    </row>
    <row r="151" spans="1:16" customFormat="1" ht="18.600000000000001" customHeight="1" x14ac:dyDescent="0.2">
      <c r="A151" s="434" t="str">
        <f>A121</f>
        <v>DANH SÁCH LỚP TOÁN</v>
      </c>
      <c r="B151" s="434"/>
      <c r="C151" s="434"/>
      <c r="D151" s="434"/>
      <c r="E151" s="434"/>
      <c r="F151" s="434"/>
      <c r="G151" s="434"/>
      <c r="H151" s="434"/>
      <c r="I151" s="92" t="s">
        <v>1030</v>
      </c>
      <c r="J151" s="48"/>
      <c r="K151" s="48"/>
      <c r="L151" s="48"/>
      <c r="M151" s="41"/>
      <c r="N151" s="41"/>
      <c r="O151" s="41"/>
      <c r="P151" s="41"/>
    </row>
    <row r="152" spans="1:16" customFormat="1" ht="18.600000000000001" customHeight="1" x14ac:dyDescent="0.2">
      <c r="A152" s="28"/>
      <c r="B152" s="29"/>
      <c r="C152" s="30"/>
      <c r="D152" s="36"/>
      <c r="E152" s="28"/>
      <c r="F152" s="28"/>
      <c r="G152" s="28"/>
      <c r="H152" s="28"/>
      <c r="I152" s="79"/>
      <c r="J152" s="28"/>
      <c r="K152" s="28"/>
      <c r="L152" s="28"/>
      <c r="M152" s="28"/>
      <c r="N152" s="28"/>
      <c r="O152" s="28"/>
      <c r="P152" s="28"/>
    </row>
    <row r="153" spans="1:16" customFormat="1" ht="18.600000000000001" customHeight="1" x14ac:dyDescent="0.2">
      <c r="A153" s="435" t="s">
        <v>374</v>
      </c>
      <c r="B153" s="435" t="s">
        <v>380</v>
      </c>
      <c r="C153" s="435" t="s">
        <v>383</v>
      </c>
      <c r="D153" s="437" t="s">
        <v>384</v>
      </c>
      <c r="E153" s="438" t="s">
        <v>385</v>
      </c>
      <c r="F153" s="439"/>
      <c r="G153" s="432" t="str">
        <f>$R$1</f>
        <v>Đợt 6</v>
      </c>
      <c r="H153" s="433"/>
      <c r="I153" s="432" t="str">
        <f>$T$1</f>
        <v>Đợt 7</v>
      </c>
      <c r="J153" s="433"/>
      <c r="K153" s="432" t="str">
        <f>$V$1</f>
        <v>Đợt 8</v>
      </c>
      <c r="L153" s="433"/>
      <c r="M153" s="432" t="str">
        <f>$X$1</f>
        <v>Đợt 9</v>
      </c>
      <c r="N153" s="433"/>
      <c r="O153" s="432" t="str">
        <f>$Z$1</f>
        <v>Đợt 10</v>
      </c>
      <c r="P153" s="433"/>
    </row>
    <row r="154" spans="1:16" customFormat="1" ht="18.600000000000001" customHeight="1" x14ac:dyDescent="0.2">
      <c r="A154" s="436"/>
      <c r="B154" s="436"/>
      <c r="C154" s="436"/>
      <c r="D154" s="436"/>
      <c r="E154" s="31" t="s">
        <v>381</v>
      </c>
      <c r="F154" s="31" t="s">
        <v>382</v>
      </c>
      <c r="G154" s="31" t="s">
        <v>381</v>
      </c>
      <c r="H154" s="31" t="s">
        <v>382</v>
      </c>
      <c r="I154" s="80" t="s">
        <v>381</v>
      </c>
      <c r="J154" s="31" t="s">
        <v>382</v>
      </c>
      <c r="K154" s="80" t="s">
        <v>381</v>
      </c>
      <c r="L154" s="31" t="s">
        <v>382</v>
      </c>
      <c r="M154" s="31" t="s">
        <v>381</v>
      </c>
      <c r="N154" s="31" t="s">
        <v>382</v>
      </c>
      <c r="O154" s="31" t="s">
        <v>381</v>
      </c>
      <c r="P154" s="31" t="s">
        <v>382</v>
      </c>
    </row>
    <row r="155" spans="1:16" customFormat="1" ht="18.600000000000001" customHeight="1" x14ac:dyDescent="0.2">
      <c r="A155" s="32">
        <v>1</v>
      </c>
      <c r="B155" s="26" t="s">
        <v>582</v>
      </c>
      <c r="C155" s="26" t="s">
        <v>22</v>
      </c>
      <c r="D155" s="26"/>
      <c r="E155" s="32"/>
      <c r="F155" s="34"/>
      <c r="G155" s="32"/>
      <c r="H155" s="93"/>
      <c r="I155" s="81"/>
      <c r="J155" s="34"/>
      <c r="K155" s="34"/>
      <c r="L155" s="34"/>
      <c r="M155" s="32"/>
      <c r="N155" s="34"/>
      <c r="O155" s="32"/>
      <c r="P155" s="34"/>
    </row>
    <row r="156" spans="1:16" customFormat="1" ht="18.600000000000001" customHeight="1" x14ac:dyDescent="0.2">
      <c r="A156" s="7">
        <f t="shared" ref="A156:A179" si="52">A155+1</f>
        <v>2</v>
      </c>
      <c r="B156" s="3" t="s">
        <v>370</v>
      </c>
      <c r="C156" s="26" t="s">
        <v>12</v>
      </c>
      <c r="D156" s="26"/>
      <c r="E156" s="7"/>
      <c r="F156" s="7"/>
      <c r="G156" s="7"/>
      <c r="H156" s="7"/>
      <c r="I156" s="82"/>
      <c r="J156" s="7"/>
      <c r="K156" s="7"/>
      <c r="L156" s="7"/>
      <c r="M156" s="7"/>
      <c r="N156" s="7"/>
      <c r="O156" s="7"/>
      <c r="P156" s="7"/>
    </row>
    <row r="157" spans="1:16" customFormat="1" ht="18.600000000000001" customHeight="1" x14ac:dyDescent="0.2">
      <c r="A157" s="7">
        <f t="shared" si="52"/>
        <v>3</v>
      </c>
      <c r="B157" s="24" t="s">
        <v>175</v>
      </c>
      <c r="C157" s="24" t="s">
        <v>36</v>
      </c>
      <c r="D157" s="24">
        <v>366494950</v>
      </c>
      <c r="E157" s="7"/>
      <c r="F157" s="7"/>
      <c r="G157" s="7"/>
      <c r="H157" s="7"/>
      <c r="I157" s="82"/>
      <c r="J157" s="7"/>
      <c r="K157" s="7"/>
      <c r="L157" s="7"/>
      <c r="M157" s="7"/>
      <c r="N157" s="7"/>
      <c r="O157" s="7"/>
      <c r="P157" s="7"/>
    </row>
    <row r="158" spans="1:16" customFormat="1" ht="18.600000000000001" customHeight="1" x14ac:dyDescent="0.2">
      <c r="A158" s="7">
        <f t="shared" si="52"/>
        <v>4</v>
      </c>
      <c r="B158" s="3" t="s">
        <v>273</v>
      </c>
      <c r="C158" s="26" t="s">
        <v>59</v>
      </c>
      <c r="D158" s="26"/>
      <c r="E158" s="7"/>
      <c r="F158" s="7"/>
      <c r="G158" s="7"/>
      <c r="H158" s="7"/>
      <c r="I158" s="82"/>
      <c r="J158" s="7"/>
      <c r="K158" s="7"/>
      <c r="L158" s="7"/>
      <c r="M158" s="7"/>
      <c r="N158" s="7"/>
      <c r="O158" s="7"/>
      <c r="P158" s="7"/>
    </row>
    <row r="159" spans="1:16" customFormat="1" ht="18.600000000000001" customHeight="1" x14ac:dyDescent="0.2">
      <c r="A159" s="6">
        <f t="shared" si="52"/>
        <v>5</v>
      </c>
      <c r="B159" s="26" t="s">
        <v>435</v>
      </c>
      <c r="C159" s="26" t="s">
        <v>6</v>
      </c>
      <c r="D159" s="26">
        <v>939253654</v>
      </c>
      <c r="E159" s="16"/>
      <c r="F159" s="16"/>
      <c r="G159" s="16"/>
      <c r="H159" s="16"/>
      <c r="I159" s="83"/>
      <c r="J159" s="16"/>
      <c r="K159" s="16"/>
      <c r="L159" s="16"/>
      <c r="M159" s="16"/>
      <c r="N159" s="16"/>
      <c r="O159" s="16"/>
      <c r="P159" s="16"/>
    </row>
    <row r="160" spans="1:16" customFormat="1" ht="18.600000000000001" customHeight="1" x14ac:dyDescent="0.2">
      <c r="A160" s="56">
        <f t="shared" si="52"/>
        <v>6</v>
      </c>
      <c r="B160" s="26" t="s">
        <v>448</v>
      </c>
      <c r="C160" s="26" t="s">
        <v>123</v>
      </c>
      <c r="D160" s="26">
        <v>387218610</v>
      </c>
      <c r="E160" s="2"/>
      <c r="F160" s="2"/>
      <c r="G160" s="2"/>
      <c r="H160" s="2"/>
      <c r="I160" s="84"/>
      <c r="J160" s="2"/>
      <c r="K160" s="2"/>
      <c r="L160" s="2"/>
      <c r="M160" s="2"/>
      <c r="N160" s="2"/>
      <c r="O160" s="2"/>
      <c r="P160" s="2"/>
    </row>
    <row r="161" spans="1:16" customFormat="1" ht="18.600000000000001" customHeight="1" x14ac:dyDescent="0.2">
      <c r="A161" s="6">
        <f t="shared" si="52"/>
        <v>7</v>
      </c>
      <c r="B161" s="26" t="s">
        <v>424</v>
      </c>
      <c r="C161" s="26" t="s">
        <v>425</v>
      </c>
      <c r="D161" s="26">
        <v>982987030</v>
      </c>
      <c r="E161" s="4"/>
      <c r="F161" s="4"/>
      <c r="G161" s="4"/>
      <c r="H161" s="4"/>
      <c r="I161" s="85"/>
      <c r="J161" s="4"/>
      <c r="K161" s="4"/>
      <c r="L161" s="4"/>
      <c r="M161" s="4"/>
      <c r="N161" s="4"/>
      <c r="O161" s="4"/>
      <c r="P161" s="4"/>
    </row>
    <row r="162" spans="1:16" customFormat="1" ht="18.600000000000001" customHeight="1" x14ac:dyDescent="0.2">
      <c r="A162" s="6">
        <f t="shared" si="52"/>
        <v>8</v>
      </c>
      <c r="B162" s="3" t="s">
        <v>544</v>
      </c>
      <c r="C162" s="26" t="s">
        <v>63</v>
      </c>
      <c r="D162" s="26"/>
      <c r="E162" s="4"/>
      <c r="F162" s="4"/>
      <c r="G162" s="4"/>
      <c r="H162" s="4"/>
      <c r="I162" s="85"/>
      <c r="J162" s="4"/>
      <c r="K162" s="4"/>
      <c r="L162" s="4"/>
      <c r="M162" s="4"/>
      <c r="N162" s="4"/>
      <c r="O162" s="4"/>
      <c r="P162" s="4"/>
    </row>
    <row r="163" spans="1:16" customFormat="1" ht="18.600000000000001" customHeight="1" x14ac:dyDescent="0.3">
      <c r="A163" s="6">
        <f t="shared" si="52"/>
        <v>9</v>
      </c>
      <c r="B163" s="143" t="s">
        <v>790</v>
      </c>
      <c r="C163" s="143" t="s">
        <v>68</v>
      </c>
      <c r="D163" s="143">
        <v>939526516</v>
      </c>
      <c r="E163" s="4"/>
      <c r="F163" s="4"/>
      <c r="G163" s="4"/>
      <c r="H163" s="4"/>
      <c r="I163" s="85"/>
      <c r="J163" s="4"/>
      <c r="K163" s="4"/>
      <c r="L163" s="4"/>
      <c r="M163" s="4"/>
      <c r="N163" s="4"/>
      <c r="O163" s="4"/>
      <c r="P163" s="4"/>
    </row>
    <row r="164" spans="1:16" customFormat="1" ht="18.600000000000001" customHeight="1" x14ac:dyDescent="0.2">
      <c r="A164" s="10">
        <f t="shared" si="52"/>
        <v>10</v>
      </c>
      <c r="B164" s="26" t="s">
        <v>450</v>
      </c>
      <c r="C164" s="26" t="s">
        <v>68</v>
      </c>
      <c r="D164" s="26"/>
      <c r="E164" s="12"/>
      <c r="F164" s="12"/>
      <c r="G164" s="12"/>
      <c r="H164" s="12"/>
      <c r="I164" s="86"/>
      <c r="J164" s="12"/>
      <c r="K164" s="12"/>
      <c r="L164" s="12"/>
      <c r="M164" s="12"/>
      <c r="N164" s="12"/>
      <c r="O164" s="12"/>
      <c r="P164" s="12"/>
    </row>
    <row r="165" spans="1:16" customFormat="1" ht="18.600000000000001" customHeight="1" x14ac:dyDescent="0.2">
      <c r="A165" s="35">
        <f t="shared" si="52"/>
        <v>11</v>
      </c>
      <c r="B165" s="3" t="s">
        <v>996</v>
      </c>
      <c r="C165" s="26" t="s">
        <v>23</v>
      </c>
      <c r="D165" s="26"/>
      <c r="E165" s="14"/>
      <c r="F165" s="14"/>
      <c r="G165" s="14"/>
      <c r="H165" s="14"/>
      <c r="I165" s="87"/>
      <c r="J165" s="14"/>
      <c r="K165" s="14"/>
      <c r="L165" s="14"/>
      <c r="M165" s="14"/>
      <c r="N165" s="14"/>
      <c r="O165" s="14"/>
      <c r="P165" s="14"/>
    </row>
    <row r="166" spans="1:16" customFormat="1" ht="18.600000000000001" customHeight="1" x14ac:dyDescent="0.2">
      <c r="A166" s="7">
        <f t="shared" si="52"/>
        <v>12</v>
      </c>
      <c r="B166" s="24" t="s">
        <v>833</v>
      </c>
      <c r="C166" s="24" t="s">
        <v>23</v>
      </c>
      <c r="D166" s="25"/>
      <c r="E166" s="4"/>
      <c r="F166" s="4"/>
      <c r="G166" s="4"/>
      <c r="H166" s="4"/>
      <c r="I166" s="85"/>
      <c r="J166" s="4"/>
      <c r="K166" s="4"/>
      <c r="L166" s="4"/>
      <c r="M166" s="4"/>
      <c r="N166" s="4"/>
      <c r="O166" s="4"/>
      <c r="P166" s="4"/>
    </row>
    <row r="167" spans="1:16" customFormat="1" ht="18.600000000000001" customHeight="1" x14ac:dyDescent="0.2">
      <c r="A167" s="7">
        <f t="shared" si="52"/>
        <v>13</v>
      </c>
      <c r="B167" s="4" t="s">
        <v>629</v>
      </c>
      <c r="C167" s="26" t="s">
        <v>13</v>
      </c>
      <c r="D167" s="26"/>
      <c r="E167" s="4"/>
      <c r="F167" s="4"/>
      <c r="G167" s="4"/>
      <c r="H167" s="4"/>
      <c r="I167" s="85"/>
      <c r="J167" s="4"/>
      <c r="K167" s="4"/>
      <c r="L167" s="4"/>
      <c r="M167" s="4"/>
      <c r="N167" s="4"/>
      <c r="O167" s="4"/>
      <c r="P167" s="4"/>
    </row>
    <row r="168" spans="1:16" customFormat="1" ht="18.600000000000001" customHeight="1" x14ac:dyDescent="0.2">
      <c r="A168" s="7">
        <f t="shared" si="52"/>
        <v>14</v>
      </c>
      <c r="B168" s="26" t="s">
        <v>511</v>
      </c>
      <c r="C168" s="26" t="s">
        <v>56</v>
      </c>
      <c r="D168" s="26">
        <v>939253654</v>
      </c>
      <c r="E168" s="4"/>
      <c r="F168" s="4"/>
      <c r="G168" s="4"/>
      <c r="H168" s="4"/>
      <c r="I168" s="85"/>
      <c r="J168" s="4"/>
      <c r="K168" s="4"/>
      <c r="L168" s="4"/>
      <c r="M168" s="4"/>
      <c r="N168" s="4"/>
      <c r="O168" s="4"/>
      <c r="P168" s="4"/>
    </row>
    <row r="169" spans="1:16" customFormat="1" ht="18.600000000000001" customHeight="1" x14ac:dyDescent="0.2">
      <c r="A169" s="6">
        <f t="shared" si="52"/>
        <v>15</v>
      </c>
      <c r="B169" s="26" t="s">
        <v>442</v>
      </c>
      <c r="C169" s="26" t="s">
        <v>92</v>
      </c>
      <c r="D169" s="26">
        <v>902879469</v>
      </c>
      <c r="E169" s="16"/>
      <c r="F169" s="16"/>
      <c r="G169" s="16"/>
      <c r="H169" s="16"/>
      <c r="I169" s="83"/>
      <c r="J169" s="16"/>
      <c r="K169" s="16"/>
      <c r="L169" s="16"/>
      <c r="M169" s="16"/>
      <c r="N169" s="16"/>
      <c r="O169" s="16"/>
      <c r="P169" s="16"/>
    </row>
    <row r="170" spans="1:16" customFormat="1" ht="18.600000000000001" customHeight="1" x14ac:dyDescent="0.2">
      <c r="A170" s="32">
        <f t="shared" si="52"/>
        <v>16</v>
      </c>
      <c r="B170" s="26" t="s">
        <v>445</v>
      </c>
      <c r="C170" s="26" t="s">
        <v>446</v>
      </c>
      <c r="D170" s="26">
        <v>377262126</v>
      </c>
      <c r="E170" s="2"/>
      <c r="F170" s="2"/>
      <c r="G170" s="2"/>
      <c r="H170" s="2"/>
      <c r="I170" s="84"/>
      <c r="J170" s="2"/>
      <c r="K170" s="2"/>
      <c r="L170" s="2"/>
      <c r="M170" s="2"/>
      <c r="N170" s="2"/>
      <c r="O170" s="2"/>
      <c r="P170" s="2"/>
    </row>
    <row r="171" spans="1:16" customFormat="1" ht="18.600000000000001" customHeight="1" x14ac:dyDescent="0.2">
      <c r="A171" s="7">
        <f t="shared" si="52"/>
        <v>17</v>
      </c>
      <c r="B171" s="26" t="s">
        <v>423</v>
      </c>
      <c r="C171" s="26" t="s">
        <v>55</v>
      </c>
      <c r="D171" s="26"/>
      <c r="E171" s="4"/>
      <c r="F171" s="4"/>
      <c r="G171" s="4"/>
      <c r="H171" s="4"/>
      <c r="I171" s="85"/>
      <c r="J171" s="4"/>
      <c r="K171" s="4"/>
      <c r="L171" s="4"/>
      <c r="M171" s="4"/>
      <c r="N171" s="4"/>
      <c r="O171" s="4"/>
      <c r="P171" s="4"/>
    </row>
    <row r="172" spans="1:16" customFormat="1" ht="18.600000000000001" customHeight="1" x14ac:dyDescent="0.3">
      <c r="A172" s="7">
        <f t="shared" si="52"/>
        <v>18</v>
      </c>
      <c r="B172" s="143" t="s">
        <v>207</v>
      </c>
      <c r="C172" s="143" t="s">
        <v>27</v>
      </c>
      <c r="D172" s="143"/>
      <c r="E172" s="4"/>
      <c r="F172" s="4"/>
      <c r="G172" s="4"/>
      <c r="H172" s="4"/>
      <c r="I172" s="85"/>
      <c r="J172" s="4"/>
      <c r="K172" s="4"/>
      <c r="L172" s="4"/>
      <c r="M172" s="4"/>
      <c r="N172" s="4"/>
      <c r="O172" s="4"/>
      <c r="P172" s="4"/>
    </row>
    <row r="173" spans="1:16" customFormat="1" ht="18.600000000000001" customHeight="1" x14ac:dyDescent="0.2">
      <c r="A173" s="7">
        <f t="shared" si="52"/>
        <v>19</v>
      </c>
      <c r="B173" s="26" t="s">
        <v>209</v>
      </c>
      <c r="C173" s="26" t="s">
        <v>109</v>
      </c>
      <c r="D173" s="26">
        <v>788731486</v>
      </c>
      <c r="E173" s="4"/>
      <c r="F173" s="4"/>
      <c r="G173" s="4"/>
      <c r="H173" s="4"/>
      <c r="I173" s="85"/>
      <c r="J173" s="4"/>
      <c r="K173" s="4"/>
      <c r="L173" s="4"/>
      <c r="M173" s="4"/>
      <c r="N173" s="4"/>
      <c r="O173" s="4"/>
      <c r="P173" s="4"/>
    </row>
    <row r="174" spans="1:16" customFormat="1" ht="18.600000000000001" customHeight="1" x14ac:dyDescent="0.2">
      <c r="A174" s="10">
        <f t="shared" si="52"/>
        <v>20</v>
      </c>
      <c r="B174" s="26" t="s">
        <v>534</v>
      </c>
      <c r="C174" s="26" t="s">
        <v>47</v>
      </c>
      <c r="D174" s="26"/>
      <c r="E174" s="12"/>
      <c r="F174" s="12"/>
      <c r="G174" s="12"/>
      <c r="H174" s="12"/>
      <c r="I174" s="86"/>
      <c r="J174" s="12"/>
      <c r="K174" s="12"/>
      <c r="L174" s="12"/>
      <c r="M174" s="12"/>
      <c r="N174" s="12"/>
      <c r="O174" s="12"/>
      <c r="P174" s="12"/>
    </row>
    <row r="175" spans="1:16" customFormat="1" ht="18.600000000000001" customHeight="1" x14ac:dyDescent="0.3">
      <c r="A175" s="35">
        <f t="shared" si="52"/>
        <v>21</v>
      </c>
      <c r="B175" s="143" t="s">
        <v>789</v>
      </c>
      <c r="C175" s="143" t="s">
        <v>16</v>
      </c>
      <c r="D175" s="143"/>
      <c r="E175" s="14"/>
      <c r="F175" s="14"/>
      <c r="G175" s="14"/>
      <c r="H175" s="14"/>
      <c r="I175" s="87"/>
      <c r="J175" s="14"/>
      <c r="K175" s="14"/>
      <c r="L175" s="14"/>
      <c r="M175" s="14"/>
      <c r="N175" s="14"/>
      <c r="O175" s="14"/>
      <c r="P175" s="14"/>
    </row>
    <row r="176" spans="1:16" customFormat="1" ht="18.600000000000001" customHeight="1" x14ac:dyDescent="0.2">
      <c r="A176" s="7">
        <f t="shared" si="52"/>
        <v>22</v>
      </c>
      <c r="B176" s="26" t="s">
        <v>436</v>
      </c>
      <c r="C176" s="26" t="s">
        <v>94</v>
      </c>
      <c r="D176" s="26"/>
      <c r="E176" s="4"/>
      <c r="F176" s="4"/>
      <c r="G176" s="4"/>
      <c r="H176" s="4"/>
      <c r="I176" s="85"/>
      <c r="J176" s="4"/>
      <c r="K176" s="4"/>
      <c r="L176" s="4"/>
      <c r="M176" s="4"/>
      <c r="N176" s="4"/>
      <c r="O176" s="4"/>
      <c r="P176" s="4"/>
    </row>
    <row r="177" spans="1:16" customFormat="1" ht="18.600000000000001" customHeight="1" x14ac:dyDescent="0.2">
      <c r="A177" s="35">
        <f t="shared" si="52"/>
        <v>23</v>
      </c>
      <c r="B177" s="3"/>
      <c r="C177" s="4"/>
      <c r="D177" s="8"/>
      <c r="E177" s="4"/>
      <c r="F177" s="4"/>
      <c r="G177" s="4"/>
      <c r="H177" s="4"/>
      <c r="I177" s="85"/>
      <c r="J177" s="4"/>
      <c r="K177" s="4"/>
      <c r="L177" s="4"/>
      <c r="M177" s="4"/>
      <c r="N177" s="4"/>
      <c r="O177" s="4"/>
      <c r="P177" s="4"/>
    </row>
    <row r="178" spans="1:16" customFormat="1" ht="18.600000000000001" customHeight="1" x14ac:dyDescent="0.2">
      <c r="A178" s="7">
        <f t="shared" si="52"/>
        <v>24</v>
      </c>
      <c r="B178" s="3"/>
      <c r="C178" s="4"/>
      <c r="D178" s="8"/>
      <c r="E178" s="4"/>
      <c r="F178" s="4"/>
      <c r="G178" s="4"/>
      <c r="H178" s="4"/>
      <c r="I178" s="85"/>
      <c r="J178" s="4"/>
      <c r="K178" s="4"/>
      <c r="L178" s="4"/>
      <c r="M178" s="4"/>
      <c r="N178" s="4"/>
      <c r="O178" s="4"/>
      <c r="P178" s="4"/>
    </row>
    <row r="179" spans="1:16" customFormat="1" ht="18.600000000000001" customHeight="1" x14ac:dyDescent="0.2">
      <c r="A179" s="35">
        <f t="shared" si="52"/>
        <v>25</v>
      </c>
      <c r="B179" s="11"/>
      <c r="C179" s="12"/>
      <c r="D179" s="9"/>
      <c r="E179" s="12"/>
      <c r="F179" s="12"/>
      <c r="G179" s="12"/>
      <c r="H179" s="12"/>
      <c r="I179" s="86"/>
      <c r="J179" s="12"/>
      <c r="K179" s="12"/>
      <c r="L179" s="12"/>
      <c r="M179" s="12"/>
      <c r="N179" s="12"/>
      <c r="O179" s="12"/>
      <c r="P179" s="12"/>
    </row>
    <row r="180" spans="1:16" customFormat="1" ht="18.600000000000001" customHeight="1" x14ac:dyDescent="0.3">
      <c r="A180" s="147"/>
      <c r="B180" s="148"/>
      <c r="C180" s="147"/>
      <c r="D180" s="149"/>
      <c r="E180" s="150">
        <f>SUBTOTAL(9,E155:E179)</f>
        <v>0</v>
      </c>
      <c r="F180" s="152"/>
      <c r="G180" s="150">
        <f t="shared" ref="G180" si="53">SUBTOTAL(9,G155:G179)</f>
        <v>0</v>
      </c>
      <c r="H180" s="152"/>
      <c r="I180" s="150">
        <f t="shared" ref="I180" si="54">SUBTOTAL(9,I155:I179)</f>
        <v>0</v>
      </c>
      <c r="J180" s="152"/>
      <c r="K180" s="152"/>
      <c r="L180" s="152"/>
      <c r="M180" s="150">
        <f t="shared" ref="M180" si="55">SUBTOTAL(9,M155:M179)</f>
        <v>0</v>
      </c>
      <c r="N180" s="152"/>
      <c r="O180" s="150">
        <f t="shared" ref="O180" si="56">SUBTOTAL(9,O155:O179)</f>
        <v>0</v>
      </c>
      <c r="P180" s="152"/>
    </row>
    <row r="181" spans="1:16" customFormat="1" ht="18.600000000000001" customHeight="1" x14ac:dyDescent="0.2">
      <c r="A181" s="434" t="str">
        <f>A121</f>
        <v>DANH SÁCH LỚP TOÁN</v>
      </c>
      <c r="B181" s="434"/>
      <c r="C181" s="434"/>
      <c r="D181" s="434"/>
      <c r="E181" s="434"/>
      <c r="F181" s="434"/>
      <c r="G181" s="434"/>
      <c r="H181" s="434"/>
      <c r="I181" s="92" t="s">
        <v>1031</v>
      </c>
      <c r="J181" s="48"/>
      <c r="K181" s="48"/>
      <c r="L181" s="48"/>
      <c r="M181" s="41"/>
      <c r="N181" s="41"/>
      <c r="O181" s="41"/>
      <c r="P181" s="41"/>
    </row>
    <row r="182" spans="1:16" customFormat="1" ht="18.600000000000001" customHeight="1" x14ac:dyDescent="0.2">
      <c r="A182" s="28"/>
      <c r="B182" s="29"/>
      <c r="C182" s="30"/>
      <c r="D182" s="36"/>
      <c r="E182" s="28"/>
      <c r="F182" s="28"/>
      <c r="G182" s="28"/>
      <c r="H182" s="28"/>
      <c r="I182" s="79"/>
      <c r="J182" s="28"/>
      <c r="K182" s="28"/>
      <c r="L182" s="28"/>
      <c r="M182" s="28"/>
      <c r="N182" s="28"/>
      <c r="O182" s="28"/>
      <c r="P182" s="28"/>
    </row>
    <row r="183" spans="1:16" customFormat="1" ht="18.600000000000001" customHeight="1" x14ac:dyDescent="0.2">
      <c r="A183" s="435" t="s">
        <v>374</v>
      </c>
      <c r="B183" s="435" t="s">
        <v>380</v>
      </c>
      <c r="C183" s="435" t="s">
        <v>383</v>
      </c>
      <c r="D183" s="437" t="s">
        <v>384</v>
      </c>
      <c r="E183" s="438" t="s">
        <v>385</v>
      </c>
      <c r="F183" s="439"/>
      <c r="G183" s="432" t="str">
        <f>$R$1</f>
        <v>Đợt 6</v>
      </c>
      <c r="H183" s="433"/>
      <c r="I183" s="432" t="str">
        <f>$T$1</f>
        <v>Đợt 7</v>
      </c>
      <c r="J183" s="433"/>
      <c r="K183" s="432" t="str">
        <f>$V$1</f>
        <v>Đợt 8</v>
      </c>
      <c r="L183" s="433"/>
      <c r="M183" s="432" t="str">
        <f>$X$1</f>
        <v>Đợt 9</v>
      </c>
      <c r="N183" s="433"/>
      <c r="O183" s="432" t="str">
        <f>$Z$1</f>
        <v>Đợt 10</v>
      </c>
      <c r="P183" s="433"/>
    </row>
    <row r="184" spans="1:16" customFormat="1" ht="18.600000000000001" customHeight="1" x14ac:dyDescent="0.2">
      <c r="A184" s="436"/>
      <c r="B184" s="436"/>
      <c r="C184" s="436"/>
      <c r="D184" s="436"/>
      <c r="E184" s="31" t="s">
        <v>381</v>
      </c>
      <c r="F184" s="31" t="s">
        <v>382</v>
      </c>
      <c r="G184" s="31" t="s">
        <v>381</v>
      </c>
      <c r="H184" s="31" t="s">
        <v>382</v>
      </c>
      <c r="I184" s="80" t="s">
        <v>381</v>
      </c>
      <c r="J184" s="31" t="s">
        <v>382</v>
      </c>
      <c r="K184" s="80" t="s">
        <v>381</v>
      </c>
      <c r="L184" s="31" t="s">
        <v>382</v>
      </c>
      <c r="M184" s="31" t="s">
        <v>381</v>
      </c>
      <c r="N184" s="31" t="s">
        <v>382</v>
      </c>
      <c r="O184" s="31" t="s">
        <v>381</v>
      </c>
      <c r="P184" s="31" t="s">
        <v>382</v>
      </c>
    </row>
    <row r="185" spans="1:16" customFormat="1" ht="18.600000000000001" customHeight="1" x14ac:dyDescent="0.2">
      <c r="A185" s="32">
        <v>1</v>
      </c>
      <c r="B185" s="24" t="s">
        <v>1157</v>
      </c>
      <c r="C185" s="24" t="s">
        <v>14</v>
      </c>
      <c r="D185" s="24"/>
      <c r="E185" s="32"/>
      <c r="F185" s="34"/>
      <c r="G185" s="32"/>
      <c r="H185" s="93"/>
      <c r="I185" s="81"/>
      <c r="J185" s="34"/>
      <c r="K185" s="34"/>
      <c r="L185" s="34"/>
      <c r="M185" s="32"/>
      <c r="N185" s="34"/>
      <c r="O185" s="32"/>
      <c r="P185" s="34"/>
    </row>
    <row r="186" spans="1:16" customFormat="1" ht="18.600000000000001" customHeight="1" x14ac:dyDescent="0.2">
      <c r="A186" s="7">
        <f t="shared" ref="A186:A209" si="57">A185+1</f>
        <v>2</v>
      </c>
      <c r="B186" s="24" t="s">
        <v>642</v>
      </c>
      <c r="C186" s="24" t="s">
        <v>12</v>
      </c>
      <c r="D186" s="24"/>
      <c r="E186" s="7"/>
      <c r="F186" s="7"/>
      <c r="G186" s="7"/>
      <c r="H186" s="7"/>
      <c r="I186" s="82"/>
      <c r="J186" s="7"/>
      <c r="K186" s="7"/>
      <c r="L186" s="7"/>
      <c r="M186" s="7"/>
      <c r="N186" s="7"/>
      <c r="O186" s="7"/>
      <c r="P186" s="7"/>
    </row>
    <row r="187" spans="1:16" customFormat="1" ht="18.600000000000001" customHeight="1" x14ac:dyDescent="0.2">
      <c r="A187" s="7">
        <f t="shared" si="57"/>
        <v>3</v>
      </c>
      <c r="B187" s="26" t="s">
        <v>437</v>
      </c>
      <c r="C187" s="26" t="s">
        <v>4</v>
      </c>
      <c r="D187" s="26">
        <v>334071006</v>
      </c>
      <c r="E187" s="7"/>
      <c r="F187" s="7"/>
      <c r="G187" s="7"/>
      <c r="H187" s="7"/>
      <c r="I187" s="82"/>
      <c r="J187" s="7"/>
      <c r="K187" s="7"/>
      <c r="L187" s="7"/>
      <c r="M187" s="7"/>
      <c r="N187" s="7"/>
      <c r="O187" s="7"/>
      <c r="P187" s="7"/>
    </row>
    <row r="188" spans="1:16" customFormat="1" ht="18.600000000000001" customHeight="1" x14ac:dyDescent="0.2">
      <c r="A188" s="7">
        <f t="shared" si="57"/>
        <v>4</v>
      </c>
      <c r="B188" s="24" t="s">
        <v>172</v>
      </c>
      <c r="C188" s="24" t="s">
        <v>4</v>
      </c>
      <c r="D188" s="24">
        <v>770049049</v>
      </c>
      <c r="E188" s="7"/>
      <c r="F188" s="7"/>
      <c r="G188" s="7"/>
      <c r="H188" s="7"/>
      <c r="I188" s="82"/>
      <c r="J188" s="7"/>
      <c r="K188" s="7"/>
      <c r="L188" s="7"/>
      <c r="M188" s="7"/>
      <c r="N188" s="7"/>
      <c r="O188" s="7"/>
      <c r="P188" s="7"/>
    </row>
    <row r="189" spans="1:16" customFormat="1" ht="18.600000000000001" customHeight="1" x14ac:dyDescent="0.2">
      <c r="A189" s="6">
        <f t="shared" si="57"/>
        <v>5</v>
      </c>
      <c r="B189" s="26" t="s">
        <v>1195</v>
      </c>
      <c r="C189" s="26" t="s">
        <v>1196</v>
      </c>
      <c r="D189" s="164"/>
      <c r="E189" s="16"/>
      <c r="F189" s="16"/>
      <c r="G189" s="16"/>
      <c r="H189" s="16"/>
      <c r="I189" s="83"/>
      <c r="J189" s="16"/>
      <c r="K189" s="16"/>
      <c r="L189" s="16"/>
      <c r="M189" s="16"/>
      <c r="N189" s="16"/>
      <c r="O189" s="16"/>
      <c r="P189" s="16"/>
    </row>
    <row r="190" spans="1:16" customFormat="1" ht="18.600000000000001" customHeight="1" x14ac:dyDescent="0.2">
      <c r="A190" s="56">
        <f t="shared" si="57"/>
        <v>6</v>
      </c>
      <c r="B190" s="25" t="s">
        <v>176</v>
      </c>
      <c r="C190" s="25" t="s">
        <v>18</v>
      </c>
      <c r="D190" s="163"/>
      <c r="E190" s="2"/>
      <c r="F190" s="2"/>
      <c r="G190" s="2"/>
      <c r="H190" s="2"/>
      <c r="I190" s="84"/>
      <c r="J190" s="2"/>
      <c r="K190" s="2"/>
      <c r="L190" s="2"/>
      <c r="M190" s="2"/>
      <c r="N190" s="2"/>
      <c r="O190" s="2"/>
      <c r="P190" s="2"/>
    </row>
    <row r="191" spans="1:16" customFormat="1" ht="18.600000000000001" customHeight="1" x14ac:dyDescent="0.2">
      <c r="A191" s="6">
        <f t="shared" si="57"/>
        <v>7</v>
      </c>
      <c r="B191" s="26" t="s">
        <v>429</v>
      </c>
      <c r="C191" s="26" t="s">
        <v>430</v>
      </c>
      <c r="D191" s="26"/>
      <c r="E191" s="4"/>
      <c r="F191" s="4"/>
      <c r="G191" s="4"/>
      <c r="H191" s="4"/>
      <c r="I191" s="85"/>
      <c r="J191" s="4"/>
      <c r="K191" s="4"/>
      <c r="L191" s="4"/>
      <c r="M191" s="4"/>
      <c r="N191" s="4"/>
      <c r="O191" s="4"/>
      <c r="P191" s="4"/>
    </row>
    <row r="192" spans="1:16" customFormat="1" ht="18.600000000000001" customHeight="1" x14ac:dyDescent="0.2">
      <c r="A192" s="6">
        <f t="shared" si="57"/>
        <v>8</v>
      </c>
      <c r="B192" s="26" t="s">
        <v>585</v>
      </c>
      <c r="C192" s="26" t="s">
        <v>75</v>
      </c>
      <c r="D192" s="26"/>
      <c r="E192" s="4"/>
      <c r="F192" s="4"/>
      <c r="G192" s="4"/>
      <c r="H192" s="4"/>
      <c r="I192" s="85"/>
      <c r="J192" s="4"/>
      <c r="K192" s="4"/>
      <c r="L192" s="4"/>
      <c r="M192" s="4"/>
      <c r="N192" s="4"/>
      <c r="O192" s="4"/>
      <c r="P192" s="4"/>
    </row>
    <row r="193" spans="1:16" customFormat="1" ht="18.600000000000001" customHeight="1" x14ac:dyDescent="0.2">
      <c r="A193" s="6">
        <f t="shared" si="57"/>
        <v>9</v>
      </c>
      <c r="B193" s="26" t="s">
        <v>440</v>
      </c>
      <c r="C193" s="26" t="s">
        <v>34</v>
      </c>
      <c r="D193" s="26"/>
      <c r="E193" s="4"/>
      <c r="F193" s="4"/>
      <c r="G193" s="4"/>
      <c r="H193" s="4"/>
      <c r="I193" s="85"/>
      <c r="J193" s="4"/>
      <c r="K193" s="4"/>
      <c r="L193" s="4"/>
      <c r="M193" s="4"/>
      <c r="N193" s="4"/>
      <c r="O193" s="4"/>
      <c r="P193" s="4"/>
    </row>
    <row r="194" spans="1:16" customFormat="1" ht="18.600000000000001" customHeight="1" x14ac:dyDescent="0.2">
      <c r="A194" s="10">
        <f t="shared" si="57"/>
        <v>10</v>
      </c>
      <c r="B194" s="24" t="s">
        <v>178</v>
      </c>
      <c r="C194" s="24" t="s">
        <v>38</v>
      </c>
      <c r="D194" s="163"/>
      <c r="E194" s="12"/>
      <c r="F194" s="12"/>
      <c r="G194" s="12"/>
      <c r="H194" s="12"/>
      <c r="I194" s="86"/>
      <c r="J194" s="12"/>
      <c r="K194" s="12"/>
      <c r="L194" s="12"/>
      <c r="M194" s="12"/>
      <c r="N194" s="12"/>
      <c r="O194" s="12"/>
      <c r="P194" s="12"/>
    </row>
    <row r="195" spans="1:16" customFormat="1" ht="18.600000000000001" customHeight="1" x14ac:dyDescent="0.2">
      <c r="A195" s="35">
        <f t="shared" si="57"/>
        <v>11</v>
      </c>
      <c r="B195" s="25" t="s">
        <v>177</v>
      </c>
      <c r="C195" s="25" t="s">
        <v>37</v>
      </c>
      <c r="D195" s="24">
        <v>704964318</v>
      </c>
      <c r="E195" s="14"/>
      <c r="F195" s="14"/>
      <c r="G195" s="14"/>
      <c r="H195" s="14"/>
      <c r="I195" s="87"/>
      <c r="J195" s="14"/>
      <c r="K195" s="14"/>
      <c r="L195" s="14"/>
      <c r="M195" s="14"/>
      <c r="N195" s="14"/>
      <c r="O195" s="14"/>
      <c r="P195" s="14"/>
    </row>
    <row r="196" spans="1:16" customFormat="1" ht="18.600000000000001" customHeight="1" x14ac:dyDescent="0.2">
      <c r="A196" s="7">
        <f t="shared" si="57"/>
        <v>12</v>
      </c>
      <c r="B196" s="24" t="s">
        <v>174</v>
      </c>
      <c r="C196" s="24" t="s">
        <v>35</v>
      </c>
      <c r="D196" s="163"/>
      <c r="E196" s="4"/>
      <c r="F196" s="4"/>
      <c r="G196" s="4"/>
      <c r="H196" s="4"/>
      <c r="I196" s="85"/>
      <c r="J196" s="4"/>
      <c r="K196" s="4"/>
      <c r="L196" s="4"/>
      <c r="M196" s="4"/>
      <c r="N196" s="4"/>
      <c r="O196" s="4"/>
      <c r="P196" s="4"/>
    </row>
    <row r="197" spans="1:16" customFormat="1" ht="18.600000000000001" customHeight="1" x14ac:dyDescent="0.2">
      <c r="A197" s="7">
        <f t="shared" si="57"/>
        <v>13</v>
      </c>
      <c r="B197" s="26" t="s">
        <v>1193</v>
      </c>
      <c r="C197" s="26" t="s">
        <v>40</v>
      </c>
      <c r="D197" s="164"/>
      <c r="E197" s="4"/>
      <c r="F197" s="4"/>
      <c r="G197" s="4"/>
      <c r="H197" s="4"/>
      <c r="I197" s="85"/>
      <c r="J197" s="4"/>
      <c r="K197" s="4"/>
      <c r="L197" s="4"/>
      <c r="M197" s="4"/>
      <c r="N197" s="4"/>
      <c r="O197" s="4"/>
      <c r="P197" s="4"/>
    </row>
    <row r="198" spans="1:16" customFormat="1" ht="18.600000000000001" customHeight="1" x14ac:dyDescent="0.2">
      <c r="A198" s="7">
        <f t="shared" si="57"/>
        <v>14</v>
      </c>
      <c r="B198" s="24" t="s">
        <v>180</v>
      </c>
      <c r="C198" s="24" t="s">
        <v>40</v>
      </c>
      <c r="D198" s="163"/>
      <c r="E198" s="4"/>
      <c r="F198" s="4"/>
      <c r="G198" s="4"/>
      <c r="H198" s="4"/>
      <c r="I198" s="85"/>
      <c r="J198" s="4"/>
      <c r="K198" s="4"/>
      <c r="L198" s="4"/>
      <c r="M198" s="4"/>
      <c r="N198" s="4"/>
      <c r="O198" s="4"/>
      <c r="P198" s="4"/>
    </row>
    <row r="199" spans="1:16" customFormat="1" ht="18.600000000000001" customHeight="1" x14ac:dyDescent="0.2">
      <c r="A199" s="6">
        <f t="shared" si="57"/>
        <v>15</v>
      </c>
      <c r="B199" s="24" t="s">
        <v>640</v>
      </c>
      <c r="C199" s="24" t="s">
        <v>20</v>
      </c>
      <c r="D199" s="24"/>
      <c r="E199" s="16"/>
      <c r="F199" s="16"/>
      <c r="G199" s="16"/>
      <c r="H199" s="16"/>
      <c r="I199" s="83"/>
      <c r="J199" s="16"/>
      <c r="K199" s="16"/>
      <c r="L199" s="16"/>
      <c r="M199" s="16"/>
      <c r="N199" s="16"/>
      <c r="O199" s="16"/>
      <c r="P199" s="16"/>
    </row>
    <row r="200" spans="1:16" customFormat="1" ht="18.600000000000001" customHeight="1" x14ac:dyDescent="0.2">
      <c r="A200" s="32">
        <f t="shared" si="57"/>
        <v>16</v>
      </c>
      <c r="B200" s="26" t="s">
        <v>1116</v>
      </c>
      <c r="C200" s="26" t="s">
        <v>79</v>
      </c>
      <c r="D200" s="164"/>
      <c r="E200" s="2"/>
      <c r="F200" s="2"/>
      <c r="G200" s="2"/>
      <c r="H200" s="2"/>
      <c r="I200" s="84"/>
      <c r="J200" s="2"/>
      <c r="K200" s="2"/>
      <c r="L200" s="2"/>
      <c r="M200" s="2"/>
      <c r="N200" s="2"/>
      <c r="O200" s="2"/>
      <c r="P200" s="2"/>
    </row>
    <row r="201" spans="1:16" customFormat="1" ht="18.600000000000001" customHeight="1" x14ac:dyDescent="0.3">
      <c r="A201" s="7">
        <f t="shared" si="57"/>
        <v>17</v>
      </c>
      <c r="B201" s="143" t="s">
        <v>291</v>
      </c>
      <c r="C201" s="143" t="s">
        <v>79</v>
      </c>
      <c r="D201" s="143"/>
      <c r="E201" s="4"/>
      <c r="F201" s="4"/>
      <c r="G201" s="4"/>
      <c r="H201" s="4"/>
      <c r="I201" s="85"/>
      <c r="J201" s="4"/>
      <c r="K201" s="4"/>
      <c r="L201" s="4"/>
      <c r="M201" s="4"/>
      <c r="N201" s="4"/>
      <c r="O201" s="4"/>
      <c r="P201" s="4"/>
    </row>
    <row r="202" spans="1:16" customFormat="1" ht="18.600000000000001" customHeight="1" x14ac:dyDescent="0.2">
      <c r="A202" s="7">
        <f t="shared" si="57"/>
        <v>18</v>
      </c>
      <c r="B202" s="26" t="s">
        <v>591</v>
      </c>
      <c r="C202" s="26" t="s">
        <v>42</v>
      </c>
      <c r="D202" s="26"/>
      <c r="E202" s="4"/>
      <c r="F202" s="4"/>
      <c r="G202" s="4"/>
      <c r="H202" s="4"/>
      <c r="I202" s="85"/>
      <c r="J202" s="4"/>
      <c r="K202" s="4"/>
      <c r="L202" s="4"/>
      <c r="M202" s="4"/>
      <c r="N202" s="4"/>
      <c r="O202" s="4"/>
      <c r="P202" s="4"/>
    </row>
    <row r="203" spans="1:16" customFormat="1" ht="18.600000000000001" customHeight="1" x14ac:dyDescent="0.2">
      <c r="A203" s="7">
        <f t="shared" si="57"/>
        <v>19</v>
      </c>
      <c r="B203" s="3"/>
      <c r="C203" s="4"/>
      <c r="D203" s="8"/>
      <c r="E203" s="4"/>
      <c r="F203" s="4"/>
      <c r="G203" s="4"/>
      <c r="H203" s="4"/>
      <c r="I203" s="85"/>
      <c r="J203" s="4"/>
      <c r="K203" s="4"/>
      <c r="L203" s="4"/>
      <c r="M203" s="4"/>
      <c r="N203" s="4"/>
      <c r="O203" s="4"/>
      <c r="P203" s="4"/>
    </row>
    <row r="204" spans="1:16" customFormat="1" ht="18.600000000000001" customHeight="1" x14ac:dyDescent="0.2">
      <c r="A204" s="10">
        <f t="shared" si="57"/>
        <v>20</v>
      </c>
      <c r="B204" s="11"/>
      <c r="C204" s="12"/>
      <c r="D204" s="9"/>
      <c r="E204" s="12"/>
      <c r="F204" s="12"/>
      <c r="G204" s="12"/>
      <c r="H204" s="12"/>
      <c r="I204" s="86"/>
      <c r="J204" s="12"/>
      <c r="K204" s="12"/>
      <c r="L204" s="12"/>
      <c r="M204" s="12"/>
      <c r="N204" s="12"/>
      <c r="O204" s="12"/>
      <c r="P204" s="12"/>
    </row>
    <row r="205" spans="1:16" customFormat="1" ht="18.600000000000001" customHeight="1" x14ac:dyDescent="0.2">
      <c r="A205" s="35">
        <f t="shared" si="57"/>
        <v>21</v>
      </c>
      <c r="B205" s="13"/>
      <c r="C205" s="14"/>
      <c r="D205" s="37"/>
      <c r="E205" s="14"/>
      <c r="F205" s="14"/>
      <c r="G205" s="14"/>
      <c r="H205" s="14"/>
      <c r="I205" s="87"/>
      <c r="J205" s="14"/>
      <c r="K205" s="14"/>
      <c r="L205" s="14"/>
      <c r="M205" s="14"/>
      <c r="N205" s="14"/>
      <c r="O205" s="14"/>
      <c r="P205" s="14"/>
    </row>
    <row r="206" spans="1:16" customFormat="1" ht="18.600000000000001" customHeight="1" x14ac:dyDescent="0.2">
      <c r="A206" s="7">
        <f t="shared" si="57"/>
        <v>22</v>
      </c>
      <c r="B206" s="3"/>
      <c r="C206" s="4"/>
      <c r="D206" s="8"/>
      <c r="E206" s="4"/>
      <c r="F206" s="4"/>
      <c r="G206" s="4"/>
      <c r="H206" s="4"/>
      <c r="I206" s="85"/>
      <c r="J206" s="4"/>
      <c r="K206" s="4"/>
      <c r="L206" s="4"/>
      <c r="M206" s="4"/>
      <c r="N206" s="4"/>
      <c r="O206" s="4"/>
      <c r="P206" s="4"/>
    </row>
    <row r="207" spans="1:16" customFormat="1" ht="18.600000000000001" customHeight="1" x14ac:dyDescent="0.2">
      <c r="A207" s="35">
        <f t="shared" si="57"/>
        <v>23</v>
      </c>
      <c r="B207" s="3"/>
      <c r="C207" s="4"/>
      <c r="D207" s="8"/>
      <c r="E207" s="4"/>
      <c r="F207" s="4"/>
      <c r="G207" s="4"/>
      <c r="H207" s="4"/>
      <c r="I207" s="85"/>
      <c r="J207" s="4"/>
      <c r="K207" s="4"/>
      <c r="L207" s="4"/>
      <c r="M207" s="4"/>
      <c r="N207" s="4"/>
      <c r="O207" s="4"/>
      <c r="P207" s="4"/>
    </row>
    <row r="208" spans="1:16" customFormat="1" ht="18.600000000000001" customHeight="1" x14ac:dyDescent="0.2">
      <c r="A208" s="7">
        <f t="shared" si="57"/>
        <v>24</v>
      </c>
      <c r="B208" s="3"/>
      <c r="C208" s="4"/>
      <c r="D208" s="8"/>
      <c r="E208" s="4"/>
      <c r="F208" s="4"/>
      <c r="G208" s="4"/>
      <c r="H208" s="4"/>
      <c r="I208" s="85"/>
      <c r="J208" s="4"/>
      <c r="K208" s="4"/>
      <c r="L208" s="4"/>
      <c r="M208" s="4"/>
      <c r="N208" s="4"/>
      <c r="O208" s="4"/>
      <c r="P208" s="4"/>
    </row>
    <row r="209" spans="1:16" customFormat="1" ht="18.600000000000001" customHeight="1" x14ac:dyDescent="0.2">
      <c r="A209" s="35">
        <f t="shared" si="57"/>
        <v>25</v>
      </c>
      <c r="B209" s="11"/>
      <c r="C209" s="12"/>
      <c r="D209" s="9"/>
      <c r="E209" s="12"/>
      <c r="F209" s="12"/>
      <c r="G209" s="12"/>
      <c r="H209" s="12"/>
      <c r="I209" s="86"/>
      <c r="J209" s="12"/>
      <c r="K209" s="12"/>
      <c r="L209" s="12"/>
      <c r="M209" s="12"/>
      <c r="N209" s="12"/>
      <c r="O209" s="12"/>
      <c r="P209" s="12"/>
    </row>
    <row r="210" spans="1:16" customFormat="1" ht="18.600000000000001" customHeight="1" x14ac:dyDescent="0.3">
      <c r="A210" s="147"/>
      <c r="B210" s="148"/>
      <c r="C210" s="147"/>
      <c r="D210" s="149"/>
      <c r="E210" s="150">
        <f>SUBTOTAL(9,E185:E209)</f>
        <v>0</v>
      </c>
      <c r="F210" s="152"/>
      <c r="G210" s="150">
        <f t="shared" ref="G210" si="58">SUBTOTAL(9,G185:G209)</f>
        <v>0</v>
      </c>
      <c r="H210" s="152"/>
      <c r="I210" s="150">
        <f t="shared" ref="I210" si="59">SUBTOTAL(9,I185:I209)</f>
        <v>0</v>
      </c>
      <c r="J210" s="152"/>
      <c r="K210" s="152"/>
      <c r="L210" s="152"/>
      <c r="M210" s="150">
        <f t="shared" ref="M210" si="60">SUBTOTAL(9,M185:M209)</f>
        <v>0</v>
      </c>
      <c r="N210" s="152"/>
      <c r="O210" s="150">
        <f t="shared" ref="O210" si="61">SUBTOTAL(9,O185:O209)</f>
        <v>0</v>
      </c>
      <c r="P210" s="152"/>
    </row>
    <row r="211" spans="1:16" customFormat="1" ht="18.600000000000001" customHeight="1" x14ac:dyDescent="0.2">
      <c r="A211" s="434" t="str">
        <f>A151</f>
        <v>DANH SÁCH LỚP TOÁN</v>
      </c>
      <c r="B211" s="434"/>
      <c r="C211" s="434"/>
      <c r="D211" s="434"/>
      <c r="E211" s="434"/>
      <c r="F211" s="434"/>
      <c r="G211" s="434"/>
      <c r="H211" s="434"/>
      <c r="I211" s="92" t="s">
        <v>1206</v>
      </c>
      <c r="J211" s="48"/>
      <c r="K211" s="48"/>
      <c r="L211" s="48"/>
      <c r="M211" s="41"/>
      <c r="N211" s="41"/>
      <c r="O211" s="41"/>
      <c r="P211" s="41"/>
    </row>
    <row r="212" spans="1:16" customFormat="1" ht="18.600000000000001" customHeight="1" x14ac:dyDescent="0.2">
      <c r="A212" s="28"/>
      <c r="B212" s="29"/>
      <c r="C212" s="30"/>
      <c r="D212" s="36"/>
      <c r="E212" s="28"/>
      <c r="F212" s="28"/>
      <c r="G212" s="28"/>
      <c r="H212" s="28"/>
      <c r="I212" s="79"/>
      <c r="J212" s="28"/>
      <c r="K212" s="28"/>
      <c r="L212" s="28"/>
      <c r="M212" s="28"/>
      <c r="N212" s="28"/>
      <c r="O212" s="28"/>
      <c r="P212" s="28"/>
    </row>
    <row r="213" spans="1:16" customFormat="1" ht="18.600000000000001" customHeight="1" x14ac:dyDescent="0.2">
      <c r="A213" s="435" t="s">
        <v>374</v>
      </c>
      <c r="B213" s="435" t="s">
        <v>380</v>
      </c>
      <c r="C213" s="435" t="s">
        <v>383</v>
      </c>
      <c r="D213" s="437" t="s">
        <v>384</v>
      </c>
      <c r="E213" s="438" t="s">
        <v>385</v>
      </c>
      <c r="F213" s="439"/>
      <c r="G213" s="432" t="str">
        <f>$R$1</f>
        <v>Đợt 6</v>
      </c>
      <c r="H213" s="433"/>
      <c r="I213" s="432" t="str">
        <f>$T$1</f>
        <v>Đợt 7</v>
      </c>
      <c r="J213" s="433"/>
      <c r="K213" s="432" t="str">
        <f>$V$1</f>
        <v>Đợt 8</v>
      </c>
      <c r="L213" s="433"/>
      <c r="M213" s="432" t="str">
        <f>$X$1</f>
        <v>Đợt 9</v>
      </c>
      <c r="N213" s="433"/>
      <c r="O213" s="432" t="str">
        <f>$Z$1</f>
        <v>Đợt 10</v>
      </c>
      <c r="P213" s="433"/>
    </row>
    <row r="214" spans="1:16" customFormat="1" ht="18.600000000000001" customHeight="1" x14ac:dyDescent="0.2">
      <c r="A214" s="436"/>
      <c r="B214" s="436"/>
      <c r="C214" s="436"/>
      <c r="D214" s="436"/>
      <c r="E214" s="31" t="s">
        <v>381</v>
      </c>
      <c r="F214" s="31" t="s">
        <v>382</v>
      </c>
      <c r="G214" s="31" t="s">
        <v>381</v>
      </c>
      <c r="H214" s="31" t="s">
        <v>382</v>
      </c>
      <c r="I214" s="80" t="s">
        <v>381</v>
      </c>
      <c r="J214" s="31" t="s">
        <v>382</v>
      </c>
      <c r="K214" s="80" t="s">
        <v>381</v>
      </c>
      <c r="L214" s="31" t="s">
        <v>382</v>
      </c>
      <c r="M214" s="31" t="s">
        <v>381</v>
      </c>
      <c r="N214" s="31" t="s">
        <v>382</v>
      </c>
      <c r="O214" s="31" t="s">
        <v>381</v>
      </c>
      <c r="P214" s="31" t="s">
        <v>382</v>
      </c>
    </row>
    <row r="215" spans="1:16" customFormat="1" ht="18.600000000000001" customHeight="1" x14ac:dyDescent="0.2">
      <c r="A215" s="32">
        <v>1</v>
      </c>
      <c r="B215" s="26" t="s">
        <v>1194</v>
      </c>
      <c r="C215" s="26" t="s">
        <v>14</v>
      </c>
      <c r="D215" s="164"/>
      <c r="E215" s="32"/>
      <c r="F215" s="34"/>
      <c r="G215" s="32"/>
      <c r="H215" s="93"/>
      <c r="I215" s="81"/>
      <c r="J215" s="34"/>
      <c r="K215" s="34"/>
      <c r="L215" s="34"/>
      <c r="M215" s="32"/>
      <c r="N215" s="34"/>
      <c r="O215" s="32"/>
      <c r="P215" s="34"/>
    </row>
    <row r="216" spans="1:16" customFormat="1" ht="18.600000000000001" customHeight="1" x14ac:dyDescent="0.2">
      <c r="A216" s="7">
        <f t="shared" ref="A216:A239" si="62">A215+1</f>
        <v>2</v>
      </c>
      <c r="B216" s="24" t="s">
        <v>181</v>
      </c>
      <c r="C216" s="24" t="s">
        <v>4</v>
      </c>
      <c r="D216" s="24">
        <v>704798473</v>
      </c>
      <c r="E216" s="7"/>
      <c r="F216" s="7"/>
      <c r="G216" s="7"/>
      <c r="H216" s="7"/>
      <c r="I216" s="82"/>
      <c r="J216" s="7"/>
      <c r="K216" s="7"/>
      <c r="L216" s="7"/>
      <c r="M216" s="7"/>
      <c r="N216" s="7"/>
      <c r="O216" s="7"/>
      <c r="P216" s="7"/>
    </row>
    <row r="217" spans="1:16" customFormat="1" ht="18.600000000000001" customHeight="1" x14ac:dyDescent="0.3">
      <c r="A217" s="7">
        <f t="shared" si="62"/>
        <v>3</v>
      </c>
      <c r="B217" s="143" t="s">
        <v>894</v>
      </c>
      <c r="C217" s="143" t="s">
        <v>15</v>
      </c>
      <c r="D217" s="143">
        <v>353635653</v>
      </c>
      <c r="E217" s="7"/>
      <c r="F217" s="7"/>
      <c r="G217" s="7"/>
      <c r="H217" s="7"/>
      <c r="I217" s="82"/>
      <c r="J217" s="7"/>
      <c r="K217" s="7"/>
      <c r="L217" s="7"/>
      <c r="M217" s="7"/>
      <c r="N217" s="7"/>
      <c r="O217" s="7"/>
      <c r="P217" s="7"/>
    </row>
    <row r="218" spans="1:16" customFormat="1" ht="18.600000000000001" customHeight="1" x14ac:dyDescent="0.2">
      <c r="A218" s="7">
        <f t="shared" si="62"/>
        <v>4</v>
      </c>
      <c r="B218" s="26" t="s">
        <v>586</v>
      </c>
      <c r="C218" s="26" t="s">
        <v>587</v>
      </c>
      <c r="D218" s="26"/>
      <c r="E218" s="7"/>
      <c r="F218" s="7"/>
      <c r="G218" s="7"/>
      <c r="H218" s="7"/>
      <c r="I218" s="82"/>
      <c r="J218" s="7"/>
      <c r="K218" s="7"/>
      <c r="L218" s="7"/>
      <c r="M218" s="7"/>
      <c r="N218" s="7"/>
      <c r="O218" s="7"/>
      <c r="P218" s="7"/>
    </row>
    <row r="219" spans="1:16" customFormat="1" ht="18.600000000000001" customHeight="1" x14ac:dyDescent="0.2">
      <c r="A219" s="6">
        <f t="shared" si="62"/>
        <v>5</v>
      </c>
      <c r="B219" s="26" t="s">
        <v>1189</v>
      </c>
      <c r="C219" s="26" t="s">
        <v>68</v>
      </c>
      <c r="D219" s="164"/>
      <c r="E219" s="16"/>
      <c r="F219" s="16"/>
      <c r="G219" s="16"/>
      <c r="H219" s="16"/>
      <c r="I219" s="83"/>
      <c r="J219" s="16"/>
      <c r="K219" s="16"/>
      <c r="L219" s="16"/>
      <c r="M219" s="16"/>
      <c r="N219" s="16"/>
      <c r="O219" s="16"/>
      <c r="P219" s="16"/>
    </row>
    <row r="220" spans="1:16" customFormat="1" ht="18.600000000000001" customHeight="1" x14ac:dyDescent="0.2">
      <c r="A220" s="56">
        <f t="shared" si="62"/>
        <v>6</v>
      </c>
      <c r="B220" s="26" t="s">
        <v>1190</v>
      </c>
      <c r="C220" s="26" t="s">
        <v>68</v>
      </c>
      <c r="D220" s="164"/>
      <c r="E220" s="2"/>
      <c r="F220" s="2"/>
      <c r="G220" s="2"/>
      <c r="H220" s="2"/>
      <c r="I220" s="84"/>
      <c r="J220" s="2"/>
      <c r="K220" s="2"/>
      <c r="L220" s="2"/>
      <c r="M220" s="2"/>
      <c r="N220" s="2"/>
      <c r="O220" s="2"/>
      <c r="P220" s="2"/>
    </row>
    <row r="221" spans="1:16" customFormat="1" ht="18.600000000000001" customHeight="1" x14ac:dyDescent="0.2">
      <c r="A221" s="6">
        <f t="shared" si="62"/>
        <v>7</v>
      </c>
      <c r="B221" s="26" t="s">
        <v>549</v>
      </c>
      <c r="C221" s="26" t="s">
        <v>23</v>
      </c>
      <c r="D221" s="164"/>
      <c r="E221" s="4"/>
      <c r="F221" s="4"/>
      <c r="G221" s="4"/>
      <c r="H221" s="4"/>
      <c r="I221" s="85"/>
      <c r="J221" s="4"/>
      <c r="K221" s="4"/>
      <c r="L221" s="4"/>
      <c r="M221" s="4"/>
      <c r="N221" s="4"/>
      <c r="O221" s="4"/>
      <c r="P221" s="4"/>
    </row>
    <row r="222" spans="1:16" customFormat="1" ht="18.600000000000001" customHeight="1" x14ac:dyDescent="0.3">
      <c r="A222" s="6">
        <f t="shared" si="62"/>
        <v>8</v>
      </c>
      <c r="B222" s="240" t="s">
        <v>1070</v>
      </c>
      <c r="C222" s="24" t="s">
        <v>590</v>
      </c>
      <c r="D222" s="163"/>
      <c r="E222" s="4"/>
      <c r="F222" s="4"/>
      <c r="G222" s="4"/>
      <c r="H222" s="4"/>
      <c r="I222" s="85"/>
      <c r="J222" s="4"/>
      <c r="K222" s="4"/>
      <c r="L222" s="4"/>
      <c r="M222" s="4"/>
      <c r="N222" s="4"/>
      <c r="O222" s="4"/>
      <c r="P222" s="4"/>
    </row>
    <row r="223" spans="1:16" customFormat="1" ht="18.600000000000001" customHeight="1" x14ac:dyDescent="0.2">
      <c r="A223" s="6">
        <f t="shared" si="62"/>
        <v>9</v>
      </c>
      <c r="B223" s="24" t="s">
        <v>1113</v>
      </c>
      <c r="C223" s="24" t="s">
        <v>73</v>
      </c>
      <c r="D223" s="25"/>
      <c r="E223" s="4"/>
      <c r="F223" s="4"/>
      <c r="G223" s="4"/>
      <c r="H223" s="4"/>
      <c r="I223" s="85"/>
      <c r="J223" s="4"/>
      <c r="K223" s="4"/>
      <c r="L223" s="4"/>
      <c r="M223" s="4"/>
      <c r="N223" s="4"/>
      <c r="O223" s="4"/>
      <c r="P223" s="4"/>
    </row>
    <row r="224" spans="1:16" customFormat="1" ht="18.600000000000001" customHeight="1" x14ac:dyDescent="0.2">
      <c r="A224" s="10">
        <f t="shared" si="62"/>
        <v>10</v>
      </c>
      <c r="B224" s="24" t="s">
        <v>641</v>
      </c>
      <c r="C224" s="24" t="s">
        <v>34</v>
      </c>
      <c r="D224" s="24"/>
      <c r="E224" s="12"/>
      <c r="F224" s="12"/>
      <c r="G224" s="12"/>
      <c r="H224" s="12"/>
      <c r="I224" s="86"/>
      <c r="J224" s="12"/>
      <c r="K224" s="12"/>
      <c r="L224" s="12"/>
      <c r="M224" s="12"/>
      <c r="N224" s="12"/>
      <c r="O224" s="12"/>
      <c r="P224" s="12"/>
    </row>
    <row r="225" spans="1:16" customFormat="1" ht="18.600000000000001" customHeight="1" x14ac:dyDescent="0.2">
      <c r="A225" s="35">
        <f t="shared" si="62"/>
        <v>11</v>
      </c>
      <c r="B225" s="26" t="s">
        <v>626</v>
      </c>
      <c r="C225" s="26" t="s">
        <v>627</v>
      </c>
      <c r="D225" s="26"/>
      <c r="E225" s="14"/>
      <c r="F225" s="14"/>
      <c r="G225" s="14"/>
      <c r="H225" s="14"/>
      <c r="I225" s="87"/>
      <c r="J225" s="14"/>
      <c r="K225" s="14"/>
      <c r="L225" s="14"/>
      <c r="M225" s="14"/>
      <c r="N225" s="14"/>
      <c r="O225" s="14"/>
      <c r="P225" s="14"/>
    </row>
    <row r="226" spans="1:16" customFormat="1" ht="18.600000000000001" customHeight="1" x14ac:dyDescent="0.2">
      <c r="A226" s="7">
        <f t="shared" si="62"/>
        <v>12</v>
      </c>
      <c r="B226" s="26" t="s">
        <v>422</v>
      </c>
      <c r="C226" s="26" t="s">
        <v>101</v>
      </c>
      <c r="D226" s="26"/>
      <c r="E226" s="4"/>
      <c r="F226" s="4"/>
      <c r="G226" s="4"/>
      <c r="H226" s="4"/>
      <c r="I226" s="85"/>
      <c r="J226" s="4"/>
      <c r="K226" s="4"/>
      <c r="L226" s="4"/>
      <c r="M226" s="4"/>
      <c r="N226" s="4"/>
      <c r="O226" s="4"/>
      <c r="P226" s="4"/>
    </row>
    <row r="227" spans="1:16" customFormat="1" ht="18.600000000000001" customHeight="1" x14ac:dyDescent="0.2">
      <c r="A227" s="7">
        <f t="shared" si="62"/>
        <v>13</v>
      </c>
      <c r="B227" s="26" t="s">
        <v>1208</v>
      </c>
      <c r="C227" s="26" t="s">
        <v>20</v>
      </c>
      <c r="D227" s="164"/>
      <c r="E227" s="4"/>
      <c r="F227" s="4"/>
      <c r="G227" s="4"/>
      <c r="H227" s="4"/>
      <c r="I227" s="85"/>
      <c r="J227" s="4"/>
      <c r="K227" s="4"/>
      <c r="L227" s="4"/>
      <c r="M227" s="4"/>
      <c r="N227" s="4"/>
      <c r="O227" s="4"/>
      <c r="P227" s="4"/>
    </row>
    <row r="228" spans="1:16" customFormat="1" ht="18.600000000000001" customHeight="1" x14ac:dyDescent="0.2">
      <c r="A228" s="7">
        <f t="shared" si="62"/>
        <v>14</v>
      </c>
      <c r="B228" s="24" t="s">
        <v>953</v>
      </c>
      <c r="C228" s="24" t="s">
        <v>42</v>
      </c>
      <c r="D228" s="24"/>
      <c r="E228" s="4"/>
      <c r="F228" s="4"/>
      <c r="G228" s="4"/>
      <c r="H228" s="4"/>
      <c r="I228" s="85"/>
      <c r="J228" s="4"/>
      <c r="K228" s="4"/>
      <c r="L228" s="4"/>
      <c r="M228" s="4"/>
      <c r="N228" s="4"/>
      <c r="O228" s="4"/>
      <c r="P228" s="4"/>
    </row>
    <row r="229" spans="1:16" customFormat="1" ht="18.600000000000001" customHeight="1" x14ac:dyDescent="0.2">
      <c r="A229" s="6">
        <f t="shared" si="62"/>
        <v>15</v>
      </c>
      <c r="B229" s="15"/>
      <c r="C229" s="16"/>
      <c r="D229" s="5"/>
      <c r="E229" s="16"/>
      <c r="F229" s="16"/>
      <c r="G229" s="16"/>
      <c r="H229" s="16"/>
      <c r="I229" s="83"/>
      <c r="J229" s="16"/>
      <c r="K229" s="16"/>
      <c r="L229" s="16"/>
      <c r="M229" s="16"/>
      <c r="N229" s="16"/>
      <c r="O229" s="16"/>
      <c r="P229" s="16"/>
    </row>
    <row r="230" spans="1:16" customFormat="1" ht="18.600000000000001" customHeight="1" x14ac:dyDescent="0.2">
      <c r="A230" s="32">
        <f t="shared" si="62"/>
        <v>16</v>
      </c>
      <c r="B230" s="1"/>
      <c r="C230" s="2"/>
      <c r="D230" s="33"/>
      <c r="E230" s="2"/>
      <c r="F230" s="2"/>
      <c r="G230" s="2"/>
      <c r="H230" s="2"/>
      <c r="I230" s="84"/>
      <c r="J230" s="2"/>
      <c r="K230" s="2"/>
      <c r="L230" s="2"/>
      <c r="M230" s="2"/>
      <c r="N230" s="2"/>
      <c r="O230" s="2"/>
      <c r="P230" s="2"/>
    </row>
    <row r="231" spans="1:16" customFormat="1" ht="18.600000000000001" customHeight="1" x14ac:dyDescent="0.2">
      <c r="A231" s="7">
        <f t="shared" si="62"/>
        <v>17</v>
      </c>
      <c r="B231" s="3"/>
      <c r="C231" s="4"/>
      <c r="D231" s="8"/>
      <c r="E231" s="4"/>
      <c r="F231" s="4"/>
      <c r="G231" s="4"/>
      <c r="H231" s="4"/>
      <c r="I231" s="85"/>
      <c r="J231" s="4"/>
      <c r="K231" s="4"/>
      <c r="L231" s="4"/>
      <c r="M231" s="4"/>
      <c r="N231" s="4"/>
      <c r="O231" s="4"/>
      <c r="P231" s="4"/>
    </row>
    <row r="232" spans="1:16" customFormat="1" ht="18.600000000000001" customHeight="1" x14ac:dyDescent="0.2">
      <c r="A232" s="7">
        <f t="shared" si="62"/>
        <v>18</v>
      </c>
      <c r="B232" s="3"/>
      <c r="C232" s="4"/>
      <c r="D232" s="8"/>
      <c r="E232" s="4"/>
      <c r="F232" s="4"/>
      <c r="G232" s="4"/>
      <c r="H232" s="4"/>
      <c r="I232" s="85"/>
      <c r="J232" s="4"/>
      <c r="K232" s="4"/>
      <c r="L232" s="4"/>
      <c r="M232" s="4"/>
      <c r="N232" s="4"/>
      <c r="O232" s="4"/>
      <c r="P232" s="4"/>
    </row>
    <row r="233" spans="1:16" customFormat="1" ht="18.600000000000001" customHeight="1" x14ac:dyDescent="0.2">
      <c r="A233" s="7">
        <f t="shared" si="62"/>
        <v>19</v>
      </c>
      <c r="B233" s="3"/>
      <c r="C233" s="4"/>
      <c r="D233" s="8"/>
      <c r="E233" s="4"/>
      <c r="F233" s="4"/>
      <c r="G233" s="4"/>
      <c r="H233" s="4"/>
      <c r="I233" s="85"/>
      <c r="J233" s="4"/>
      <c r="K233" s="4"/>
      <c r="L233" s="4"/>
      <c r="M233" s="4"/>
      <c r="N233" s="4"/>
      <c r="O233" s="4"/>
      <c r="P233" s="4"/>
    </row>
    <row r="234" spans="1:16" customFormat="1" ht="18.600000000000001" customHeight="1" x14ac:dyDescent="0.2">
      <c r="A234" s="10">
        <f t="shared" si="62"/>
        <v>20</v>
      </c>
      <c r="B234" s="11"/>
      <c r="C234" s="12"/>
      <c r="D234" s="9"/>
      <c r="E234" s="12"/>
      <c r="F234" s="12"/>
      <c r="G234" s="12"/>
      <c r="H234" s="12"/>
      <c r="I234" s="86"/>
      <c r="J234" s="12"/>
      <c r="K234" s="12"/>
      <c r="L234" s="12"/>
      <c r="M234" s="12"/>
      <c r="N234" s="12"/>
      <c r="O234" s="12"/>
      <c r="P234" s="12"/>
    </row>
    <row r="235" spans="1:16" customFormat="1" ht="18.600000000000001" customHeight="1" x14ac:dyDescent="0.2">
      <c r="A235" s="35">
        <f t="shared" si="62"/>
        <v>21</v>
      </c>
      <c r="B235" s="13"/>
      <c r="C235" s="14"/>
      <c r="D235" s="37"/>
      <c r="E235" s="14"/>
      <c r="F235" s="14"/>
      <c r="G235" s="14"/>
      <c r="H235" s="14"/>
      <c r="I235" s="87"/>
      <c r="J235" s="14"/>
      <c r="K235" s="14"/>
      <c r="L235" s="14"/>
      <c r="M235" s="14"/>
      <c r="N235" s="14"/>
      <c r="O235" s="14"/>
      <c r="P235" s="14"/>
    </row>
    <row r="236" spans="1:16" customFormat="1" ht="18.600000000000001" customHeight="1" x14ac:dyDescent="0.2">
      <c r="A236" s="7">
        <f t="shared" si="62"/>
        <v>22</v>
      </c>
      <c r="B236" s="3"/>
      <c r="C236" s="4"/>
      <c r="D236" s="8"/>
      <c r="E236" s="4"/>
      <c r="F236" s="4"/>
      <c r="G236" s="4"/>
      <c r="H236" s="4"/>
      <c r="I236" s="85"/>
      <c r="J236" s="4"/>
      <c r="K236" s="4"/>
      <c r="L236" s="4"/>
      <c r="M236" s="4"/>
      <c r="N236" s="4"/>
      <c r="O236" s="4"/>
      <c r="P236" s="4"/>
    </row>
    <row r="237" spans="1:16" customFormat="1" ht="18.600000000000001" customHeight="1" x14ac:dyDescent="0.2">
      <c r="A237" s="35">
        <f t="shared" si="62"/>
        <v>23</v>
      </c>
      <c r="B237" s="3"/>
      <c r="C237" s="4"/>
      <c r="D237" s="8"/>
      <c r="E237" s="4"/>
      <c r="F237" s="4"/>
      <c r="G237" s="4"/>
      <c r="H237" s="4"/>
      <c r="I237" s="85"/>
      <c r="J237" s="4"/>
      <c r="K237" s="4"/>
      <c r="L237" s="4"/>
      <c r="M237" s="4"/>
      <c r="N237" s="4"/>
      <c r="O237" s="4"/>
      <c r="P237" s="4"/>
    </row>
    <row r="238" spans="1:16" customFormat="1" ht="18.600000000000001" customHeight="1" x14ac:dyDescent="0.2">
      <c r="A238" s="7">
        <f t="shared" si="62"/>
        <v>24</v>
      </c>
      <c r="B238" s="3"/>
      <c r="C238" s="4"/>
      <c r="D238" s="8"/>
      <c r="E238" s="4"/>
      <c r="F238" s="4"/>
      <c r="G238" s="4"/>
      <c r="H238" s="4"/>
      <c r="I238" s="85"/>
      <c r="J238" s="4"/>
      <c r="K238" s="4"/>
      <c r="L238" s="4"/>
      <c r="M238" s="4"/>
      <c r="N238" s="4"/>
      <c r="O238" s="4"/>
      <c r="P238" s="4"/>
    </row>
    <row r="239" spans="1:16" customFormat="1" ht="18.600000000000001" customHeight="1" x14ac:dyDescent="0.2">
      <c r="A239" s="35">
        <f t="shared" si="62"/>
        <v>25</v>
      </c>
      <c r="B239" s="11"/>
      <c r="C239" s="12"/>
      <c r="D239" s="9"/>
      <c r="E239" s="12"/>
      <c r="F239" s="12"/>
      <c r="G239" s="12"/>
      <c r="H239" s="12"/>
      <c r="I239" s="86"/>
      <c r="J239" s="12"/>
      <c r="K239" s="12"/>
      <c r="L239" s="12"/>
      <c r="M239" s="12"/>
      <c r="N239" s="12"/>
      <c r="O239" s="12"/>
      <c r="P239" s="12"/>
    </row>
    <row r="240" spans="1:16" customFormat="1" ht="18.600000000000001" customHeight="1" x14ac:dyDescent="0.3">
      <c r="A240" s="147"/>
      <c r="B240" s="148"/>
      <c r="C240" s="147"/>
      <c r="D240" s="149"/>
      <c r="E240" s="150">
        <f>SUBTOTAL(9,E215:E239)</f>
        <v>0</v>
      </c>
      <c r="F240" s="152"/>
      <c r="G240" s="150">
        <f t="shared" ref="G240" si="63">SUBTOTAL(9,G215:G239)</f>
        <v>0</v>
      </c>
      <c r="H240" s="152"/>
      <c r="I240" s="150">
        <f t="shared" ref="I240" si="64">SUBTOTAL(9,I215:I239)</f>
        <v>0</v>
      </c>
      <c r="J240" s="152"/>
      <c r="K240" s="152"/>
      <c r="L240" s="152"/>
      <c r="M240" s="150">
        <f t="shared" ref="M240" si="65">SUBTOTAL(9,M215:M239)</f>
        <v>0</v>
      </c>
      <c r="N240" s="152"/>
      <c r="O240" s="150">
        <f t="shared" ref="O240" si="66">SUBTOTAL(9,O215:O239)</f>
        <v>0</v>
      </c>
      <c r="P240" s="152"/>
    </row>
    <row r="241" spans="1:16" customFormat="1" ht="18.600000000000001" customHeight="1" x14ac:dyDescent="0.2">
      <c r="A241" s="434" t="str">
        <f>A211</f>
        <v>DANH SÁCH LỚP TOÁN</v>
      </c>
      <c r="B241" s="434"/>
      <c r="C241" s="434"/>
      <c r="D241" s="434"/>
      <c r="E241" s="434"/>
      <c r="F241" s="434"/>
      <c r="G241" s="434"/>
      <c r="H241" s="434"/>
      <c r="I241" s="92" t="s">
        <v>1032</v>
      </c>
      <c r="J241" s="48"/>
      <c r="K241" s="48"/>
      <c r="L241" s="48"/>
      <c r="M241" s="41"/>
      <c r="N241" s="41"/>
      <c r="O241" s="41"/>
      <c r="P241" s="41"/>
    </row>
    <row r="242" spans="1:16" customFormat="1" ht="18.600000000000001" customHeight="1" x14ac:dyDescent="0.2">
      <c r="A242" s="28"/>
      <c r="B242" s="29"/>
      <c r="C242" s="30"/>
      <c r="D242" s="36"/>
      <c r="E242" s="28"/>
      <c r="F242" s="28"/>
      <c r="G242" s="28"/>
      <c r="H242" s="28"/>
      <c r="I242" s="79"/>
      <c r="J242" s="28"/>
      <c r="K242" s="28"/>
      <c r="L242" s="28"/>
      <c r="M242" s="28"/>
      <c r="N242" s="28"/>
      <c r="O242" s="28"/>
      <c r="P242" s="28"/>
    </row>
    <row r="243" spans="1:16" customFormat="1" ht="18.600000000000001" customHeight="1" x14ac:dyDescent="0.2">
      <c r="A243" s="435" t="s">
        <v>374</v>
      </c>
      <c r="B243" s="435" t="s">
        <v>380</v>
      </c>
      <c r="C243" s="435" t="s">
        <v>383</v>
      </c>
      <c r="D243" s="437" t="s">
        <v>384</v>
      </c>
      <c r="E243" s="438" t="s">
        <v>385</v>
      </c>
      <c r="F243" s="439"/>
      <c r="G243" s="432" t="str">
        <f>$R$1</f>
        <v>Đợt 6</v>
      </c>
      <c r="H243" s="433"/>
      <c r="I243" s="432" t="str">
        <f>$T$1</f>
        <v>Đợt 7</v>
      </c>
      <c r="J243" s="433"/>
      <c r="K243" s="432" t="str">
        <f>$V$1</f>
        <v>Đợt 8</v>
      </c>
      <c r="L243" s="433"/>
      <c r="M243" s="432" t="str">
        <f>$X$1</f>
        <v>Đợt 9</v>
      </c>
      <c r="N243" s="433"/>
      <c r="O243" s="432" t="str">
        <f>$Z$1</f>
        <v>Đợt 10</v>
      </c>
      <c r="P243" s="433"/>
    </row>
    <row r="244" spans="1:16" customFormat="1" ht="18.600000000000001" customHeight="1" x14ac:dyDescent="0.2">
      <c r="A244" s="436"/>
      <c r="B244" s="436"/>
      <c r="C244" s="436"/>
      <c r="D244" s="436"/>
      <c r="E244" s="31" t="s">
        <v>381</v>
      </c>
      <c r="F244" s="31" t="s">
        <v>382</v>
      </c>
      <c r="G244" s="31" t="s">
        <v>381</v>
      </c>
      <c r="H244" s="31" t="s">
        <v>382</v>
      </c>
      <c r="I244" s="80" t="s">
        <v>381</v>
      </c>
      <c r="J244" s="31" t="s">
        <v>382</v>
      </c>
      <c r="K244" s="80" t="s">
        <v>381</v>
      </c>
      <c r="L244" s="31" t="s">
        <v>382</v>
      </c>
      <c r="M244" s="31" t="s">
        <v>381</v>
      </c>
      <c r="N244" s="31" t="s">
        <v>382</v>
      </c>
      <c r="O244" s="31" t="s">
        <v>381</v>
      </c>
      <c r="P244" s="31" t="s">
        <v>382</v>
      </c>
    </row>
    <row r="245" spans="1:16" customFormat="1" ht="18.600000000000001" customHeight="1" x14ac:dyDescent="0.2">
      <c r="A245" s="32">
        <v>1</v>
      </c>
      <c r="B245" s="24" t="s">
        <v>195</v>
      </c>
      <c r="C245" s="24" t="s">
        <v>12</v>
      </c>
      <c r="D245" s="163"/>
      <c r="E245" s="32"/>
      <c r="F245" s="34"/>
      <c r="G245" s="32"/>
      <c r="H245" s="93"/>
      <c r="I245" s="81"/>
      <c r="J245" s="34"/>
      <c r="K245" s="34"/>
      <c r="L245" s="34"/>
      <c r="M245" s="32"/>
      <c r="N245" s="34"/>
      <c r="O245" s="32"/>
      <c r="P245" s="34"/>
    </row>
    <row r="246" spans="1:16" customFormat="1" ht="18.600000000000001" customHeight="1" x14ac:dyDescent="0.2">
      <c r="A246" s="7">
        <f t="shared" ref="A246:A269" si="67">A245+1</f>
        <v>2</v>
      </c>
      <c r="B246" s="24" t="s">
        <v>484</v>
      </c>
      <c r="C246" s="24" t="s">
        <v>48</v>
      </c>
      <c r="D246" s="163"/>
      <c r="E246" s="7"/>
      <c r="F246" s="7"/>
      <c r="G246" s="7"/>
      <c r="H246" s="7"/>
      <c r="I246" s="82"/>
      <c r="J246" s="7"/>
      <c r="K246" s="7"/>
      <c r="L246" s="7"/>
      <c r="M246" s="7"/>
      <c r="N246" s="7"/>
      <c r="O246" s="7"/>
      <c r="P246" s="7"/>
    </row>
    <row r="247" spans="1:16" customFormat="1" ht="18.600000000000001" customHeight="1" x14ac:dyDescent="0.2">
      <c r="A247" s="7">
        <f t="shared" si="67"/>
        <v>3</v>
      </c>
      <c r="B247" s="24" t="s">
        <v>187</v>
      </c>
      <c r="C247" s="24" t="s">
        <v>44</v>
      </c>
      <c r="D247" s="163"/>
      <c r="E247" s="7"/>
      <c r="F247" s="7"/>
      <c r="G247" s="7"/>
      <c r="H247" s="7"/>
      <c r="I247" s="82"/>
      <c r="J247" s="7"/>
      <c r="K247" s="7"/>
      <c r="L247" s="7"/>
      <c r="M247" s="7"/>
      <c r="N247" s="7"/>
      <c r="O247" s="7"/>
      <c r="P247" s="7"/>
    </row>
    <row r="248" spans="1:16" customFormat="1" ht="18.600000000000001" customHeight="1" x14ac:dyDescent="0.2">
      <c r="A248" s="7">
        <f t="shared" si="67"/>
        <v>4</v>
      </c>
      <c r="B248" s="24" t="s">
        <v>215</v>
      </c>
      <c r="C248" s="24" t="s">
        <v>24</v>
      </c>
      <c r="D248" s="163"/>
      <c r="E248" s="7"/>
      <c r="F248" s="7"/>
      <c r="G248" s="7"/>
      <c r="H248" s="7"/>
      <c r="I248" s="82"/>
      <c r="J248" s="7"/>
      <c r="K248" s="7"/>
      <c r="L248" s="7"/>
      <c r="M248" s="7"/>
      <c r="N248" s="7"/>
      <c r="O248" s="7"/>
      <c r="P248" s="7"/>
    </row>
    <row r="249" spans="1:16" customFormat="1" ht="18.600000000000001" customHeight="1" x14ac:dyDescent="0.2">
      <c r="A249" s="6">
        <f t="shared" si="67"/>
        <v>5</v>
      </c>
      <c r="B249" s="24" t="s">
        <v>193</v>
      </c>
      <c r="C249" s="24" t="s">
        <v>34</v>
      </c>
      <c r="D249" s="24"/>
      <c r="E249" s="16"/>
      <c r="F249" s="16"/>
      <c r="G249" s="16"/>
      <c r="H249" s="16"/>
      <c r="I249" s="83"/>
      <c r="J249" s="16"/>
      <c r="K249" s="16"/>
      <c r="L249" s="16"/>
      <c r="M249" s="16"/>
      <c r="N249" s="16"/>
      <c r="O249" s="16"/>
      <c r="P249" s="16"/>
    </row>
    <row r="250" spans="1:16" customFormat="1" ht="18.600000000000001" customHeight="1" x14ac:dyDescent="0.2">
      <c r="A250" s="56">
        <f t="shared" si="67"/>
        <v>6</v>
      </c>
      <c r="B250" s="24" t="s">
        <v>444</v>
      </c>
      <c r="C250" s="24" t="s">
        <v>19</v>
      </c>
      <c r="D250" s="163"/>
      <c r="E250" s="2"/>
      <c r="F250" s="2"/>
      <c r="G250" s="2"/>
      <c r="H250" s="2"/>
      <c r="I250" s="84"/>
      <c r="J250" s="2"/>
      <c r="K250" s="2"/>
      <c r="L250" s="2"/>
      <c r="M250" s="2"/>
      <c r="N250" s="2"/>
      <c r="O250" s="2"/>
      <c r="P250" s="2"/>
    </row>
    <row r="251" spans="1:16" customFormat="1" ht="18.600000000000001" customHeight="1" x14ac:dyDescent="0.2">
      <c r="A251" s="6">
        <f t="shared" si="67"/>
        <v>7</v>
      </c>
      <c r="B251" s="26" t="s">
        <v>291</v>
      </c>
      <c r="C251" s="26" t="s">
        <v>91</v>
      </c>
      <c r="D251" s="26"/>
      <c r="E251" s="4"/>
      <c r="F251" s="4"/>
      <c r="G251" s="4"/>
      <c r="H251" s="4"/>
      <c r="I251" s="85"/>
      <c r="J251" s="4"/>
      <c r="K251" s="4"/>
      <c r="L251" s="4"/>
      <c r="M251" s="4"/>
      <c r="N251" s="4"/>
      <c r="O251" s="4"/>
      <c r="P251" s="4"/>
    </row>
    <row r="252" spans="1:16" customFormat="1" ht="18.600000000000001" customHeight="1" x14ac:dyDescent="0.2">
      <c r="A252" s="6">
        <f t="shared" si="67"/>
        <v>8</v>
      </c>
      <c r="B252" s="25" t="s">
        <v>194</v>
      </c>
      <c r="C252" s="25" t="s">
        <v>51</v>
      </c>
      <c r="D252" s="163"/>
      <c r="E252" s="4"/>
      <c r="F252" s="4"/>
      <c r="G252" s="4"/>
      <c r="H252" s="4"/>
      <c r="I252" s="85"/>
      <c r="J252" s="4"/>
      <c r="K252" s="4"/>
      <c r="L252" s="4"/>
      <c r="M252" s="4"/>
      <c r="N252" s="4"/>
      <c r="O252" s="4"/>
      <c r="P252" s="4"/>
    </row>
    <row r="253" spans="1:16" customFormat="1" ht="18.600000000000001" customHeight="1" x14ac:dyDescent="0.2">
      <c r="A253" s="6">
        <f t="shared" si="67"/>
        <v>9</v>
      </c>
      <c r="B253" s="26" t="s">
        <v>416</v>
      </c>
      <c r="C253" s="26" t="s">
        <v>80</v>
      </c>
      <c r="D253" s="26"/>
      <c r="E253" s="4"/>
      <c r="F253" s="4"/>
      <c r="G253" s="4"/>
      <c r="H253" s="4"/>
      <c r="I253" s="85"/>
      <c r="J253" s="4"/>
      <c r="K253" s="4"/>
      <c r="L253" s="4"/>
      <c r="M253" s="4"/>
      <c r="N253" s="4"/>
      <c r="O253" s="4"/>
      <c r="P253" s="4"/>
    </row>
    <row r="254" spans="1:16" customFormat="1" ht="18.600000000000001" customHeight="1" x14ac:dyDescent="0.2">
      <c r="A254" s="10">
        <f t="shared" si="67"/>
        <v>10</v>
      </c>
      <c r="B254" s="26" t="s">
        <v>171</v>
      </c>
      <c r="C254" s="26" t="s">
        <v>80</v>
      </c>
      <c r="D254" s="26"/>
      <c r="E254" s="12"/>
      <c r="F254" s="12"/>
      <c r="G254" s="12"/>
      <c r="H254" s="12"/>
      <c r="I254" s="86"/>
      <c r="J254" s="12"/>
      <c r="K254" s="12"/>
      <c r="L254" s="12"/>
      <c r="M254" s="12"/>
      <c r="N254" s="12"/>
      <c r="O254" s="12"/>
      <c r="P254" s="12"/>
    </row>
    <row r="255" spans="1:16" customFormat="1" ht="18.600000000000001" customHeight="1" x14ac:dyDescent="0.2">
      <c r="A255" s="35">
        <f t="shared" si="67"/>
        <v>11</v>
      </c>
      <c r="B255" s="24" t="s">
        <v>514</v>
      </c>
      <c r="C255" s="24" t="s">
        <v>47</v>
      </c>
      <c r="D255" s="163"/>
      <c r="E255" s="14"/>
      <c r="F255" s="14"/>
      <c r="G255" s="14"/>
      <c r="H255" s="14"/>
      <c r="I255" s="87"/>
      <c r="J255" s="14"/>
      <c r="K255" s="14"/>
      <c r="L255" s="14"/>
      <c r="M255" s="14"/>
      <c r="N255" s="14"/>
      <c r="O255" s="14"/>
      <c r="P255" s="14"/>
    </row>
    <row r="256" spans="1:16" customFormat="1" ht="18.600000000000001" customHeight="1" x14ac:dyDescent="0.2">
      <c r="A256" s="7">
        <f t="shared" si="67"/>
        <v>12</v>
      </c>
      <c r="B256" s="24" t="s">
        <v>192</v>
      </c>
      <c r="C256" s="24" t="s">
        <v>50</v>
      </c>
      <c r="D256" s="163"/>
      <c r="E256" s="4"/>
      <c r="F256" s="4"/>
      <c r="G256" s="4"/>
      <c r="H256" s="4"/>
      <c r="I256" s="85"/>
      <c r="J256" s="4"/>
      <c r="K256" s="4"/>
      <c r="L256" s="4"/>
      <c r="M256" s="4"/>
      <c r="N256" s="4"/>
      <c r="O256" s="4"/>
      <c r="P256" s="4"/>
    </row>
    <row r="257" spans="1:16" customFormat="1" ht="18.600000000000001" customHeight="1" x14ac:dyDescent="0.2">
      <c r="A257" s="7">
        <f t="shared" si="67"/>
        <v>13</v>
      </c>
      <c r="B257" s="25" t="s">
        <v>1120</v>
      </c>
      <c r="C257" s="25" t="s">
        <v>659</v>
      </c>
      <c r="D257" s="163"/>
      <c r="E257" s="4"/>
      <c r="F257" s="4"/>
      <c r="G257" s="4"/>
      <c r="H257" s="4"/>
      <c r="I257" s="85"/>
      <c r="J257" s="4"/>
      <c r="K257" s="4"/>
      <c r="L257" s="4"/>
      <c r="M257" s="4"/>
      <c r="N257" s="4"/>
      <c r="O257" s="4"/>
      <c r="P257" s="4"/>
    </row>
    <row r="258" spans="1:16" customFormat="1" ht="18.600000000000001" customHeight="1" x14ac:dyDescent="0.2">
      <c r="A258" s="7">
        <f t="shared" si="67"/>
        <v>14</v>
      </c>
      <c r="B258" s="3"/>
      <c r="C258" s="4"/>
      <c r="D258" s="8"/>
      <c r="E258" s="4"/>
      <c r="F258" s="4"/>
      <c r="G258" s="4"/>
      <c r="H258" s="4"/>
      <c r="I258" s="85"/>
      <c r="J258" s="4"/>
      <c r="K258" s="4"/>
      <c r="L258" s="4"/>
      <c r="M258" s="4"/>
      <c r="N258" s="4"/>
      <c r="O258" s="4"/>
      <c r="P258" s="4"/>
    </row>
    <row r="259" spans="1:16" customFormat="1" ht="18.600000000000001" customHeight="1" x14ac:dyDescent="0.2">
      <c r="A259" s="6">
        <f t="shared" si="67"/>
        <v>15</v>
      </c>
      <c r="B259" s="15"/>
      <c r="C259" s="16"/>
      <c r="D259" s="5"/>
      <c r="E259" s="16"/>
      <c r="F259" s="16"/>
      <c r="G259" s="16"/>
      <c r="H259" s="16"/>
      <c r="I259" s="83"/>
      <c r="J259" s="16"/>
      <c r="K259" s="16"/>
      <c r="L259" s="16"/>
      <c r="M259" s="16"/>
      <c r="N259" s="16"/>
      <c r="O259" s="16"/>
      <c r="P259" s="16"/>
    </row>
    <row r="260" spans="1:16" customFormat="1" ht="18.600000000000001" customHeight="1" x14ac:dyDescent="0.2">
      <c r="A260" s="32">
        <f t="shared" si="67"/>
        <v>16</v>
      </c>
      <c r="B260" s="1"/>
      <c r="C260" s="2"/>
      <c r="D260" s="33"/>
      <c r="E260" s="2"/>
      <c r="F260" s="2"/>
      <c r="G260" s="2"/>
      <c r="H260" s="2"/>
      <c r="I260" s="84"/>
      <c r="J260" s="2"/>
      <c r="K260" s="2"/>
      <c r="L260" s="2"/>
      <c r="M260" s="2"/>
      <c r="N260" s="2"/>
      <c r="O260" s="2"/>
      <c r="P260" s="2"/>
    </row>
    <row r="261" spans="1:16" customFormat="1" ht="18.600000000000001" customHeight="1" x14ac:dyDescent="0.2">
      <c r="A261" s="7">
        <f t="shared" si="67"/>
        <v>17</v>
      </c>
      <c r="B261" s="3"/>
      <c r="C261" s="4"/>
      <c r="D261" s="8"/>
      <c r="E261" s="4"/>
      <c r="F261" s="4"/>
      <c r="G261" s="4"/>
      <c r="H261" s="4"/>
      <c r="I261" s="85"/>
      <c r="J261" s="4"/>
      <c r="K261" s="4"/>
      <c r="L261" s="4"/>
      <c r="M261" s="4"/>
      <c r="N261" s="4"/>
      <c r="O261" s="4"/>
      <c r="P261" s="4"/>
    </row>
    <row r="262" spans="1:16" customFormat="1" ht="18.600000000000001" customHeight="1" x14ac:dyDescent="0.2">
      <c r="A262" s="7">
        <f t="shared" si="67"/>
        <v>18</v>
      </c>
      <c r="B262" s="3"/>
      <c r="C262" s="4"/>
      <c r="D262" s="8"/>
      <c r="E262" s="4"/>
      <c r="F262" s="4"/>
      <c r="G262" s="4"/>
      <c r="H262" s="4"/>
      <c r="I262" s="85"/>
      <c r="J262" s="4"/>
      <c r="K262" s="4"/>
      <c r="L262" s="4"/>
      <c r="M262" s="4"/>
      <c r="N262" s="4"/>
      <c r="O262" s="4"/>
      <c r="P262" s="4"/>
    </row>
    <row r="263" spans="1:16" customFormat="1" ht="18.600000000000001" customHeight="1" x14ac:dyDescent="0.2">
      <c r="A263" s="7">
        <f t="shared" si="67"/>
        <v>19</v>
      </c>
      <c r="B263" s="3"/>
      <c r="C263" s="4"/>
      <c r="D263" s="8"/>
      <c r="E263" s="4"/>
      <c r="F263" s="4"/>
      <c r="G263" s="4"/>
      <c r="H263" s="4"/>
      <c r="I263" s="85"/>
      <c r="J263" s="4"/>
      <c r="K263" s="4"/>
      <c r="L263" s="4"/>
      <c r="M263" s="4"/>
      <c r="N263" s="4"/>
      <c r="O263" s="4"/>
      <c r="P263" s="4"/>
    </row>
    <row r="264" spans="1:16" customFormat="1" ht="18.600000000000001" customHeight="1" x14ac:dyDescent="0.2">
      <c r="A264" s="10">
        <f t="shared" si="67"/>
        <v>20</v>
      </c>
      <c r="B264" s="11"/>
      <c r="C264" s="12"/>
      <c r="D264" s="9"/>
      <c r="E264" s="12"/>
      <c r="F264" s="12"/>
      <c r="G264" s="12"/>
      <c r="H264" s="12"/>
      <c r="I264" s="86"/>
      <c r="J264" s="12"/>
      <c r="K264" s="12"/>
      <c r="L264" s="12"/>
      <c r="M264" s="12"/>
      <c r="N264" s="12"/>
      <c r="O264" s="12"/>
      <c r="P264" s="12"/>
    </row>
    <row r="265" spans="1:16" customFormat="1" ht="18.600000000000001" customHeight="1" x14ac:dyDescent="0.2">
      <c r="A265" s="35">
        <f t="shared" si="67"/>
        <v>21</v>
      </c>
      <c r="B265" s="13"/>
      <c r="C265" s="14"/>
      <c r="D265" s="37"/>
      <c r="E265" s="14"/>
      <c r="F265" s="14"/>
      <c r="G265" s="14"/>
      <c r="H265" s="14"/>
      <c r="I265" s="87"/>
      <c r="J265" s="14"/>
      <c r="K265" s="14"/>
      <c r="L265" s="14"/>
      <c r="M265" s="14"/>
      <c r="N265" s="14"/>
      <c r="O265" s="14"/>
      <c r="P265" s="14"/>
    </row>
    <row r="266" spans="1:16" customFormat="1" ht="18.600000000000001" customHeight="1" x14ac:dyDescent="0.2">
      <c r="A266" s="7">
        <f t="shared" si="67"/>
        <v>22</v>
      </c>
      <c r="B266" s="3"/>
      <c r="C266" s="4"/>
      <c r="D266" s="8"/>
      <c r="E266" s="4"/>
      <c r="F266" s="4"/>
      <c r="G266" s="4"/>
      <c r="H266" s="4"/>
      <c r="I266" s="85"/>
      <c r="J266" s="4"/>
      <c r="K266" s="4"/>
      <c r="L266" s="4"/>
      <c r="M266" s="4"/>
      <c r="N266" s="4"/>
      <c r="O266" s="4"/>
      <c r="P266" s="4"/>
    </row>
    <row r="267" spans="1:16" customFormat="1" ht="18.600000000000001" customHeight="1" x14ac:dyDescent="0.2">
      <c r="A267" s="35">
        <f t="shared" si="67"/>
        <v>23</v>
      </c>
      <c r="B267" s="3"/>
      <c r="C267" s="4"/>
      <c r="D267" s="8"/>
      <c r="E267" s="4"/>
      <c r="F267" s="4"/>
      <c r="G267" s="4"/>
      <c r="H267" s="4"/>
      <c r="I267" s="85"/>
      <c r="J267" s="4"/>
      <c r="K267" s="4"/>
      <c r="L267" s="4"/>
      <c r="M267" s="4"/>
      <c r="N267" s="4"/>
      <c r="O267" s="4"/>
      <c r="P267" s="4"/>
    </row>
    <row r="268" spans="1:16" customFormat="1" ht="18.600000000000001" customHeight="1" x14ac:dyDescent="0.2">
      <c r="A268" s="7">
        <f t="shared" si="67"/>
        <v>24</v>
      </c>
      <c r="B268" s="3"/>
      <c r="C268" s="4"/>
      <c r="D268" s="8"/>
      <c r="E268" s="4"/>
      <c r="F268" s="4"/>
      <c r="G268" s="4"/>
      <c r="H268" s="4"/>
      <c r="I268" s="85"/>
      <c r="J268" s="4"/>
      <c r="K268" s="4"/>
      <c r="L268" s="4"/>
      <c r="M268" s="4"/>
      <c r="N268" s="4"/>
      <c r="O268" s="4"/>
      <c r="P268" s="4"/>
    </row>
    <row r="269" spans="1:16" customFormat="1" ht="18.600000000000001" customHeight="1" x14ac:dyDescent="0.2">
      <c r="A269" s="35">
        <f t="shared" si="67"/>
        <v>25</v>
      </c>
      <c r="B269" s="11"/>
      <c r="C269" s="12"/>
      <c r="D269" s="9"/>
      <c r="E269" s="12"/>
      <c r="F269" s="12"/>
      <c r="G269" s="12"/>
      <c r="H269" s="12"/>
      <c r="I269" s="86"/>
      <c r="J269" s="12"/>
      <c r="K269" s="12"/>
      <c r="L269" s="12"/>
      <c r="M269" s="12"/>
      <c r="N269" s="12"/>
      <c r="O269" s="12"/>
      <c r="P269" s="12"/>
    </row>
    <row r="270" spans="1:16" customFormat="1" ht="18.600000000000001" customHeight="1" x14ac:dyDescent="0.3">
      <c r="A270" s="147"/>
      <c r="B270" s="148"/>
      <c r="C270" s="147"/>
      <c r="D270" s="149"/>
      <c r="E270" s="150">
        <f>SUBTOTAL(9,E245:E269)</f>
        <v>0</v>
      </c>
      <c r="F270" s="152"/>
      <c r="G270" s="150">
        <f t="shared" ref="G270" si="68">SUBTOTAL(9,G245:G269)</f>
        <v>0</v>
      </c>
      <c r="H270" s="152"/>
      <c r="I270" s="150">
        <f t="shared" ref="I270" si="69">SUBTOTAL(9,I245:I269)</f>
        <v>0</v>
      </c>
      <c r="J270" s="152"/>
      <c r="K270" s="152"/>
      <c r="L270" s="152"/>
      <c r="M270" s="150">
        <f t="shared" ref="M270" si="70">SUBTOTAL(9,M245:M269)</f>
        <v>0</v>
      </c>
      <c r="N270" s="152"/>
      <c r="O270" s="150">
        <f t="shared" ref="O270" si="71">SUBTOTAL(9,O245:O269)</f>
        <v>0</v>
      </c>
      <c r="P270" s="152"/>
    </row>
    <row r="271" spans="1:16" customFormat="1" ht="18.600000000000001" customHeight="1" x14ac:dyDescent="0.2">
      <c r="A271" s="434" t="str">
        <f>A241</f>
        <v>DANH SÁCH LỚP TOÁN</v>
      </c>
      <c r="B271" s="434"/>
      <c r="C271" s="434"/>
      <c r="D271" s="434"/>
      <c r="E271" s="434"/>
      <c r="F271" s="434"/>
      <c r="G271" s="434"/>
      <c r="H271" s="434"/>
      <c r="I271" s="92" t="s">
        <v>1033</v>
      </c>
      <c r="J271" s="48"/>
      <c r="K271" s="48"/>
      <c r="L271" s="48"/>
      <c r="M271" s="41"/>
      <c r="N271" s="41"/>
      <c r="O271" s="41"/>
      <c r="P271" s="41"/>
    </row>
    <row r="272" spans="1:16" customFormat="1" ht="18.600000000000001" customHeight="1" x14ac:dyDescent="0.2">
      <c r="A272" s="28"/>
      <c r="B272" s="29"/>
      <c r="C272" s="30"/>
      <c r="D272" s="36"/>
      <c r="E272" s="28"/>
      <c r="F272" s="28"/>
      <c r="G272" s="28"/>
      <c r="H272" s="28"/>
      <c r="I272" s="79"/>
      <c r="J272" s="28"/>
      <c r="K272" s="28"/>
      <c r="L272" s="28"/>
      <c r="M272" s="28"/>
      <c r="N272" s="28"/>
      <c r="O272" s="28"/>
      <c r="P272" s="28"/>
    </row>
    <row r="273" spans="1:16" customFormat="1" ht="18.600000000000001" customHeight="1" x14ac:dyDescent="0.2">
      <c r="A273" s="435" t="s">
        <v>374</v>
      </c>
      <c r="B273" s="435" t="s">
        <v>380</v>
      </c>
      <c r="C273" s="435" t="s">
        <v>383</v>
      </c>
      <c r="D273" s="437" t="s">
        <v>384</v>
      </c>
      <c r="E273" s="438" t="s">
        <v>385</v>
      </c>
      <c r="F273" s="439"/>
      <c r="G273" s="432" t="str">
        <f>$R$1</f>
        <v>Đợt 6</v>
      </c>
      <c r="H273" s="433"/>
      <c r="I273" s="432" t="str">
        <f>$T$1</f>
        <v>Đợt 7</v>
      </c>
      <c r="J273" s="433"/>
      <c r="K273" s="432" t="str">
        <f>$V$1</f>
        <v>Đợt 8</v>
      </c>
      <c r="L273" s="433"/>
      <c r="M273" s="432" t="str">
        <f>$X$1</f>
        <v>Đợt 9</v>
      </c>
      <c r="N273" s="433"/>
      <c r="O273" s="432" t="str">
        <f>$Z$1</f>
        <v>Đợt 10</v>
      </c>
      <c r="P273" s="433"/>
    </row>
    <row r="274" spans="1:16" customFormat="1" ht="18.600000000000001" customHeight="1" x14ac:dyDescent="0.2">
      <c r="A274" s="436"/>
      <c r="B274" s="436"/>
      <c r="C274" s="436"/>
      <c r="D274" s="436"/>
      <c r="E274" s="31" t="s">
        <v>381</v>
      </c>
      <c r="F274" s="31" t="s">
        <v>382</v>
      </c>
      <c r="G274" s="31" t="s">
        <v>381</v>
      </c>
      <c r="H274" s="31" t="s">
        <v>382</v>
      </c>
      <c r="I274" s="80" t="s">
        <v>381</v>
      </c>
      <c r="J274" s="31" t="s">
        <v>382</v>
      </c>
      <c r="K274" s="80" t="s">
        <v>381</v>
      </c>
      <c r="L274" s="31" t="s">
        <v>382</v>
      </c>
      <c r="M274" s="31" t="s">
        <v>381</v>
      </c>
      <c r="N274" s="31" t="s">
        <v>382</v>
      </c>
      <c r="O274" s="31" t="s">
        <v>381</v>
      </c>
      <c r="P274" s="31" t="s">
        <v>382</v>
      </c>
    </row>
    <row r="275" spans="1:16" customFormat="1" ht="18.600000000000001" customHeight="1" x14ac:dyDescent="0.2">
      <c r="A275" s="32">
        <v>1</v>
      </c>
      <c r="B275" s="25" t="s">
        <v>1123</v>
      </c>
      <c r="C275" s="25" t="s">
        <v>6</v>
      </c>
      <c r="D275" s="163"/>
      <c r="E275" s="32"/>
      <c r="F275" s="34"/>
      <c r="G275" s="32"/>
      <c r="H275" s="93"/>
      <c r="I275" s="81"/>
      <c r="J275" s="34"/>
      <c r="K275" s="34"/>
      <c r="L275" s="34"/>
      <c r="M275" s="32"/>
      <c r="N275" s="34"/>
      <c r="O275" s="32"/>
      <c r="P275" s="34"/>
    </row>
    <row r="276" spans="1:16" customFormat="1" ht="18.600000000000001" customHeight="1" x14ac:dyDescent="0.2">
      <c r="A276" s="7">
        <f t="shared" ref="A276:A299" si="72">A275+1</f>
        <v>2</v>
      </c>
      <c r="B276" s="24" t="s">
        <v>204</v>
      </c>
      <c r="C276" s="24" t="s">
        <v>8</v>
      </c>
      <c r="D276" s="24">
        <v>388540419</v>
      </c>
      <c r="E276" s="7"/>
      <c r="F276" s="7"/>
      <c r="G276" s="7"/>
      <c r="H276" s="7"/>
      <c r="I276" s="82"/>
      <c r="J276" s="7"/>
      <c r="K276" s="7"/>
      <c r="L276" s="7"/>
      <c r="M276" s="7"/>
      <c r="N276" s="7"/>
      <c r="O276" s="7"/>
      <c r="P276" s="7"/>
    </row>
    <row r="277" spans="1:16" customFormat="1" ht="18.600000000000001" customHeight="1" x14ac:dyDescent="0.2">
      <c r="A277" s="7">
        <f t="shared" si="72"/>
        <v>3</v>
      </c>
      <c r="B277" s="25" t="s">
        <v>362</v>
      </c>
      <c r="C277" s="25" t="s">
        <v>53</v>
      </c>
      <c r="D277" s="25"/>
      <c r="E277" s="7"/>
      <c r="F277" s="7"/>
      <c r="G277" s="7"/>
      <c r="H277" s="7"/>
      <c r="I277" s="82"/>
      <c r="J277" s="7"/>
      <c r="K277" s="7"/>
      <c r="L277" s="7"/>
      <c r="M277" s="7"/>
      <c r="N277" s="7"/>
      <c r="O277" s="7"/>
      <c r="P277" s="7"/>
    </row>
    <row r="278" spans="1:16" customFormat="1" ht="18.600000000000001" customHeight="1" x14ac:dyDescent="0.2">
      <c r="A278" s="7">
        <f t="shared" si="72"/>
        <v>4</v>
      </c>
      <c r="B278" s="26" t="s">
        <v>420</v>
      </c>
      <c r="C278" s="26" t="s">
        <v>29</v>
      </c>
      <c r="D278" s="26"/>
      <c r="E278" s="7"/>
      <c r="F278" s="7"/>
      <c r="G278" s="7"/>
      <c r="H278" s="7"/>
      <c r="I278" s="82"/>
      <c r="J278" s="7"/>
      <c r="K278" s="7"/>
      <c r="L278" s="7"/>
      <c r="M278" s="7"/>
      <c r="N278" s="7"/>
      <c r="O278" s="7"/>
      <c r="P278" s="7"/>
    </row>
    <row r="279" spans="1:16" customFormat="1" ht="18.600000000000001" customHeight="1" x14ac:dyDescent="0.2">
      <c r="A279" s="6">
        <f t="shared" si="72"/>
        <v>5</v>
      </c>
      <c r="B279" s="25" t="s">
        <v>217</v>
      </c>
      <c r="C279" s="25" t="s">
        <v>67</v>
      </c>
      <c r="D279" s="25"/>
      <c r="E279" s="16"/>
      <c r="F279" s="16"/>
      <c r="G279" s="16"/>
      <c r="H279" s="16"/>
      <c r="I279" s="83"/>
      <c r="J279" s="16"/>
      <c r="K279" s="16"/>
      <c r="L279" s="16"/>
      <c r="M279" s="16"/>
      <c r="N279" s="16"/>
      <c r="O279" s="16"/>
      <c r="P279" s="16"/>
    </row>
    <row r="280" spans="1:16" customFormat="1" ht="18.600000000000001" customHeight="1" x14ac:dyDescent="0.2">
      <c r="A280" s="56">
        <f t="shared" si="72"/>
        <v>6</v>
      </c>
      <c r="B280" s="24" t="s">
        <v>196</v>
      </c>
      <c r="C280" s="24" t="s">
        <v>34</v>
      </c>
      <c r="D280" s="163"/>
      <c r="E280" s="2"/>
      <c r="F280" s="2"/>
      <c r="G280" s="2"/>
      <c r="H280" s="2"/>
      <c r="I280" s="84"/>
      <c r="J280" s="2"/>
      <c r="K280" s="2"/>
      <c r="L280" s="2"/>
      <c r="M280" s="2"/>
      <c r="N280" s="2"/>
      <c r="O280" s="2"/>
      <c r="P280" s="2"/>
    </row>
    <row r="281" spans="1:16" customFormat="1" ht="18.600000000000001" customHeight="1" x14ac:dyDescent="0.2">
      <c r="A281" s="6">
        <f t="shared" si="72"/>
        <v>7</v>
      </c>
      <c r="B281" s="24" t="s">
        <v>519</v>
      </c>
      <c r="C281" s="24" t="s">
        <v>19</v>
      </c>
      <c r="D281" s="163">
        <v>388883166</v>
      </c>
      <c r="E281" s="4"/>
      <c r="F281" s="4"/>
      <c r="G281" s="4"/>
      <c r="H281" s="4"/>
      <c r="I281" s="85"/>
      <c r="J281" s="4"/>
      <c r="K281" s="4"/>
      <c r="L281" s="4"/>
      <c r="M281" s="4"/>
      <c r="N281" s="4"/>
      <c r="O281" s="4"/>
      <c r="P281" s="4"/>
    </row>
    <row r="282" spans="1:16" customFormat="1" ht="18.600000000000001" customHeight="1" x14ac:dyDescent="0.2">
      <c r="A282" s="6">
        <f t="shared" si="72"/>
        <v>8</v>
      </c>
      <c r="B282" s="24" t="s">
        <v>227</v>
      </c>
      <c r="C282" s="24" t="s">
        <v>46</v>
      </c>
      <c r="D282" s="24"/>
      <c r="E282" s="4"/>
      <c r="F282" s="4"/>
      <c r="G282" s="4"/>
      <c r="H282" s="4"/>
      <c r="I282" s="85"/>
      <c r="J282" s="4"/>
      <c r="K282" s="4"/>
      <c r="L282" s="4"/>
      <c r="M282" s="4"/>
      <c r="N282" s="4"/>
      <c r="O282" s="4"/>
      <c r="P282" s="4"/>
    </row>
    <row r="283" spans="1:16" customFormat="1" ht="18.600000000000001" customHeight="1" x14ac:dyDescent="0.2">
      <c r="A283" s="6">
        <f t="shared" si="72"/>
        <v>9</v>
      </c>
      <c r="B283" s="26" t="s">
        <v>201</v>
      </c>
      <c r="C283" s="26" t="s">
        <v>56</v>
      </c>
      <c r="D283" s="26"/>
      <c r="E283" s="4"/>
      <c r="F283" s="4"/>
      <c r="G283" s="4"/>
      <c r="H283" s="4"/>
      <c r="I283" s="85"/>
      <c r="J283" s="4"/>
      <c r="K283" s="4"/>
      <c r="L283" s="4"/>
      <c r="M283" s="4"/>
      <c r="N283" s="4"/>
      <c r="O283" s="4"/>
      <c r="P283" s="4"/>
    </row>
    <row r="284" spans="1:16" customFormat="1" ht="18.600000000000001" customHeight="1" x14ac:dyDescent="0.2">
      <c r="A284" s="10">
        <f t="shared" si="72"/>
        <v>10</v>
      </c>
      <c r="B284" s="24" t="s">
        <v>293</v>
      </c>
      <c r="C284" s="24" t="s">
        <v>56</v>
      </c>
      <c r="D284" s="163"/>
      <c r="E284" s="12"/>
      <c r="F284" s="12"/>
      <c r="G284" s="12"/>
      <c r="H284" s="12"/>
      <c r="I284" s="86"/>
      <c r="J284" s="12"/>
      <c r="K284" s="12"/>
      <c r="L284" s="12"/>
      <c r="M284" s="12"/>
      <c r="N284" s="12"/>
      <c r="O284" s="12"/>
      <c r="P284" s="12"/>
    </row>
    <row r="285" spans="1:16" customFormat="1" ht="18.600000000000001" customHeight="1" x14ac:dyDescent="0.2">
      <c r="A285" s="35">
        <f t="shared" si="72"/>
        <v>11</v>
      </c>
      <c r="B285" s="24" t="s">
        <v>502</v>
      </c>
      <c r="C285" s="24" t="s">
        <v>45</v>
      </c>
      <c r="D285" s="163">
        <v>362931457</v>
      </c>
      <c r="E285" s="14"/>
      <c r="F285" s="14"/>
      <c r="G285" s="14"/>
      <c r="H285" s="14"/>
      <c r="I285" s="87"/>
      <c r="J285" s="14"/>
      <c r="K285" s="14"/>
      <c r="L285" s="14"/>
      <c r="M285" s="14"/>
      <c r="N285" s="14"/>
      <c r="O285" s="14"/>
      <c r="P285" s="14"/>
    </row>
    <row r="286" spans="1:16" customFormat="1" ht="18.600000000000001" customHeight="1" x14ac:dyDescent="0.2">
      <c r="A286" s="7">
        <f t="shared" si="72"/>
        <v>12</v>
      </c>
      <c r="B286" s="24" t="s">
        <v>1207</v>
      </c>
      <c r="C286" s="24" t="s">
        <v>121</v>
      </c>
      <c r="D286" s="163"/>
      <c r="E286" s="4"/>
      <c r="F286" s="4"/>
      <c r="G286" s="4"/>
      <c r="H286" s="4"/>
      <c r="I286" s="85"/>
      <c r="J286" s="4"/>
      <c r="K286" s="4"/>
      <c r="L286" s="4"/>
      <c r="M286" s="4"/>
      <c r="N286" s="4"/>
      <c r="O286" s="4"/>
      <c r="P286" s="4"/>
    </row>
    <row r="287" spans="1:16" customFormat="1" ht="18.600000000000001" customHeight="1" x14ac:dyDescent="0.2">
      <c r="A287" s="7">
        <f t="shared" si="72"/>
        <v>13</v>
      </c>
      <c r="B287" s="24" t="s">
        <v>185</v>
      </c>
      <c r="C287" s="24" t="s">
        <v>43</v>
      </c>
      <c r="D287" s="163"/>
      <c r="E287" s="4"/>
      <c r="F287" s="4"/>
      <c r="G287" s="4"/>
      <c r="H287" s="4"/>
      <c r="I287" s="85"/>
      <c r="J287" s="4"/>
      <c r="K287" s="4"/>
      <c r="L287" s="4"/>
      <c r="M287" s="4"/>
      <c r="N287" s="4"/>
      <c r="O287" s="4"/>
      <c r="P287" s="4"/>
    </row>
    <row r="288" spans="1:16" customFormat="1" ht="18.600000000000001" customHeight="1" x14ac:dyDescent="0.3">
      <c r="A288" s="7">
        <f t="shared" si="72"/>
        <v>14</v>
      </c>
      <c r="B288" s="143" t="s">
        <v>259</v>
      </c>
      <c r="C288" s="143" t="s">
        <v>27</v>
      </c>
      <c r="D288" s="143">
        <v>795467948</v>
      </c>
      <c r="E288" s="4"/>
      <c r="F288" s="4"/>
      <c r="G288" s="4"/>
      <c r="H288" s="4"/>
      <c r="I288" s="85"/>
      <c r="J288" s="4"/>
      <c r="K288" s="4"/>
      <c r="L288" s="4"/>
      <c r="M288" s="4"/>
      <c r="N288" s="4"/>
      <c r="O288" s="4"/>
      <c r="P288" s="4"/>
    </row>
    <row r="289" spans="1:16" customFormat="1" ht="18.600000000000001" customHeight="1" x14ac:dyDescent="0.2">
      <c r="A289" s="6">
        <f t="shared" si="72"/>
        <v>15</v>
      </c>
      <c r="B289" s="26" t="s">
        <v>521</v>
      </c>
      <c r="C289" s="26" t="s">
        <v>31</v>
      </c>
      <c r="D289" s="163">
        <v>384928256</v>
      </c>
      <c r="E289" s="16"/>
      <c r="F289" s="16"/>
      <c r="G289" s="16"/>
      <c r="H289" s="16"/>
      <c r="I289" s="83"/>
      <c r="J289" s="16"/>
      <c r="K289" s="16"/>
      <c r="L289" s="16"/>
      <c r="M289" s="16"/>
      <c r="N289" s="16"/>
      <c r="O289" s="16"/>
      <c r="P289" s="16"/>
    </row>
    <row r="290" spans="1:16" customFormat="1" ht="18.600000000000001" customHeight="1" x14ac:dyDescent="0.2">
      <c r="A290" s="32">
        <f t="shared" si="72"/>
        <v>16</v>
      </c>
      <c r="B290" s="24" t="s">
        <v>190</v>
      </c>
      <c r="C290" s="24" t="s">
        <v>5</v>
      </c>
      <c r="D290" s="163"/>
      <c r="E290" s="2"/>
      <c r="F290" s="2"/>
      <c r="G290" s="2"/>
      <c r="H290" s="2"/>
      <c r="I290" s="84"/>
      <c r="J290" s="2"/>
      <c r="K290" s="2"/>
      <c r="L290" s="2"/>
      <c r="M290" s="2"/>
      <c r="N290" s="2"/>
      <c r="O290" s="2"/>
      <c r="P290" s="2"/>
    </row>
    <row r="291" spans="1:16" customFormat="1" ht="18.600000000000001" customHeight="1" x14ac:dyDescent="0.2">
      <c r="A291" s="7">
        <f t="shared" si="72"/>
        <v>17</v>
      </c>
      <c r="B291" s="26" t="s">
        <v>638</v>
      </c>
      <c r="C291" s="26" t="s">
        <v>5</v>
      </c>
      <c r="D291" s="163"/>
      <c r="E291" s="4"/>
      <c r="F291" s="4"/>
      <c r="G291" s="4"/>
      <c r="H291" s="4"/>
      <c r="I291" s="85"/>
      <c r="J291" s="4"/>
      <c r="K291" s="4"/>
      <c r="L291" s="4"/>
      <c r="M291" s="4"/>
      <c r="N291" s="4"/>
      <c r="O291" s="4"/>
      <c r="P291" s="4"/>
    </row>
    <row r="292" spans="1:16" customFormat="1" ht="18.600000000000001" customHeight="1" x14ac:dyDescent="0.2">
      <c r="A292" s="7">
        <f t="shared" si="72"/>
        <v>18</v>
      </c>
      <c r="B292" s="24" t="s">
        <v>515</v>
      </c>
      <c r="C292" s="24" t="s">
        <v>85</v>
      </c>
      <c r="D292" s="163"/>
      <c r="E292" s="4"/>
      <c r="F292" s="4"/>
      <c r="G292" s="4"/>
      <c r="H292" s="4"/>
      <c r="I292" s="85"/>
      <c r="J292" s="4"/>
      <c r="K292" s="4"/>
      <c r="L292" s="4"/>
      <c r="M292" s="4"/>
      <c r="N292" s="4"/>
      <c r="O292" s="4"/>
      <c r="P292" s="4"/>
    </row>
    <row r="293" spans="1:16" customFormat="1" ht="18.600000000000001" customHeight="1" x14ac:dyDescent="0.2">
      <c r="A293" s="7">
        <f t="shared" si="72"/>
        <v>19</v>
      </c>
      <c r="B293" s="24" t="s">
        <v>205</v>
      </c>
      <c r="C293" s="24" t="s">
        <v>32</v>
      </c>
      <c r="D293" s="26"/>
      <c r="E293" s="4"/>
      <c r="F293" s="4"/>
      <c r="G293" s="4"/>
      <c r="H293" s="4"/>
      <c r="I293" s="85"/>
      <c r="J293" s="4"/>
      <c r="K293" s="4"/>
      <c r="L293" s="4"/>
      <c r="M293" s="4"/>
      <c r="N293" s="4"/>
      <c r="O293" s="4"/>
      <c r="P293" s="4"/>
    </row>
    <row r="294" spans="1:16" customFormat="1" ht="18.600000000000001" customHeight="1" x14ac:dyDescent="0.2">
      <c r="A294" s="10">
        <f t="shared" si="72"/>
        <v>20</v>
      </c>
      <c r="B294" s="24" t="s">
        <v>669</v>
      </c>
      <c r="C294" s="24" t="s">
        <v>20</v>
      </c>
      <c r="D294" s="163"/>
      <c r="E294" s="12"/>
      <c r="F294" s="12"/>
      <c r="G294" s="12"/>
      <c r="H294" s="12"/>
      <c r="I294" s="86"/>
      <c r="J294" s="12"/>
      <c r="K294" s="12"/>
      <c r="L294" s="12"/>
      <c r="M294" s="12"/>
      <c r="N294" s="12"/>
      <c r="O294" s="12"/>
      <c r="P294" s="12"/>
    </row>
    <row r="295" spans="1:16" customFormat="1" ht="18.600000000000001" customHeight="1" x14ac:dyDescent="0.2">
      <c r="A295" s="35">
        <f t="shared" si="72"/>
        <v>21</v>
      </c>
      <c r="B295" s="24" t="s">
        <v>409</v>
      </c>
      <c r="C295" s="24" t="s">
        <v>20</v>
      </c>
      <c r="D295" s="163"/>
      <c r="E295" s="14"/>
      <c r="F295" s="14"/>
      <c r="G295" s="14"/>
      <c r="H295" s="14"/>
      <c r="I295" s="87"/>
      <c r="J295" s="14"/>
      <c r="K295" s="14"/>
      <c r="L295" s="14"/>
      <c r="M295" s="14"/>
      <c r="N295" s="14"/>
      <c r="O295" s="14"/>
      <c r="P295" s="14"/>
    </row>
    <row r="296" spans="1:16" customFormat="1" ht="18.600000000000001" customHeight="1" x14ac:dyDescent="0.2">
      <c r="A296" s="7">
        <f t="shared" si="72"/>
        <v>22</v>
      </c>
      <c r="B296" s="24" t="s">
        <v>267</v>
      </c>
      <c r="C296" s="24" t="s">
        <v>79</v>
      </c>
      <c r="D296" s="163"/>
      <c r="E296" s="4"/>
      <c r="F296" s="4"/>
      <c r="G296" s="4"/>
      <c r="H296" s="4"/>
      <c r="I296" s="85"/>
      <c r="J296" s="4"/>
      <c r="K296" s="4"/>
      <c r="L296" s="4"/>
      <c r="M296" s="4"/>
      <c r="N296" s="4"/>
      <c r="O296" s="4"/>
      <c r="P296" s="4"/>
    </row>
    <row r="297" spans="1:16" customFormat="1" ht="18.600000000000001" customHeight="1" x14ac:dyDescent="0.2">
      <c r="A297" s="35">
        <f t="shared" si="72"/>
        <v>23</v>
      </c>
      <c r="B297" s="3"/>
      <c r="C297" s="4"/>
      <c r="D297" s="8"/>
      <c r="E297" s="4"/>
      <c r="F297" s="4"/>
      <c r="G297" s="4"/>
      <c r="H297" s="4"/>
      <c r="I297" s="85"/>
      <c r="J297" s="4"/>
      <c r="K297" s="4"/>
      <c r="L297" s="4"/>
      <c r="M297" s="4"/>
      <c r="N297" s="4"/>
      <c r="O297" s="4"/>
      <c r="P297" s="4"/>
    </row>
    <row r="298" spans="1:16" customFormat="1" ht="18.600000000000001" customHeight="1" x14ac:dyDescent="0.2">
      <c r="A298" s="7">
        <f t="shared" si="72"/>
        <v>24</v>
      </c>
      <c r="B298" s="3"/>
      <c r="C298" s="4"/>
      <c r="D298" s="8"/>
      <c r="E298" s="4"/>
      <c r="F298" s="4"/>
      <c r="G298" s="4"/>
      <c r="H298" s="4"/>
      <c r="I298" s="85"/>
      <c r="J298" s="4"/>
      <c r="K298" s="4"/>
      <c r="L298" s="4"/>
      <c r="M298" s="4"/>
      <c r="N298" s="4"/>
      <c r="O298" s="4"/>
      <c r="P298" s="4"/>
    </row>
    <row r="299" spans="1:16" customFormat="1" ht="18.600000000000001" customHeight="1" x14ac:dyDescent="0.2">
      <c r="A299" s="35">
        <f t="shared" si="72"/>
        <v>25</v>
      </c>
      <c r="B299" s="11"/>
      <c r="C299" s="12"/>
      <c r="D299" s="9"/>
      <c r="E299" s="12"/>
      <c r="F299" s="12"/>
      <c r="G299" s="12"/>
      <c r="H299" s="12"/>
      <c r="I299" s="86"/>
      <c r="J299" s="12"/>
      <c r="K299" s="12"/>
      <c r="L299" s="12"/>
      <c r="M299" s="12"/>
      <c r="N299" s="12"/>
      <c r="O299" s="12"/>
      <c r="P299" s="12"/>
    </row>
    <row r="300" spans="1:16" customFormat="1" ht="18.600000000000001" customHeight="1" x14ac:dyDescent="0.3">
      <c r="A300" s="147"/>
      <c r="B300" s="148"/>
      <c r="C300" s="147"/>
      <c r="D300" s="149"/>
      <c r="E300" s="150">
        <f>SUBTOTAL(9,E275:E299)</f>
        <v>0</v>
      </c>
      <c r="F300" s="152"/>
      <c r="G300" s="150">
        <f t="shared" ref="G300" si="73">SUBTOTAL(9,G275:G299)</f>
        <v>0</v>
      </c>
      <c r="H300" s="152"/>
      <c r="I300" s="150">
        <f t="shared" ref="I300" si="74">SUBTOTAL(9,I275:I299)</f>
        <v>0</v>
      </c>
      <c r="J300" s="152"/>
      <c r="K300" s="152"/>
      <c r="L300" s="152"/>
      <c r="M300" s="150">
        <f t="shared" ref="M300" si="75">SUBTOTAL(9,M275:M299)</f>
        <v>0</v>
      </c>
      <c r="N300" s="152"/>
      <c r="O300" s="150">
        <f t="shared" ref="O300" si="76">SUBTOTAL(9,O275:O299)</f>
        <v>0</v>
      </c>
      <c r="P300" s="152"/>
    </row>
    <row r="301" spans="1:16" customFormat="1" ht="18.600000000000001" customHeight="1" x14ac:dyDescent="0.2">
      <c r="A301" s="434" t="str">
        <f>A271</f>
        <v>DANH SÁCH LỚP TOÁN</v>
      </c>
      <c r="B301" s="434"/>
      <c r="C301" s="434"/>
      <c r="D301" s="434"/>
      <c r="E301" s="434"/>
      <c r="F301" s="434"/>
      <c r="G301" s="434"/>
      <c r="H301" s="434"/>
      <c r="I301" s="92" t="s">
        <v>1034</v>
      </c>
      <c r="J301" s="48"/>
      <c r="K301" s="48"/>
      <c r="L301" s="48"/>
      <c r="M301" s="41"/>
      <c r="N301" s="41"/>
      <c r="O301" s="41"/>
      <c r="P301" s="41"/>
    </row>
    <row r="302" spans="1:16" customFormat="1" ht="18.600000000000001" customHeight="1" x14ac:dyDescent="0.2">
      <c r="A302" s="28"/>
      <c r="B302" s="29"/>
      <c r="C302" s="30"/>
      <c r="D302" s="36"/>
      <c r="E302" s="28"/>
      <c r="F302" s="28"/>
      <c r="G302" s="28"/>
      <c r="H302" s="28"/>
      <c r="I302" s="79"/>
      <c r="J302" s="28"/>
      <c r="K302" s="28"/>
      <c r="L302" s="28"/>
      <c r="M302" s="28"/>
      <c r="N302" s="28"/>
      <c r="O302" s="28"/>
      <c r="P302" s="28"/>
    </row>
    <row r="303" spans="1:16" customFormat="1" ht="18.600000000000001" customHeight="1" x14ac:dyDescent="0.2">
      <c r="A303" s="435" t="s">
        <v>374</v>
      </c>
      <c r="B303" s="435" t="s">
        <v>380</v>
      </c>
      <c r="C303" s="435" t="s">
        <v>383</v>
      </c>
      <c r="D303" s="437" t="s">
        <v>384</v>
      </c>
      <c r="E303" s="438" t="s">
        <v>385</v>
      </c>
      <c r="F303" s="439"/>
      <c r="G303" s="432" t="str">
        <f>$R$1</f>
        <v>Đợt 6</v>
      </c>
      <c r="H303" s="433"/>
      <c r="I303" s="432" t="str">
        <f>$T$1</f>
        <v>Đợt 7</v>
      </c>
      <c r="J303" s="433"/>
      <c r="K303" s="432" t="str">
        <f>$V$1</f>
        <v>Đợt 8</v>
      </c>
      <c r="L303" s="433"/>
      <c r="M303" s="432" t="str">
        <f>$X$1</f>
        <v>Đợt 9</v>
      </c>
      <c r="N303" s="433"/>
      <c r="O303" s="432" t="str">
        <f>$Z$1</f>
        <v>Đợt 10</v>
      </c>
      <c r="P303" s="433"/>
    </row>
    <row r="304" spans="1:16" customFormat="1" ht="18.600000000000001" customHeight="1" x14ac:dyDescent="0.2">
      <c r="A304" s="436"/>
      <c r="B304" s="436"/>
      <c r="C304" s="436"/>
      <c r="D304" s="436"/>
      <c r="E304" s="31" t="s">
        <v>381</v>
      </c>
      <c r="F304" s="31" t="s">
        <v>382</v>
      </c>
      <c r="G304" s="31" t="s">
        <v>381</v>
      </c>
      <c r="H304" s="31" t="s">
        <v>382</v>
      </c>
      <c r="I304" s="80" t="s">
        <v>381</v>
      </c>
      <c r="J304" s="31" t="s">
        <v>382</v>
      </c>
      <c r="K304" s="80" t="s">
        <v>381</v>
      </c>
      <c r="L304" s="31" t="s">
        <v>382</v>
      </c>
      <c r="M304" s="31" t="s">
        <v>381</v>
      </c>
      <c r="N304" s="31" t="s">
        <v>382</v>
      </c>
      <c r="O304" s="31" t="s">
        <v>381</v>
      </c>
      <c r="P304" s="31" t="s">
        <v>382</v>
      </c>
    </row>
    <row r="305" spans="1:16" customFormat="1" ht="18.600000000000001" customHeight="1" x14ac:dyDescent="0.2">
      <c r="A305" s="32">
        <v>1</v>
      </c>
      <c r="B305" s="24" t="s">
        <v>218</v>
      </c>
      <c r="C305" s="24" t="s">
        <v>14</v>
      </c>
      <c r="D305" s="163"/>
      <c r="E305" s="32"/>
      <c r="F305" s="34"/>
      <c r="G305" s="32"/>
      <c r="H305" s="93"/>
      <c r="I305" s="81"/>
      <c r="J305" s="34"/>
      <c r="K305" s="34"/>
      <c r="L305" s="34"/>
      <c r="M305" s="32"/>
      <c r="N305" s="34"/>
      <c r="O305" s="32"/>
      <c r="P305" s="34"/>
    </row>
    <row r="306" spans="1:16" customFormat="1" ht="18.600000000000001" customHeight="1" x14ac:dyDescent="0.2">
      <c r="A306" s="7">
        <f t="shared" ref="A306:A329" si="77">A305+1</f>
        <v>2</v>
      </c>
      <c r="B306" s="24" t="s">
        <v>159</v>
      </c>
      <c r="C306" s="24" t="s">
        <v>76</v>
      </c>
      <c r="D306" s="163"/>
      <c r="E306" s="7"/>
      <c r="F306" s="7"/>
      <c r="G306" s="7"/>
      <c r="H306" s="7"/>
      <c r="I306" s="82"/>
      <c r="J306" s="7"/>
      <c r="K306" s="7"/>
      <c r="L306" s="7"/>
      <c r="M306" s="7"/>
      <c r="N306" s="7"/>
      <c r="O306" s="7"/>
      <c r="P306" s="7"/>
    </row>
    <row r="307" spans="1:16" customFormat="1" ht="18.600000000000001" customHeight="1" x14ac:dyDescent="0.2">
      <c r="A307" s="7">
        <f t="shared" si="77"/>
        <v>3</v>
      </c>
      <c r="B307" s="24" t="s">
        <v>592</v>
      </c>
      <c r="C307" s="24" t="s">
        <v>12</v>
      </c>
      <c r="D307" s="163"/>
      <c r="E307" s="7"/>
      <c r="F307" s="7"/>
      <c r="G307" s="7"/>
      <c r="H307" s="7"/>
      <c r="I307" s="82"/>
      <c r="J307" s="7"/>
      <c r="K307" s="7"/>
      <c r="L307" s="7"/>
      <c r="M307" s="7"/>
      <c r="N307" s="7"/>
      <c r="O307" s="7"/>
      <c r="P307" s="7"/>
    </row>
    <row r="308" spans="1:16" customFormat="1" ht="18.600000000000001" customHeight="1" x14ac:dyDescent="0.2">
      <c r="A308" s="7">
        <f t="shared" si="77"/>
        <v>4</v>
      </c>
      <c r="B308" s="24" t="s">
        <v>216</v>
      </c>
      <c r="C308" s="24" t="s">
        <v>66</v>
      </c>
      <c r="D308" s="163"/>
      <c r="E308" s="7"/>
      <c r="F308" s="7"/>
      <c r="G308" s="7"/>
      <c r="H308" s="7"/>
      <c r="I308" s="82"/>
      <c r="J308" s="7"/>
      <c r="K308" s="7"/>
      <c r="L308" s="7"/>
      <c r="M308" s="7"/>
      <c r="N308" s="7"/>
      <c r="O308" s="7"/>
      <c r="P308" s="7"/>
    </row>
    <row r="309" spans="1:16" customFormat="1" ht="18.600000000000001" customHeight="1" x14ac:dyDescent="0.2">
      <c r="A309" s="6">
        <f t="shared" si="77"/>
        <v>5</v>
      </c>
      <c r="B309" s="24" t="s">
        <v>231</v>
      </c>
      <c r="C309" s="24" t="s">
        <v>77</v>
      </c>
      <c r="D309" s="163"/>
      <c r="E309" s="16"/>
      <c r="F309" s="16"/>
      <c r="G309" s="16"/>
      <c r="H309" s="16"/>
      <c r="I309" s="83"/>
      <c r="J309" s="16"/>
      <c r="K309" s="16"/>
      <c r="L309" s="16"/>
      <c r="M309" s="16"/>
      <c r="N309" s="16"/>
      <c r="O309" s="16"/>
      <c r="P309" s="16"/>
    </row>
    <row r="310" spans="1:16" customFormat="1" ht="18.600000000000001" customHeight="1" x14ac:dyDescent="0.2">
      <c r="A310" s="56">
        <f t="shared" si="77"/>
        <v>6</v>
      </c>
      <c r="B310" s="24" t="s">
        <v>673</v>
      </c>
      <c r="C310" s="24" t="s">
        <v>530</v>
      </c>
      <c r="D310" s="163"/>
      <c r="E310" s="2"/>
      <c r="F310" s="2"/>
      <c r="G310" s="2"/>
      <c r="H310" s="2"/>
      <c r="I310" s="84"/>
      <c r="J310" s="2"/>
      <c r="K310" s="2"/>
      <c r="L310" s="2"/>
      <c r="M310" s="2"/>
      <c r="N310" s="2"/>
      <c r="O310" s="2"/>
      <c r="P310" s="2"/>
    </row>
    <row r="311" spans="1:16" customFormat="1" ht="18.600000000000001" customHeight="1" x14ac:dyDescent="0.2">
      <c r="A311" s="6">
        <f t="shared" si="77"/>
        <v>7</v>
      </c>
      <c r="B311" s="26">
        <v>1</v>
      </c>
      <c r="C311" s="24" t="s">
        <v>68</v>
      </c>
      <c r="D311" s="26"/>
      <c r="E311" s="4"/>
      <c r="F311" s="4"/>
      <c r="G311" s="4"/>
      <c r="H311" s="4"/>
      <c r="I311" s="85"/>
      <c r="J311" s="4"/>
      <c r="K311" s="4"/>
      <c r="L311" s="4"/>
      <c r="M311" s="4"/>
      <c r="N311" s="4"/>
      <c r="O311" s="4"/>
      <c r="P311" s="4"/>
    </row>
    <row r="312" spans="1:16" customFormat="1" ht="18.600000000000001" customHeight="1" x14ac:dyDescent="0.2">
      <c r="A312" s="6">
        <f t="shared" si="77"/>
        <v>8</v>
      </c>
      <c r="B312" s="24" t="s">
        <v>479</v>
      </c>
      <c r="C312" s="24" t="s">
        <v>18</v>
      </c>
      <c r="D312" s="163"/>
      <c r="E312" s="4"/>
      <c r="F312" s="4"/>
      <c r="G312" s="4"/>
      <c r="H312" s="4"/>
      <c r="I312" s="85"/>
      <c r="J312" s="4"/>
      <c r="K312" s="4"/>
      <c r="L312" s="4"/>
      <c r="M312" s="4"/>
      <c r="N312" s="4"/>
      <c r="O312" s="4"/>
      <c r="P312" s="4"/>
    </row>
    <row r="313" spans="1:16" customFormat="1" ht="18.600000000000001" customHeight="1" x14ac:dyDescent="0.2">
      <c r="A313" s="6">
        <f t="shared" si="77"/>
        <v>9</v>
      </c>
      <c r="B313" s="26" t="s">
        <v>237</v>
      </c>
      <c r="C313" s="26" t="s">
        <v>64</v>
      </c>
      <c r="D313" s="26"/>
      <c r="E313" s="4"/>
      <c r="F313" s="4"/>
      <c r="G313" s="4"/>
      <c r="H313" s="4"/>
      <c r="I313" s="85"/>
      <c r="J313" s="4"/>
      <c r="K313" s="4"/>
      <c r="L313" s="4"/>
      <c r="M313" s="4"/>
      <c r="N313" s="4"/>
      <c r="O313" s="4"/>
      <c r="P313" s="4"/>
    </row>
    <row r="314" spans="1:16" customFormat="1" ht="18.600000000000001" customHeight="1" x14ac:dyDescent="0.2">
      <c r="A314" s="10">
        <f t="shared" si="77"/>
        <v>10</v>
      </c>
      <c r="B314" s="25" t="s">
        <v>198</v>
      </c>
      <c r="C314" s="25" t="s">
        <v>13</v>
      </c>
      <c r="D314" s="163"/>
      <c r="E314" s="12"/>
      <c r="F314" s="12"/>
      <c r="G314" s="12"/>
      <c r="H314" s="12"/>
      <c r="I314" s="86"/>
      <c r="J314" s="12"/>
      <c r="K314" s="12"/>
      <c r="L314" s="12"/>
      <c r="M314" s="12"/>
      <c r="N314" s="12"/>
      <c r="O314" s="12"/>
      <c r="P314" s="12"/>
    </row>
    <row r="315" spans="1:16" customFormat="1" ht="18.600000000000001" customHeight="1" x14ac:dyDescent="0.2">
      <c r="A315" s="35">
        <f t="shared" si="77"/>
        <v>11</v>
      </c>
      <c r="B315" s="26" t="s">
        <v>637</v>
      </c>
      <c r="C315" s="26" t="s">
        <v>532</v>
      </c>
      <c r="D315" s="163"/>
      <c r="E315" s="14"/>
      <c r="F315" s="14"/>
      <c r="G315" s="14"/>
      <c r="H315" s="14"/>
      <c r="I315" s="87"/>
      <c r="J315" s="14"/>
      <c r="K315" s="14"/>
      <c r="L315" s="14"/>
      <c r="M315" s="14"/>
      <c r="N315" s="14"/>
      <c r="O315" s="14"/>
      <c r="P315" s="14"/>
    </row>
    <row r="316" spans="1:16" customFormat="1" ht="18.600000000000001" customHeight="1" x14ac:dyDescent="0.2">
      <c r="A316" s="7">
        <f t="shared" si="77"/>
        <v>12</v>
      </c>
      <c r="B316" s="24" t="s">
        <v>483</v>
      </c>
      <c r="C316" s="24" t="s">
        <v>26</v>
      </c>
      <c r="D316" s="163">
        <v>345514872</v>
      </c>
      <c r="E316" s="4"/>
      <c r="F316" s="4"/>
      <c r="G316" s="4"/>
      <c r="H316" s="4"/>
      <c r="I316" s="85"/>
      <c r="J316" s="4"/>
      <c r="K316" s="4"/>
      <c r="L316" s="4"/>
      <c r="M316" s="4"/>
      <c r="N316" s="4"/>
      <c r="O316" s="4"/>
      <c r="P316" s="4"/>
    </row>
    <row r="317" spans="1:16" customFormat="1" ht="18.600000000000001" customHeight="1" x14ac:dyDescent="0.2">
      <c r="A317" s="7">
        <f t="shared" si="77"/>
        <v>13</v>
      </c>
      <c r="B317" s="25" t="s">
        <v>594</v>
      </c>
      <c r="C317" s="25" t="s">
        <v>72</v>
      </c>
      <c r="D317" s="163"/>
      <c r="E317" s="4"/>
      <c r="F317" s="4"/>
      <c r="G317" s="4"/>
      <c r="H317" s="4"/>
      <c r="I317" s="85"/>
      <c r="J317" s="4"/>
      <c r="K317" s="4"/>
      <c r="L317" s="4"/>
      <c r="M317" s="4"/>
      <c r="N317" s="4"/>
      <c r="O317" s="4"/>
      <c r="P317" s="4"/>
    </row>
    <row r="318" spans="1:16" customFormat="1" ht="18.600000000000001" customHeight="1" x14ac:dyDescent="0.2">
      <c r="A318" s="7">
        <f t="shared" si="77"/>
        <v>14</v>
      </c>
      <c r="B318" s="25">
        <v>1</v>
      </c>
      <c r="C318" s="25" t="s">
        <v>62</v>
      </c>
      <c r="D318" s="163"/>
      <c r="E318" s="4"/>
      <c r="F318" s="4"/>
      <c r="G318" s="4"/>
      <c r="H318" s="4"/>
      <c r="I318" s="85"/>
      <c r="J318" s="4"/>
      <c r="K318" s="4"/>
      <c r="L318" s="4"/>
      <c r="M318" s="4"/>
      <c r="N318" s="4"/>
      <c r="O318" s="4"/>
      <c r="P318" s="4"/>
    </row>
    <row r="319" spans="1:16" customFormat="1" ht="18.600000000000001" customHeight="1" x14ac:dyDescent="0.3">
      <c r="A319" s="6">
        <f t="shared" si="77"/>
        <v>15</v>
      </c>
      <c r="B319" s="160" t="s">
        <v>1090</v>
      </c>
      <c r="C319" s="143" t="s">
        <v>56</v>
      </c>
      <c r="D319" s="143"/>
      <c r="E319" s="16"/>
      <c r="F319" s="16"/>
      <c r="G319" s="16"/>
      <c r="H319" s="16"/>
      <c r="I319" s="83"/>
      <c r="J319" s="16"/>
      <c r="K319" s="16"/>
      <c r="L319" s="16"/>
      <c r="M319" s="16"/>
      <c r="N319" s="16"/>
      <c r="O319" s="16"/>
      <c r="P319" s="16"/>
    </row>
    <row r="320" spans="1:16" customFormat="1" ht="18.600000000000001" customHeight="1" x14ac:dyDescent="0.2">
      <c r="A320" s="32">
        <f t="shared" si="77"/>
        <v>16</v>
      </c>
      <c r="B320" s="24" t="s">
        <v>188</v>
      </c>
      <c r="C320" s="24" t="s">
        <v>45</v>
      </c>
      <c r="D320" s="24">
        <v>939740830</v>
      </c>
      <c r="E320" s="2"/>
      <c r="F320" s="2"/>
      <c r="G320" s="2"/>
      <c r="H320" s="2"/>
      <c r="I320" s="84"/>
      <c r="J320" s="2"/>
      <c r="K320" s="2"/>
      <c r="L320" s="2"/>
      <c r="M320" s="2"/>
      <c r="N320" s="2"/>
      <c r="O320" s="2"/>
      <c r="P320" s="2"/>
    </row>
    <row r="321" spans="1:16" customFormat="1" ht="18.600000000000001" customHeight="1" x14ac:dyDescent="0.2">
      <c r="A321" s="7">
        <f t="shared" si="77"/>
        <v>17</v>
      </c>
      <c r="B321" s="24" t="s">
        <v>212</v>
      </c>
      <c r="C321" s="24" t="s">
        <v>35</v>
      </c>
      <c r="D321" s="163"/>
      <c r="E321" s="4"/>
      <c r="F321" s="4"/>
      <c r="G321" s="4"/>
      <c r="H321" s="4"/>
      <c r="I321" s="85"/>
      <c r="J321" s="4"/>
      <c r="K321" s="4"/>
      <c r="L321" s="4"/>
      <c r="M321" s="4"/>
      <c r="N321" s="4"/>
      <c r="O321" s="4"/>
      <c r="P321" s="4"/>
    </row>
    <row r="322" spans="1:16" customFormat="1" ht="18.600000000000001" customHeight="1" x14ac:dyDescent="0.2">
      <c r="A322" s="7">
        <f t="shared" si="77"/>
        <v>18</v>
      </c>
      <c r="B322" s="24" t="s">
        <v>186</v>
      </c>
      <c r="C322" s="24" t="s">
        <v>5</v>
      </c>
      <c r="D322" s="163"/>
      <c r="E322" s="4"/>
      <c r="F322" s="4"/>
      <c r="G322" s="4"/>
      <c r="H322" s="4"/>
      <c r="I322" s="85"/>
      <c r="J322" s="4"/>
      <c r="K322" s="4"/>
      <c r="L322" s="4"/>
      <c r="M322" s="4"/>
      <c r="N322" s="4"/>
      <c r="O322" s="4"/>
      <c r="P322" s="4"/>
    </row>
    <row r="323" spans="1:16" customFormat="1" ht="18.600000000000001" customHeight="1" x14ac:dyDescent="0.2">
      <c r="A323" s="7">
        <f t="shared" si="77"/>
        <v>19</v>
      </c>
      <c r="B323" s="24" t="s">
        <v>199</v>
      </c>
      <c r="C323" s="24" t="s">
        <v>11</v>
      </c>
      <c r="D323" s="163"/>
      <c r="E323" s="4"/>
      <c r="F323" s="4"/>
      <c r="G323" s="4"/>
      <c r="H323" s="4"/>
      <c r="I323" s="85"/>
      <c r="J323" s="4"/>
      <c r="K323" s="4"/>
      <c r="L323" s="4"/>
      <c r="M323" s="4"/>
      <c r="N323" s="4"/>
      <c r="O323" s="4"/>
      <c r="P323" s="4"/>
    </row>
    <row r="324" spans="1:16" customFormat="1" ht="18.600000000000001" customHeight="1" x14ac:dyDescent="0.2">
      <c r="A324" s="10">
        <f t="shared" si="77"/>
        <v>20</v>
      </c>
      <c r="B324" s="24" t="s">
        <v>544</v>
      </c>
      <c r="C324" s="24" t="s">
        <v>1002</v>
      </c>
      <c r="D324" s="163">
        <v>773496702</v>
      </c>
      <c r="E324" s="12"/>
      <c r="F324" s="12"/>
      <c r="G324" s="12"/>
      <c r="H324" s="12"/>
      <c r="I324" s="86"/>
      <c r="J324" s="12"/>
      <c r="K324" s="12"/>
      <c r="L324" s="12"/>
      <c r="M324" s="12"/>
      <c r="N324" s="12"/>
      <c r="O324" s="12"/>
      <c r="P324" s="12"/>
    </row>
    <row r="325" spans="1:16" customFormat="1" ht="18.600000000000001" customHeight="1" x14ac:dyDescent="0.2">
      <c r="A325" s="35">
        <f t="shared" si="77"/>
        <v>21</v>
      </c>
      <c r="B325" s="25" t="s">
        <v>1197</v>
      </c>
      <c r="C325" s="25" t="s">
        <v>54</v>
      </c>
      <c r="D325" s="163"/>
      <c r="E325" s="14"/>
      <c r="F325" s="14"/>
      <c r="G325" s="14"/>
      <c r="H325" s="14"/>
      <c r="I325" s="87"/>
      <c r="J325" s="14"/>
      <c r="K325" s="14"/>
      <c r="L325" s="14"/>
      <c r="M325" s="14"/>
      <c r="N325" s="14"/>
      <c r="O325" s="14"/>
      <c r="P325" s="14"/>
    </row>
    <row r="326" spans="1:16" customFormat="1" ht="18.600000000000001" customHeight="1" x14ac:dyDescent="0.2">
      <c r="A326" s="7">
        <f t="shared" si="77"/>
        <v>22</v>
      </c>
      <c r="B326" s="24" t="s">
        <v>221</v>
      </c>
      <c r="C326" s="24" t="s">
        <v>69</v>
      </c>
      <c r="D326" s="163"/>
      <c r="E326" s="4"/>
      <c r="F326" s="4"/>
      <c r="G326" s="4"/>
      <c r="H326" s="4"/>
      <c r="I326" s="85"/>
      <c r="J326" s="4"/>
      <c r="K326" s="4"/>
      <c r="L326" s="4"/>
      <c r="M326" s="4"/>
      <c r="N326" s="4"/>
      <c r="O326" s="4"/>
      <c r="P326" s="4"/>
    </row>
    <row r="327" spans="1:16" customFormat="1" ht="18.600000000000001" customHeight="1" x14ac:dyDescent="0.2">
      <c r="A327" s="35">
        <f t="shared" si="77"/>
        <v>23</v>
      </c>
      <c r="B327" s="3"/>
      <c r="C327" s="4"/>
      <c r="D327" s="8"/>
      <c r="E327" s="4"/>
      <c r="F327" s="4"/>
      <c r="G327" s="4"/>
      <c r="H327" s="4"/>
      <c r="I327" s="85"/>
      <c r="J327" s="4"/>
      <c r="K327" s="4"/>
      <c r="L327" s="4"/>
      <c r="M327" s="4"/>
      <c r="N327" s="4"/>
      <c r="O327" s="4"/>
      <c r="P327" s="4"/>
    </row>
    <row r="328" spans="1:16" customFormat="1" ht="18.600000000000001" customHeight="1" x14ac:dyDescent="0.2">
      <c r="A328" s="7">
        <f t="shared" si="77"/>
        <v>24</v>
      </c>
      <c r="B328" s="3"/>
      <c r="C328" s="4"/>
      <c r="D328" s="8"/>
      <c r="E328" s="4"/>
      <c r="F328" s="4"/>
      <c r="G328" s="4"/>
      <c r="H328" s="4"/>
      <c r="I328" s="85"/>
      <c r="J328" s="4"/>
      <c r="K328" s="4"/>
      <c r="L328" s="4"/>
      <c r="M328" s="4"/>
      <c r="N328" s="4"/>
      <c r="O328" s="4"/>
      <c r="P328" s="4"/>
    </row>
    <row r="329" spans="1:16" customFormat="1" ht="18.600000000000001" customHeight="1" x14ac:dyDescent="0.2">
      <c r="A329" s="35">
        <f t="shared" si="77"/>
        <v>25</v>
      </c>
      <c r="B329" s="11"/>
      <c r="C329" s="12"/>
      <c r="D329" s="9"/>
      <c r="E329" s="12"/>
      <c r="F329" s="12"/>
      <c r="G329" s="12"/>
      <c r="H329" s="12"/>
      <c r="I329" s="86"/>
      <c r="J329" s="12"/>
      <c r="K329" s="12"/>
      <c r="L329" s="12"/>
      <c r="M329" s="12"/>
      <c r="N329" s="12"/>
      <c r="O329" s="12"/>
      <c r="P329" s="12"/>
    </row>
    <row r="330" spans="1:16" customFormat="1" ht="18.600000000000001" customHeight="1" x14ac:dyDescent="0.3">
      <c r="A330" s="147"/>
      <c r="B330" s="148"/>
      <c r="C330" s="147"/>
      <c r="D330" s="149"/>
      <c r="E330" s="150">
        <f>SUBTOTAL(9,E305:E329)</f>
        <v>0</v>
      </c>
      <c r="F330" s="152"/>
      <c r="G330" s="150">
        <f t="shared" ref="G330" si="78">SUBTOTAL(9,G305:G329)</f>
        <v>0</v>
      </c>
      <c r="H330" s="152"/>
      <c r="I330" s="150">
        <f t="shared" ref="I330" si="79">SUBTOTAL(9,I305:I329)</f>
        <v>0</v>
      </c>
      <c r="J330" s="152"/>
      <c r="K330" s="152"/>
      <c r="L330" s="152"/>
      <c r="M330" s="150">
        <f t="shared" ref="M330" si="80">SUBTOTAL(9,M305:M329)</f>
        <v>0</v>
      </c>
      <c r="N330" s="152"/>
      <c r="O330" s="150">
        <f t="shared" ref="O330" si="81">SUBTOTAL(9,O305:O329)</f>
        <v>0</v>
      </c>
      <c r="P330" s="152"/>
    </row>
    <row r="331" spans="1:16" customFormat="1" ht="18.600000000000001" customHeight="1" x14ac:dyDescent="0.2">
      <c r="A331" s="434" t="str">
        <f>A301</f>
        <v>DANH SÁCH LỚP TOÁN</v>
      </c>
      <c r="B331" s="434"/>
      <c r="C331" s="434"/>
      <c r="D331" s="434"/>
      <c r="E331" s="434"/>
      <c r="F331" s="434"/>
      <c r="G331" s="434"/>
      <c r="H331" s="434"/>
      <c r="I331" s="92" t="s">
        <v>1035</v>
      </c>
      <c r="J331" s="48"/>
      <c r="K331" s="48"/>
      <c r="L331" s="48"/>
      <c r="M331" s="41"/>
      <c r="N331" s="41"/>
      <c r="O331" s="41"/>
      <c r="P331" s="41"/>
    </row>
    <row r="332" spans="1:16" customFormat="1" ht="18.600000000000001" customHeight="1" x14ac:dyDescent="0.2">
      <c r="A332" s="28"/>
      <c r="B332" s="29"/>
      <c r="C332" s="30"/>
      <c r="D332" s="36"/>
      <c r="E332" s="28"/>
      <c r="F332" s="28"/>
      <c r="G332" s="28"/>
      <c r="H332" s="28"/>
      <c r="I332" s="79"/>
      <c r="J332" s="28"/>
      <c r="K332" s="28"/>
      <c r="L332" s="28"/>
      <c r="M332" s="28"/>
      <c r="N332" s="28"/>
      <c r="O332" s="28"/>
      <c r="P332" s="28"/>
    </row>
    <row r="333" spans="1:16" customFormat="1" ht="18.600000000000001" customHeight="1" x14ac:dyDescent="0.2">
      <c r="A333" s="435" t="s">
        <v>374</v>
      </c>
      <c r="B333" s="435" t="s">
        <v>380</v>
      </c>
      <c r="C333" s="435" t="s">
        <v>383</v>
      </c>
      <c r="D333" s="437" t="s">
        <v>384</v>
      </c>
      <c r="E333" s="438" t="s">
        <v>385</v>
      </c>
      <c r="F333" s="439"/>
      <c r="G333" s="432" t="str">
        <f>$R$1</f>
        <v>Đợt 6</v>
      </c>
      <c r="H333" s="433"/>
      <c r="I333" s="432" t="str">
        <f>$T$1</f>
        <v>Đợt 7</v>
      </c>
      <c r="J333" s="433"/>
      <c r="K333" s="432" t="str">
        <f>$V$1</f>
        <v>Đợt 8</v>
      </c>
      <c r="L333" s="433"/>
      <c r="M333" s="432" t="str">
        <f>$X$1</f>
        <v>Đợt 9</v>
      </c>
      <c r="N333" s="433"/>
      <c r="O333" s="432" t="str">
        <f>$Z$1</f>
        <v>Đợt 10</v>
      </c>
      <c r="P333" s="433"/>
    </row>
    <row r="334" spans="1:16" customFormat="1" ht="18.600000000000001" customHeight="1" x14ac:dyDescent="0.2">
      <c r="A334" s="436"/>
      <c r="B334" s="436"/>
      <c r="C334" s="436"/>
      <c r="D334" s="436"/>
      <c r="E334" s="31" t="s">
        <v>381</v>
      </c>
      <c r="F334" s="31" t="s">
        <v>382</v>
      </c>
      <c r="G334" s="31" t="s">
        <v>381</v>
      </c>
      <c r="H334" s="31" t="s">
        <v>382</v>
      </c>
      <c r="I334" s="80" t="s">
        <v>381</v>
      </c>
      <c r="J334" s="31" t="s">
        <v>382</v>
      </c>
      <c r="K334" s="80" t="s">
        <v>381</v>
      </c>
      <c r="L334" s="31" t="s">
        <v>382</v>
      </c>
      <c r="M334" s="31" t="s">
        <v>381</v>
      </c>
      <c r="N334" s="31" t="s">
        <v>382</v>
      </c>
      <c r="O334" s="31" t="s">
        <v>381</v>
      </c>
      <c r="P334" s="31" t="s">
        <v>382</v>
      </c>
    </row>
    <row r="335" spans="1:16" customFormat="1" ht="18.600000000000001" customHeight="1" x14ac:dyDescent="0.2">
      <c r="A335" s="32">
        <v>1</v>
      </c>
      <c r="B335" s="24" t="s">
        <v>1091</v>
      </c>
      <c r="C335" s="24" t="s">
        <v>95</v>
      </c>
      <c r="D335" s="163">
        <v>325855416</v>
      </c>
      <c r="E335" s="32"/>
      <c r="F335" s="34"/>
      <c r="G335" s="32"/>
      <c r="H335" s="93"/>
      <c r="I335" s="81"/>
      <c r="J335" s="34"/>
      <c r="K335" s="34"/>
      <c r="L335" s="34"/>
      <c r="M335" s="32"/>
      <c r="N335" s="34"/>
      <c r="O335" s="32"/>
      <c r="P335" s="34"/>
    </row>
    <row r="336" spans="1:16" customFormat="1" ht="18.600000000000001" customHeight="1" x14ac:dyDescent="0.2">
      <c r="A336" s="7">
        <f t="shared" ref="A336:A359" si="82">A335+1</f>
        <v>2</v>
      </c>
      <c r="B336" s="24" t="s">
        <v>203</v>
      </c>
      <c r="C336" s="24" t="s">
        <v>59</v>
      </c>
      <c r="D336" s="163"/>
      <c r="E336" s="7"/>
      <c r="F336" s="7"/>
      <c r="G336" s="7"/>
      <c r="H336" s="7"/>
      <c r="I336" s="82"/>
      <c r="J336" s="7"/>
      <c r="K336" s="7"/>
      <c r="L336" s="7"/>
      <c r="M336" s="7"/>
      <c r="N336" s="7"/>
      <c r="O336" s="7"/>
      <c r="P336" s="7"/>
    </row>
    <row r="337" spans="1:16" customFormat="1" ht="18.600000000000001" customHeight="1" x14ac:dyDescent="0.2">
      <c r="A337" s="7">
        <f t="shared" si="82"/>
        <v>3</v>
      </c>
      <c r="B337" s="24" t="s">
        <v>228</v>
      </c>
      <c r="C337" s="24" t="s">
        <v>23</v>
      </c>
      <c r="D337" s="163"/>
      <c r="E337" s="7"/>
      <c r="F337" s="7"/>
      <c r="G337" s="7"/>
      <c r="H337" s="7"/>
      <c r="I337" s="82"/>
      <c r="J337" s="7"/>
      <c r="K337" s="7"/>
      <c r="L337" s="7"/>
      <c r="M337" s="7"/>
      <c r="N337" s="7"/>
      <c r="O337" s="7"/>
      <c r="P337" s="7"/>
    </row>
    <row r="338" spans="1:16" customFormat="1" ht="18.600000000000001" customHeight="1" x14ac:dyDescent="0.2">
      <c r="A338" s="7">
        <f t="shared" si="82"/>
        <v>4</v>
      </c>
      <c r="B338" s="24" t="s">
        <v>148</v>
      </c>
      <c r="C338" s="24" t="s">
        <v>64</v>
      </c>
      <c r="D338" s="163"/>
      <c r="E338" s="7"/>
      <c r="F338" s="7"/>
      <c r="G338" s="7"/>
      <c r="H338" s="7"/>
      <c r="I338" s="82"/>
      <c r="J338" s="7"/>
      <c r="K338" s="7"/>
      <c r="L338" s="7"/>
      <c r="M338" s="7"/>
      <c r="N338" s="7"/>
      <c r="O338" s="7"/>
      <c r="P338" s="7"/>
    </row>
    <row r="339" spans="1:16" customFormat="1" ht="18.600000000000001" customHeight="1" x14ac:dyDescent="0.2">
      <c r="A339" s="6">
        <f t="shared" si="82"/>
        <v>5</v>
      </c>
      <c r="B339" s="24" t="s">
        <v>486</v>
      </c>
      <c r="C339" s="24" t="s">
        <v>478</v>
      </c>
      <c r="D339" s="163">
        <v>919022211</v>
      </c>
      <c r="E339" s="16"/>
      <c r="F339" s="16"/>
      <c r="G339" s="16"/>
      <c r="H339" s="16"/>
      <c r="I339" s="83"/>
      <c r="J339" s="16"/>
      <c r="K339" s="16"/>
      <c r="L339" s="16"/>
      <c r="M339" s="16"/>
      <c r="N339" s="16"/>
      <c r="O339" s="16"/>
      <c r="P339" s="16"/>
    </row>
    <row r="340" spans="1:16" customFormat="1" ht="18.600000000000001" customHeight="1" x14ac:dyDescent="0.2">
      <c r="A340" s="56">
        <f t="shared" si="82"/>
        <v>6</v>
      </c>
      <c r="B340" s="25" t="s">
        <v>208</v>
      </c>
      <c r="C340" s="25" t="s">
        <v>61</v>
      </c>
      <c r="D340" s="24"/>
      <c r="E340" s="2"/>
      <c r="F340" s="2"/>
      <c r="G340" s="2"/>
      <c r="H340" s="2"/>
      <c r="I340" s="84"/>
      <c r="J340" s="2"/>
      <c r="K340" s="2"/>
      <c r="L340" s="2"/>
      <c r="M340" s="2"/>
      <c r="N340" s="2"/>
      <c r="O340" s="2"/>
      <c r="P340" s="2"/>
    </row>
    <row r="341" spans="1:16" customFormat="1" ht="18.600000000000001" customHeight="1" x14ac:dyDescent="0.2">
      <c r="A341" s="6">
        <f t="shared" si="82"/>
        <v>7</v>
      </c>
      <c r="B341" s="24" t="s">
        <v>302</v>
      </c>
      <c r="C341" s="24" t="s">
        <v>92</v>
      </c>
      <c r="D341" s="163"/>
      <c r="E341" s="4"/>
      <c r="F341" s="4"/>
      <c r="G341" s="4"/>
      <c r="H341" s="4"/>
      <c r="I341" s="85"/>
      <c r="J341" s="4"/>
      <c r="K341" s="4"/>
      <c r="L341" s="4"/>
      <c r="M341" s="4"/>
      <c r="N341" s="4"/>
      <c r="O341" s="4"/>
      <c r="P341" s="4"/>
    </row>
    <row r="342" spans="1:16" customFormat="1" ht="18.600000000000001" customHeight="1" x14ac:dyDescent="0.3">
      <c r="A342" s="6">
        <f t="shared" si="82"/>
        <v>8</v>
      </c>
      <c r="B342" s="143" t="s">
        <v>755</v>
      </c>
      <c r="C342" s="143" t="s">
        <v>35</v>
      </c>
      <c r="D342" s="143"/>
      <c r="E342" s="4"/>
      <c r="F342" s="4"/>
      <c r="G342" s="4"/>
      <c r="H342" s="4"/>
      <c r="I342" s="85"/>
      <c r="J342" s="4"/>
      <c r="K342" s="4"/>
      <c r="L342" s="4"/>
      <c r="M342" s="4"/>
      <c r="N342" s="4"/>
      <c r="O342" s="4"/>
      <c r="P342" s="4"/>
    </row>
    <row r="343" spans="1:16" customFormat="1" ht="18.600000000000001" customHeight="1" x14ac:dyDescent="0.2">
      <c r="A343" s="6">
        <f t="shared" si="82"/>
        <v>9</v>
      </c>
      <c r="B343" s="25" t="s">
        <v>197</v>
      </c>
      <c r="C343" s="25" t="s">
        <v>52</v>
      </c>
      <c r="D343" s="25">
        <v>793708555</v>
      </c>
      <c r="E343" s="4"/>
      <c r="F343" s="4"/>
      <c r="G343" s="4"/>
      <c r="H343" s="4"/>
      <c r="I343" s="85"/>
      <c r="J343" s="4"/>
      <c r="K343" s="4"/>
      <c r="L343" s="4"/>
      <c r="M343" s="4"/>
      <c r="N343" s="4"/>
      <c r="O343" s="4"/>
      <c r="P343" s="4"/>
    </row>
    <row r="344" spans="1:16" customFormat="1" ht="18.600000000000001" customHeight="1" x14ac:dyDescent="0.3">
      <c r="A344" s="10">
        <f t="shared" si="82"/>
        <v>10</v>
      </c>
      <c r="B344" s="143" t="s">
        <v>1198</v>
      </c>
      <c r="C344" s="143" t="s">
        <v>27</v>
      </c>
      <c r="D344" s="24"/>
      <c r="E344" s="12"/>
      <c r="F344" s="12"/>
      <c r="G344" s="12"/>
      <c r="H344" s="12"/>
      <c r="I344" s="86"/>
      <c r="J344" s="12"/>
      <c r="K344" s="12"/>
      <c r="L344" s="12"/>
      <c r="M344" s="12"/>
      <c r="N344" s="12"/>
      <c r="O344" s="12"/>
      <c r="P344" s="12"/>
    </row>
    <row r="345" spans="1:16" customFormat="1" ht="18.600000000000001" customHeight="1" x14ac:dyDescent="0.2">
      <c r="A345" s="35">
        <f t="shared" si="82"/>
        <v>11</v>
      </c>
      <c r="B345" s="24" t="s">
        <v>362</v>
      </c>
      <c r="C345" s="24" t="s">
        <v>54</v>
      </c>
      <c r="D345" s="163"/>
      <c r="E345" s="14"/>
      <c r="F345" s="14"/>
      <c r="G345" s="14"/>
      <c r="H345" s="14"/>
      <c r="I345" s="87"/>
      <c r="J345" s="14"/>
      <c r="K345" s="14"/>
      <c r="L345" s="14"/>
      <c r="M345" s="14"/>
      <c r="N345" s="14"/>
      <c r="O345" s="14"/>
      <c r="P345" s="14"/>
    </row>
    <row r="346" spans="1:16" customFormat="1" ht="18.600000000000001" customHeight="1" x14ac:dyDescent="0.2">
      <c r="A346" s="7">
        <f t="shared" si="82"/>
        <v>12</v>
      </c>
      <c r="B346" s="26"/>
      <c r="C346" s="26"/>
      <c r="D346" s="22"/>
      <c r="E346" s="4"/>
      <c r="F346" s="4"/>
      <c r="G346" s="4"/>
      <c r="H346" s="4"/>
      <c r="I346" s="85"/>
      <c r="J346" s="4"/>
      <c r="K346" s="4"/>
      <c r="L346" s="4"/>
      <c r="M346" s="4"/>
      <c r="N346" s="4"/>
      <c r="O346" s="4"/>
      <c r="P346" s="4"/>
    </row>
    <row r="347" spans="1:16" customFormat="1" ht="18.600000000000001" customHeight="1" x14ac:dyDescent="0.2">
      <c r="A347" s="7">
        <f t="shared" si="82"/>
        <v>13</v>
      </c>
      <c r="B347" s="26"/>
      <c r="C347" s="26"/>
      <c r="D347" s="22"/>
      <c r="E347" s="4"/>
      <c r="F347" s="4"/>
      <c r="G347" s="4"/>
      <c r="H347" s="4"/>
      <c r="I347" s="85"/>
      <c r="J347" s="4"/>
      <c r="K347" s="4"/>
      <c r="L347" s="4"/>
      <c r="M347" s="4"/>
      <c r="N347" s="4"/>
      <c r="O347" s="4"/>
      <c r="P347" s="4"/>
    </row>
    <row r="348" spans="1:16" customFormat="1" ht="18.600000000000001" customHeight="1" x14ac:dyDescent="0.2">
      <c r="A348" s="7">
        <f t="shared" si="82"/>
        <v>14</v>
      </c>
      <c r="B348" s="3"/>
      <c r="C348" s="4"/>
      <c r="D348" s="8"/>
      <c r="E348" s="4"/>
      <c r="F348" s="4"/>
      <c r="G348" s="4"/>
      <c r="H348" s="4"/>
      <c r="I348" s="85"/>
      <c r="J348" s="4"/>
      <c r="K348" s="4"/>
      <c r="L348" s="4"/>
      <c r="M348" s="4"/>
      <c r="N348" s="4"/>
      <c r="O348" s="4"/>
      <c r="P348" s="4"/>
    </row>
    <row r="349" spans="1:16" customFormat="1" ht="18.600000000000001" customHeight="1" x14ac:dyDescent="0.2">
      <c r="A349" s="6">
        <f t="shared" si="82"/>
        <v>15</v>
      </c>
      <c r="B349" s="15"/>
      <c r="C349" s="16"/>
      <c r="D349" s="5"/>
      <c r="E349" s="16"/>
      <c r="F349" s="16"/>
      <c r="G349" s="16"/>
      <c r="H349" s="16"/>
      <c r="I349" s="83"/>
      <c r="J349" s="16"/>
      <c r="K349" s="16"/>
      <c r="L349" s="16"/>
      <c r="M349" s="16"/>
      <c r="N349" s="16"/>
      <c r="O349" s="16"/>
      <c r="P349" s="16"/>
    </row>
    <row r="350" spans="1:16" customFormat="1" ht="18.600000000000001" customHeight="1" x14ac:dyDescent="0.2">
      <c r="A350" s="32">
        <f t="shared" si="82"/>
        <v>16</v>
      </c>
      <c r="B350" s="1"/>
      <c r="C350" s="2"/>
      <c r="D350" s="33"/>
      <c r="E350" s="2"/>
      <c r="F350" s="2"/>
      <c r="G350" s="2"/>
      <c r="H350" s="2"/>
      <c r="I350" s="84"/>
      <c r="J350" s="2"/>
      <c r="K350" s="2"/>
      <c r="L350" s="2"/>
      <c r="M350" s="2"/>
      <c r="N350" s="2"/>
      <c r="O350" s="2"/>
      <c r="P350" s="2"/>
    </row>
    <row r="351" spans="1:16" customFormat="1" ht="18.600000000000001" customHeight="1" x14ac:dyDescent="0.2">
      <c r="A351" s="7">
        <f t="shared" si="82"/>
        <v>17</v>
      </c>
      <c r="B351" s="3"/>
      <c r="C351" s="4"/>
      <c r="D351" s="8"/>
      <c r="E351" s="4"/>
      <c r="F351" s="4"/>
      <c r="G351" s="4"/>
      <c r="H351" s="4"/>
      <c r="I351" s="85"/>
      <c r="J351" s="4"/>
      <c r="K351" s="4"/>
      <c r="L351" s="4"/>
      <c r="M351" s="4"/>
      <c r="N351" s="4"/>
      <c r="O351" s="4"/>
      <c r="P351" s="4"/>
    </row>
    <row r="352" spans="1:16" customFormat="1" ht="18.600000000000001" customHeight="1" x14ac:dyDescent="0.2">
      <c r="A352" s="7">
        <f t="shared" si="82"/>
        <v>18</v>
      </c>
      <c r="B352" s="3"/>
      <c r="C352" s="4"/>
      <c r="D352" s="8"/>
      <c r="E352" s="4"/>
      <c r="F352" s="4"/>
      <c r="G352" s="4"/>
      <c r="H352" s="4"/>
      <c r="I352" s="85"/>
      <c r="J352" s="4"/>
      <c r="K352" s="4"/>
      <c r="L352" s="4"/>
      <c r="M352" s="4"/>
      <c r="N352" s="4"/>
      <c r="O352" s="4"/>
      <c r="P352" s="4"/>
    </row>
    <row r="353" spans="1:16" customFormat="1" ht="18.600000000000001" customHeight="1" x14ac:dyDescent="0.2">
      <c r="A353" s="7">
        <f t="shared" si="82"/>
        <v>19</v>
      </c>
      <c r="B353" s="3"/>
      <c r="C353" s="4"/>
      <c r="D353" s="8"/>
      <c r="E353" s="4"/>
      <c r="F353" s="4"/>
      <c r="G353" s="4"/>
      <c r="H353" s="4"/>
      <c r="I353" s="85"/>
      <c r="J353" s="4"/>
      <c r="K353" s="4"/>
      <c r="L353" s="4"/>
      <c r="M353" s="4"/>
      <c r="N353" s="4"/>
      <c r="O353" s="4"/>
      <c r="P353" s="4"/>
    </row>
    <row r="354" spans="1:16" customFormat="1" ht="18.600000000000001" customHeight="1" x14ac:dyDescent="0.2">
      <c r="A354" s="10">
        <f t="shared" si="82"/>
        <v>20</v>
      </c>
      <c r="B354" s="11"/>
      <c r="C354" s="12"/>
      <c r="D354" s="9"/>
      <c r="E354" s="12"/>
      <c r="F354" s="12"/>
      <c r="G354" s="12"/>
      <c r="H354" s="12"/>
      <c r="I354" s="86"/>
      <c r="J354" s="12"/>
      <c r="K354" s="12"/>
      <c r="L354" s="12"/>
      <c r="M354" s="12"/>
      <c r="N354" s="12"/>
      <c r="O354" s="12"/>
      <c r="P354" s="12"/>
    </row>
    <row r="355" spans="1:16" customFormat="1" ht="18.600000000000001" customHeight="1" x14ac:dyDescent="0.2">
      <c r="A355" s="35">
        <f t="shared" si="82"/>
        <v>21</v>
      </c>
      <c r="B355" s="13"/>
      <c r="C355" s="14"/>
      <c r="D355" s="37"/>
      <c r="E355" s="14"/>
      <c r="F355" s="14"/>
      <c r="G355" s="14"/>
      <c r="H355" s="14"/>
      <c r="I355" s="87"/>
      <c r="J355" s="14"/>
      <c r="K355" s="14"/>
      <c r="L355" s="14"/>
      <c r="M355" s="14"/>
      <c r="N355" s="14"/>
      <c r="O355" s="14"/>
      <c r="P355" s="14"/>
    </row>
    <row r="356" spans="1:16" customFormat="1" ht="18.600000000000001" customHeight="1" x14ac:dyDescent="0.2">
      <c r="A356" s="7">
        <f t="shared" si="82"/>
        <v>22</v>
      </c>
      <c r="B356" s="3"/>
      <c r="C356" s="4"/>
      <c r="D356" s="8"/>
      <c r="E356" s="4"/>
      <c r="F356" s="4"/>
      <c r="G356" s="4"/>
      <c r="H356" s="4"/>
      <c r="I356" s="85"/>
      <c r="J356" s="4"/>
      <c r="K356" s="4"/>
      <c r="L356" s="4"/>
      <c r="M356" s="4"/>
      <c r="N356" s="4"/>
      <c r="O356" s="4"/>
      <c r="P356" s="4"/>
    </row>
    <row r="357" spans="1:16" customFormat="1" ht="18.600000000000001" customHeight="1" x14ac:dyDescent="0.2">
      <c r="A357" s="35">
        <f t="shared" si="82"/>
        <v>23</v>
      </c>
      <c r="B357" s="3"/>
      <c r="C357" s="4"/>
      <c r="D357" s="8"/>
      <c r="E357" s="4"/>
      <c r="F357" s="4"/>
      <c r="G357" s="4"/>
      <c r="H357" s="4"/>
      <c r="I357" s="85"/>
      <c r="J357" s="4"/>
      <c r="K357" s="4"/>
      <c r="L357" s="4"/>
      <c r="M357" s="4"/>
      <c r="N357" s="4"/>
      <c r="O357" s="4"/>
      <c r="P357" s="4"/>
    </row>
    <row r="358" spans="1:16" customFormat="1" ht="18.600000000000001" customHeight="1" x14ac:dyDescent="0.2">
      <c r="A358" s="7">
        <f t="shared" si="82"/>
        <v>24</v>
      </c>
      <c r="B358" s="3"/>
      <c r="C358" s="4"/>
      <c r="D358" s="8"/>
      <c r="E358" s="4"/>
      <c r="F358" s="4"/>
      <c r="G358" s="4"/>
      <c r="H358" s="4"/>
      <c r="I358" s="85"/>
      <c r="J358" s="4"/>
      <c r="K358" s="4"/>
      <c r="L358" s="4"/>
      <c r="M358" s="4"/>
      <c r="N358" s="4"/>
      <c r="O358" s="4"/>
      <c r="P358" s="4"/>
    </row>
    <row r="359" spans="1:16" customFormat="1" ht="18.600000000000001" customHeight="1" x14ac:dyDescent="0.2">
      <c r="A359" s="35">
        <f t="shared" si="82"/>
        <v>25</v>
      </c>
      <c r="B359" s="11"/>
      <c r="C359" s="12"/>
      <c r="D359" s="9"/>
      <c r="E359" s="12"/>
      <c r="F359" s="12"/>
      <c r="G359" s="12"/>
      <c r="H359" s="12"/>
      <c r="I359" s="86"/>
      <c r="J359" s="12"/>
      <c r="K359" s="12"/>
      <c r="L359" s="12"/>
      <c r="M359" s="12"/>
      <c r="N359" s="12"/>
      <c r="O359" s="12"/>
      <c r="P359" s="12"/>
    </row>
    <row r="360" spans="1:16" customFormat="1" ht="18.600000000000001" customHeight="1" x14ac:dyDescent="0.3">
      <c r="A360" s="147"/>
      <c r="B360" s="148"/>
      <c r="C360" s="147"/>
      <c r="D360" s="149"/>
      <c r="E360" s="150">
        <f>SUBTOTAL(9,E335:E359)</f>
        <v>0</v>
      </c>
      <c r="F360" s="152"/>
      <c r="G360" s="150">
        <f t="shared" ref="G360" si="83">SUBTOTAL(9,G335:G359)</f>
        <v>0</v>
      </c>
      <c r="H360" s="152"/>
      <c r="I360" s="150">
        <f t="shared" ref="I360" si="84">SUBTOTAL(9,I335:I359)</f>
        <v>0</v>
      </c>
      <c r="J360" s="152"/>
      <c r="K360" s="152"/>
      <c r="L360" s="152"/>
      <c r="M360" s="150">
        <f t="shared" ref="M360" si="85">SUBTOTAL(9,M335:M359)</f>
        <v>0</v>
      </c>
      <c r="N360" s="152"/>
      <c r="O360" s="150">
        <f t="shared" ref="O360" si="86">SUBTOTAL(9,O335:O359)</f>
        <v>0</v>
      </c>
      <c r="P360" s="152"/>
    </row>
    <row r="361" spans="1:16" customFormat="1" ht="18.600000000000001" customHeight="1" x14ac:dyDescent="0.2">
      <c r="A361" s="434" t="str">
        <f>A331</f>
        <v>DANH SÁCH LỚP TOÁN</v>
      </c>
      <c r="B361" s="434"/>
      <c r="C361" s="434"/>
      <c r="D361" s="434"/>
      <c r="E361" s="434"/>
      <c r="F361" s="434"/>
      <c r="G361" s="434"/>
      <c r="H361" s="434"/>
      <c r="I361" s="92" t="s">
        <v>1047</v>
      </c>
      <c r="J361" s="48"/>
      <c r="K361" s="48"/>
      <c r="L361" s="48"/>
      <c r="M361" s="41"/>
      <c r="N361" s="41"/>
      <c r="O361" s="41"/>
      <c r="P361" s="41"/>
    </row>
    <row r="362" spans="1:16" customFormat="1" ht="18.600000000000001" customHeight="1" x14ac:dyDescent="0.2">
      <c r="A362" s="28"/>
      <c r="B362" s="29"/>
      <c r="C362" s="30"/>
      <c r="D362" s="36"/>
      <c r="E362" s="28"/>
      <c r="F362" s="28"/>
      <c r="G362" s="28"/>
      <c r="H362" s="28"/>
      <c r="I362" s="79"/>
      <c r="J362" s="28"/>
      <c r="K362" s="28"/>
      <c r="L362" s="28"/>
      <c r="M362" s="28"/>
      <c r="N362" s="28"/>
      <c r="O362" s="28"/>
      <c r="P362" s="28"/>
    </row>
    <row r="363" spans="1:16" customFormat="1" ht="18.600000000000001" customHeight="1" x14ac:dyDescent="0.2">
      <c r="A363" s="435" t="s">
        <v>374</v>
      </c>
      <c r="B363" s="435" t="s">
        <v>380</v>
      </c>
      <c r="C363" s="435" t="s">
        <v>383</v>
      </c>
      <c r="D363" s="437" t="s">
        <v>384</v>
      </c>
      <c r="E363" s="438" t="s">
        <v>385</v>
      </c>
      <c r="F363" s="439"/>
      <c r="G363" s="432" t="str">
        <f>$R$1</f>
        <v>Đợt 6</v>
      </c>
      <c r="H363" s="433"/>
      <c r="I363" s="432" t="str">
        <f>$T$1</f>
        <v>Đợt 7</v>
      </c>
      <c r="J363" s="433"/>
      <c r="K363" s="432" t="str">
        <f>$V$1</f>
        <v>Đợt 8</v>
      </c>
      <c r="L363" s="433"/>
      <c r="M363" s="432" t="str">
        <f>$X$1</f>
        <v>Đợt 9</v>
      </c>
      <c r="N363" s="433"/>
      <c r="O363" s="432" t="str">
        <f>$Z$1</f>
        <v>Đợt 10</v>
      </c>
      <c r="P363" s="433"/>
    </row>
    <row r="364" spans="1:16" customFormat="1" ht="18.600000000000001" customHeight="1" x14ac:dyDescent="0.2">
      <c r="A364" s="436"/>
      <c r="B364" s="436"/>
      <c r="C364" s="436"/>
      <c r="D364" s="436"/>
      <c r="E364" s="31" t="s">
        <v>381</v>
      </c>
      <c r="F364" s="31" t="s">
        <v>382</v>
      </c>
      <c r="G364" s="31" t="s">
        <v>381</v>
      </c>
      <c r="H364" s="31" t="s">
        <v>382</v>
      </c>
      <c r="I364" s="80" t="s">
        <v>381</v>
      </c>
      <c r="J364" s="31" t="s">
        <v>382</v>
      </c>
      <c r="K364" s="80" t="s">
        <v>381</v>
      </c>
      <c r="L364" s="31" t="s">
        <v>382</v>
      </c>
      <c r="M364" s="31" t="s">
        <v>381</v>
      </c>
      <c r="N364" s="31" t="s">
        <v>382</v>
      </c>
      <c r="O364" s="31" t="s">
        <v>381</v>
      </c>
      <c r="P364" s="31" t="s">
        <v>382</v>
      </c>
    </row>
    <row r="365" spans="1:16" customFormat="1" ht="18.600000000000001" customHeight="1" x14ac:dyDescent="0.2">
      <c r="A365" s="32">
        <v>1</v>
      </c>
      <c r="B365" s="25" t="s">
        <v>210</v>
      </c>
      <c r="C365" s="25" t="s">
        <v>63</v>
      </c>
      <c r="D365" s="24">
        <v>914112811</v>
      </c>
      <c r="E365" s="32"/>
      <c r="F365" s="34"/>
      <c r="G365" s="32"/>
      <c r="H365" s="93"/>
      <c r="I365" s="81"/>
      <c r="J365" s="34"/>
      <c r="K365" s="34"/>
      <c r="L365" s="34"/>
      <c r="M365" s="32"/>
      <c r="N365" s="34"/>
      <c r="O365" s="32"/>
      <c r="P365" s="34"/>
    </row>
    <row r="366" spans="1:16" customFormat="1" ht="18.600000000000001" customHeight="1" x14ac:dyDescent="0.2">
      <c r="A366" s="7">
        <f t="shared" ref="A366:A389" si="87">A365+1</f>
        <v>2</v>
      </c>
      <c r="B366" s="24" t="s">
        <v>480</v>
      </c>
      <c r="C366" s="24" t="s">
        <v>68</v>
      </c>
      <c r="D366" s="163">
        <v>763990916</v>
      </c>
      <c r="E366" s="7"/>
      <c r="F366" s="7"/>
      <c r="G366" s="7"/>
      <c r="H366" s="7"/>
      <c r="I366" s="82"/>
      <c r="J366" s="7"/>
      <c r="K366" s="7"/>
      <c r="L366" s="7"/>
      <c r="M366" s="7"/>
      <c r="N366" s="7"/>
      <c r="O366" s="7"/>
      <c r="P366" s="7"/>
    </row>
    <row r="367" spans="1:16" customFormat="1" ht="18.600000000000001" customHeight="1" x14ac:dyDescent="0.2">
      <c r="A367" s="7">
        <f t="shared" si="87"/>
        <v>3</v>
      </c>
      <c r="B367" s="24" t="s">
        <v>931</v>
      </c>
      <c r="C367" s="24" t="s">
        <v>932</v>
      </c>
      <c r="D367" s="163"/>
      <c r="E367" s="7"/>
      <c r="F367" s="7"/>
      <c r="G367" s="7"/>
      <c r="H367" s="7"/>
      <c r="I367" s="82"/>
      <c r="J367" s="7"/>
      <c r="K367" s="7"/>
      <c r="L367" s="7"/>
      <c r="M367" s="7"/>
      <c r="N367" s="7"/>
      <c r="O367" s="7"/>
      <c r="P367" s="7"/>
    </row>
    <row r="368" spans="1:16" customFormat="1" ht="18.600000000000001" customHeight="1" x14ac:dyDescent="0.2">
      <c r="A368" s="7">
        <f t="shared" si="87"/>
        <v>4</v>
      </c>
      <c r="B368" s="24" t="s">
        <v>930</v>
      </c>
      <c r="C368" s="24" t="s">
        <v>929</v>
      </c>
      <c r="D368" s="163"/>
      <c r="E368" s="7"/>
      <c r="F368" s="7"/>
      <c r="G368" s="7"/>
      <c r="H368" s="7"/>
      <c r="I368" s="82"/>
      <c r="J368" s="7"/>
      <c r="K368" s="7"/>
      <c r="L368" s="7"/>
      <c r="M368" s="7"/>
      <c r="N368" s="7"/>
      <c r="O368" s="7"/>
      <c r="P368" s="7"/>
    </row>
    <row r="369" spans="1:16" customFormat="1" ht="18.600000000000001" customHeight="1" x14ac:dyDescent="0.2">
      <c r="A369" s="6">
        <f t="shared" si="87"/>
        <v>5</v>
      </c>
      <c r="B369" s="24" t="s">
        <v>1072</v>
      </c>
      <c r="C369" s="24" t="s">
        <v>1073</v>
      </c>
      <c r="D369" s="163"/>
      <c r="E369" s="16"/>
      <c r="F369" s="16"/>
      <c r="G369" s="16"/>
      <c r="H369" s="16"/>
      <c r="I369" s="83"/>
      <c r="J369" s="16"/>
      <c r="K369" s="16"/>
      <c r="L369" s="16"/>
      <c r="M369" s="16"/>
      <c r="N369" s="16"/>
      <c r="O369" s="16"/>
      <c r="P369" s="16"/>
    </row>
    <row r="370" spans="1:16" customFormat="1" ht="18.600000000000001" customHeight="1" x14ac:dyDescent="0.2">
      <c r="A370" s="56">
        <f t="shared" si="87"/>
        <v>6</v>
      </c>
      <c r="B370" s="24" t="s">
        <v>1000</v>
      </c>
      <c r="C370" s="24" t="s">
        <v>13</v>
      </c>
      <c r="D370" s="163"/>
      <c r="E370" s="2"/>
      <c r="F370" s="2"/>
      <c r="G370" s="2"/>
      <c r="H370" s="2"/>
      <c r="I370" s="84"/>
      <c r="J370" s="2"/>
      <c r="K370" s="2"/>
      <c r="L370" s="2"/>
      <c r="M370" s="2"/>
      <c r="N370" s="2"/>
      <c r="O370" s="2"/>
      <c r="P370" s="2"/>
    </row>
    <row r="371" spans="1:16" customFormat="1" ht="18.600000000000001" customHeight="1" x14ac:dyDescent="0.2">
      <c r="A371" s="6">
        <f t="shared" si="87"/>
        <v>7</v>
      </c>
      <c r="B371" s="25" t="s">
        <v>504</v>
      </c>
      <c r="C371" s="25" t="s">
        <v>126</v>
      </c>
      <c r="D371" s="163"/>
      <c r="E371" s="4"/>
      <c r="F371" s="4"/>
      <c r="G371" s="4"/>
      <c r="H371" s="4"/>
      <c r="I371" s="85"/>
      <c r="J371" s="4"/>
      <c r="K371" s="4"/>
      <c r="L371" s="4"/>
      <c r="M371" s="4"/>
      <c r="N371" s="4"/>
      <c r="O371" s="4"/>
      <c r="P371" s="4"/>
    </row>
    <row r="372" spans="1:16" customFormat="1" ht="18.600000000000001" customHeight="1" x14ac:dyDescent="0.2">
      <c r="A372" s="6">
        <f t="shared" si="87"/>
        <v>8</v>
      </c>
      <c r="B372" s="24" t="s">
        <v>225</v>
      </c>
      <c r="C372" s="24" t="s">
        <v>73</v>
      </c>
      <c r="D372" s="163"/>
      <c r="E372" s="4"/>
      <c r="F372" s="4"/>
      <c r="G372" s="4"/>
      <c r="H372" s="4"/>
      <c r="I372" s="85"/>
      <c r="J372" s="4"/>
      <c r="K372" s="4"/>
      <c r="L372" s="4"/>
      <c r="M372" s="4"/>
      <c r="N372" s="4"/>
      <c r="O372" s="4"/>
      <c r="P372" s="4"/>
    </row>
    <row r="373" spans="1:16" customFormat="1" ht="18.600000000000001" customHeight="1" x14ac:dyDescent="0.2">
      <c r="A373" s="6">
        <f t="shared" si="87"/>
        <v>9</v>
      </c>
      <c r="B373" s="25" t="s">
        <v>192</v>
      </c>
      <c r="C373" s="25" t="s">
        <v>24</v>
      </c>
      <c r="D373" s="163">
        <v>862037846</v>
      </c>
      <c r="E373" s="4"/>
      <c r="F373" s="4"/>
      <c r="G373" s="4"/>
      <c r="H373" s="4"/>
      <c r="I373" s="85"/>
      <c r="J373" s="4"/>
      <c r="K373" s="4"/>
      <c r="L373" s="4"/>
      <c r="M373" s="4"/>
      <c r="N373" s="4"/>
      <c r="O373" s="4"/>
      <c r="P373" s="4"/>
    </row>
    <row r="374" spans="1:16" customFormat="1" ht="18.600000000000001" customHeight="1" x14ac:dyDescent="0.2">
      <c r="A374" s="10">
        <f t="shared" si="87"/>
        <v>10</v>
      </c>
      <c r="B374" s="24" t="s">
        <v>189</v>
      </c>
      <c r="C374" s="24" t="s">
        <v>46</v>
      </c>
      <c r="D374" s="163"/>
      <c r="E374" s="12"/>
      <c r="F374" s="12"/>
      <c r="G374" s="12"/>
      <c r="H374" s="12"/>
      <c r="I374" s="86"/>
      <c r="J374" s="12"/>
      <c r="K374" s="12"/>
      <c r="L374" s="12"/>
      <c r="M374" s="12"/>
      <c r="N374" s="12"/>
      <c r="O374" s="12"/>
      <c r="P374" s="12"/>
    </row>
    <row r="375" spans="1:16" customFormat="1" ht="18.600000000000001" customHeight="1" x14ac:dyDescent="0.2">
      <c r="A375" s="35">
        <f t="shared" si="87"/>
        <v>11</v>
      </c>
      <c r="B375" s="24" t="s">
        <v>226</v>
      </c>
      <c r="C375" s="24" t="s">
        <v>74</v>
      </c>
      <c r="D375" s="163"/>
      <c r="E375" s="14"/>
      <c r="F375" s="14"/>
      <c r="G375" s="14"/>
      <c r="H375" s="14"/>
      <c r="I375" s="87"/>
      <c r="J375" s="14"/>
      <c r="K375" s="14"/>
      <c r="L375" s="14"/>
      <c r="M375" s="14"/>
      <c r="N375" s="14"/>
      <c r="O375" s="14"/>
      <c r="P375" s="14"/>
    </row>
    <row r="376" spans="1:16" customFormat="1" ht="18.600000000000001" customHeight="1" x14ac:dyDescent="0.2">
      <c r="A376" s="7">
        <f t="shared" si="87"/>
        <v>12</v>
      </c>
      <c r="B376" s="25" t="s">
        <v>202</v>
      </c>
      <c r="C376" s="25" t="s">
        <v>57</v>
      </c>
      <c r="D376" s="163"/>
      <c r="E376" s="4"/>
      <c r="F376" s="4"/>
      <c r="G376" s="4"/>
      <c r="H376" s="4"/>
      <c r="I376" s="85"/>
      <c r="J376" s="4"/>
      <c r="K376" s="4"/>
      <c r="L376" s="4"/>
      <c r="M376" s="4"/>
      <c r="N376" s="4"/>
      <c r="O376" s="4"/>
      <c r="P376" s="4"/>
    </row>
    <row r="377" spans="1:16" customFormat="1" ht="18.600000000000001" customHeight="1" x14ac:dyDescent="0.2">
      <c r="A377" s="7">
        <f t="shared" si="87"/>
        <v>13</v>
      </c>
      <c r="B377" s="24" t="s">
        <v>213</v>
      </c>
      <c r="C377" s="24" t="s">
        <v>65</v>
      </c>
      <c r="D377" s="163"/>
      <c r="E377" s="4"/>
      <c r="F377" s="4"/>
      <c r="G377" s="4"/>
      <c r="H377" s="4"/>
      <c r="I377" s="85"/>
      <c r="J377" s="4"/>
      <c r="K377" s="4"/>
      <c r="L377" s="4"/>
      <c r="M377" s="4"/>
      <c r="N377" s="4"/>
      <c r="O377" s="4"/>
      <c r="P377" s="4"/>
    </row>
    <row r="378" spans="1:16" customFormat="1" ht="18.600000000000001" customHeight="1" x14ac:dyDescent="0.2">
      <c r="A378" s="7">
        <f t="shared" si="87"/>
        <v>14</v>
      </c>
      <c r="B378" s="25" t="s">
        <v>190</v>
      </c>
      <c r="C378" s="25" t="s">
        <v>499</v>
      </c>
      <c r="D378" s="163">
        <v>387652974</v>
      </c>
      <c r="E378" s="4"/>
      <c r="F378" s="4"/>
      <c r="G378" s="4"/>
      <c r="H378" s="4"/>
      <c r="I378" s="85"/>
      <c r="J378" s="4"/>
      <c r="K378" s="4"/>
      <c r="L378" s="4"/>
      <c r="M378" s="4"/>
      <c r="N378" s="4"/>
      <c r="O378" s="4"/>
      <c r="P378" s="4"/>
    </row>
    <row r="379" spans="1:16" customFormat="1" ht="18.600000000000001" customHeight="1" x14ac:dyDescent="0.2">
      <c r="A379" s="6">
        <f t="shared" si="87"/>
        <v>15</v>
      </c>
      <c r="B379" s="24" t="s">
        <v>224</v>
      </c>
      <c r="C379" s="24" t="s">
        <v>20</v>
      </c>
      <c r="D379" s="163"/>
      <c r="E379" s="16"/>
      <c r="F379" s="16"/>
      <c r="G379" s="16"/>
      <c r="H379" s="16"/>
      <c r="I379" s="83"/>
      <c r="J379" s="16"/>
      <c r="K379" s="16"/>
      <c r="L379" s="16"/>
      <c r="M379" s="16"/>
      <c r="N379" s="16"/>
      <c r="O379" s="16"/>
      <c r="P379" s="16"/>
    </row>
    <row r="380" spans="1:16" customFormat="1" ht="18.600000000000001" customHeight="1" x14ac:dyDescent="0.2">
      <c r="A380" s="32">
        <f t="shared" si="87"/>
        <v>16</v>
      </c>
      <c r="B380" s="1"/>
      <c r="C380" s="2"/>
      <c r="D380" s="33"/>
      <c r="E380" s="2"/>
      <c r="F380" s="2"/>
      <c r="G380" s="2"/>
      <c r="H380" s="2"/>
      <c r="I380" s="84"/>
      <c r="J380" s="2"/>
      <c r="K380" s="2"/>
      <c r="L380" s="2"/>
      <c r="M380" s="2"/>
      <c r="N380" s="2"/>
      <c r="O380" s="2"/>
      <c r="P380" s="2"/>
    </row>
    <row r="381" spans="1:16" customFormat="1" ht="18.600000000000001" customHeight="1" x14ac:dyDescent="0.2">
      <c r="A381" s="7">
        <f t="shared" si="87"/>
        <v>17</v>
      </c>
      <c r="B381" s="3"/>
      <c r="C381" s="4"/>
      <c r="D381" s="8"/>
      <c r="E381" s="4"/>
      <c r="F381" s="4"/>
      <c r="G381" s="4"/>
      <c r="H381" s="4"/>
      <c r="I381" s="85"/>
      <c r="J381" s="4"/>
      <c r="K381" s="4"/>
      <c r="L381" s="4"/>
      <c r="M381" s="4"/>
      <c r="N381" s="4"/>
      <c r="O381" s="4"/>
      <c r="P381" s="4"/>
    </row>
    <row r="382" spans="1:16" customFormat="1" ht="18.600000000000001" customHeight="1" x14ac:dyDescent="0.2">
      <c r="A382" s="7">
        <f t="shared" si="87"/>
        <v>18</v>
      </c>
      <c r="B382" s="3"/>
      <c r="C382" s="4"/>
      <c r="D382" s="8"/>
      <c r="E382" s="4"/>
      <c r="F382" s="4"/>
      <c r="G382" s="4"/>
      <c r="H382" s="4"/>
      <c r="I382" s="85"/>
      <c r="J382" s="4"/>
      <c r="K382" s="4"/>
      <c r="L382" s="4"/>
      <c r="M382" s="4"/>
      <c r="N382" s="4"/>
      <c r="O382" s="4"/>
      <c r="P382" s="4"/>
    </row>
    <row r="383" spans="1:16" customFormat="1" ht="18.600000000000001" customHeight="1" x14ac:dyDescent="0.2">
      <c r="A383" s="7">
        <f t="shared" si="87"/>
        <v>19</v>
      </c>
      <c r="B383" s="3"/>
      <c r="C383" s="4"/>
      <c r="D383" s="8"/>
      <c r="E383" s="4"/>
      <c r="F383" s="4"/>
      <c r="G383" s="4"/>
      <c r="H383" s="4"/>
      <c r="I383" s="85"/>
      <c r="J383" s="4"/>
      <c r="K383" s="4"/>
      <c r="L383" s="4"/>
      <c r="M383" s="4"/>
      <c r="N383" s="4"/>
      <c r="O383" s="4"/>
      <c r="P383" s="4"/>
    </row>
    <row r="384" spans="1:16" customFormat="1" ht="18.600000000000001" customHeight="1" x14ac:dyDescent="0.2">
      <c r="A384" s="10">
        <f t="shared" si="87"/>
        <v>20</v>
      </c>
      <c r="B384" s="11"/>
      <c r="C384" s="12"/>
      <c r="D384" s="9"/>
      <c r="E384" s="12"/>
      <c r="F384" s="12"/>
      <c r="G384" s="12"/>
      <c r="H384" s="12"/>
      <c r="I384" s="86"/>
      <c r="J384" s="12"/>
      <c r="K384" s="12"/>
      <c r="L384" s="12"/>
      <c r="M384" s="12"/>
      <c r="N384" s="12"/>
      <c r="O384" s="12"/>
      <c r="P384" s="12"/>
    </row>
    <row r="385" spans="1:16" customFormat="1" ht="18.600000000000001" customHeight="1" x14ac:dyDescent="0.2">
      <c r="A385" s="35">
        <f t="shared" si="87"/>
        <v>21</v>
      </c>
      <c r="B385" s="13"/>
      <c r="C385" s="14"/>
      <c r="D385" s="37"/>
      <c r="E385" s="14"/>
      <c r="F385" s="14"/>
      <c r="G385" s="14"/>
      <c r="H385" s="14"/>
      <c r="I385" s="87"/>
      <c r="J385" s="14"/>
      <c r="K385" s="14"/>
      <c r="L385" s="14"/>
      <c r="M385" s="14"/>
      <c r="N385" s="14"/>
      <c r="O385" s="14"/>
      <c r="P385" s="14"/>
    </row>
    <row r="386" spans="1:16" customFormat="1" ht="18.600000000000001" customHeight="1" x14ac:dyDescent="0.2">
      <c r="A386" s="7">
        <f t="shared" si="87"/>
        <v>22</v>
      </c>
      <c r="B386" s="3"/>
      <c r="C386" s="4"/>
      <c r="D386" s="8"/>
      <c r="E386" s="4"/>
      <c r="F386" s="4"/>
      <c r="G386" s="4"/>
      <c r="H386" s="4"/>
      <c r="I386" s="85"/>
      <c r="J386" s="4"/>
      <c r="K386" s="4"/>
      <c r="L386" s="4"/>
      <c r="M386" s="4"/>
      <c r="N386" s="4"/>
      <c r="O386" s="4"/>
      <c r="P386" s="4"/>
    </row>
    <row r="387" spans="1:16" customFormat="1" ht="18.600000000000001" customHeight="1" x14ac:dyDescent="0.2">
      <c r="A387" s="35">
        <f t="shared" si="87"/>
        <v>23</v>
      </c>
      <c r="B387" s="3"/>
      <c r="C387" s="4"/>
      <c r="D387" s="8"/>
      <c r="E387" s="4"/>
      <c r="F387" s="4"/>
      <c r="G387" s="4"/>
      <c r="H387" s="4"/>
      <c r="I387" s="85"/>
      <c r="J387" s="4"/>
      <c r="K387" s="4"/>
      <c r="L387" s="4"/>
      <c r="M387" s="4"/>
      <c r="N387" s="4"/>
      <c r="O387" s="4"/>
      <c r="P387" s="4"/>
    </row>
    <row r="388" spans="1:16" customFormat="1" ht="18.600000000000001" customHeight="1" x14ac:dyDescent="0.2">
      <c r="A388" s="7">
        <f t="shared" si="87"/>
        <v>24</v>
      </c>
      <c r="B388" s="3"/>
      <c r="C388" s="4"/>
      <c r="D388" s="8"/>
      <c r="E388" s="4"/>
      <c r="F388" s="4"/>
      <c r="G388" s="4"/>
      <c r="H388" s="4"/>
      <c r="I388" s="85"/>
      <c r="J388" s="4"/>
      <c r="K388" s="4"/>
      <c r="L388" s="4"/>
      <c r="M388" s="4"/>
      <c r="N388" s="4"/>
      <c r="O388" s="4"/>
      <c r="P388" s="4"/>
    </row>
    <row r="389" spans="1:16" customFormat="1" ht="18.600000000000001" customHeight="1" x14ac:dyDescent="0.2">
      <c r="A389" s="35">
        <f t="shared" si="87"/>
        <v>25</v>
      </c>
      <c r="B389" s="11"/>
      <c r="C389" s="12"/>
      <c r="D389" s="9"/>
      <c r="E389" s="12"/>
      <c r="F389" s="12"/>
      <c r="G389" s="12"/>
      <c r="H389" s="12"/>
      <c r="I389" s="86"/>
      <c r="J389" s="12"/>
      <c r="K389" s="12"/>
      <c r="L389" s="12"/>
      <c r="M389" s="12"/>
      <c r="N389" s="12"/>
      <c r="O389" s="12"/>
      <c r="P389" s="12"/>
    </row>
    <row r="390" spans="1:16" customFormat="1" ht="18.600000000000001" customHeight="1" x14ac:dyDescent="0.3">
      <c r="A390" s="147"/>
      <c r="B390" s="148"/>
      <c r="C390" s="147"/>
      <c r="D390" s="149"/>
      <c r="E390" s="150">
        <f>SUBTOTAL(9,E365:E389)</f>
        <v>0</v>
      </c>
      <c r="F390" s="152"/>
      <c r="G390" s="150">
        <f t="shared" ref="G390" si="88">SUBTOTAL(9,G365:G389)</f>
        <v>0</v>
      </c>
      <c r="H390" s="152"/>
      <c r="I390" s="150">
        <f t="shared" ref="I390" si="89">SUBTOTAL(9,I365:I389)</f>
        <v>0</v>
      </c>
      <c r="J390" s="152"/>
      <c r="K390" s="152"/>
      <c r="L390" s="152"/>
      <c r="M390" s="150">
        <f t="shared" ref="M390" si="90">SUBTOTAL(9,M365:M389)</f>
        <v>0</v>
      </c>
      <c r="N390" s="152"/>
      <c r="O390" s="150">
        <f t="shared" ref="O390" si="91">SUBTOTAL(9,O365:O389)</f>
        <v>0</v>
      </c>
      <c r="P390" s="152"/>
    </row>
    <row r="391" spans="1:16" customFormat="1" ht="18.600000000000001" customHeight="1" x14ac:dyDescent="0.2">
      <c r="A391" s="434" t="str">
        <f>A361</f>
        <v>DANH SÁCH LỚP TOÁN</v>
      </c>
      <c r="B391" s="434"/>
      <c r="C391" s="434"/>
      <c r="D391" s="434"/>
      <c r="E391" s="434"/>
      <c r="F391" s="434"/>
      <c r="G391" s="434"/>
      <c r="H391" s="434"/>
      <c r="I391" s="92" t="s">
        <v>1036</v>
      </c>
      <c r="J391" s="48"/>
      <c r="K391" s="48"/>
      <c r="L391" s="48"/>
      <c r="M391" s="41"/>
      <c r="N391" s="41"/>
      <c r="O391" s="41"/>
      <c r="P391" s="41"/>
    </row>
    <row r="392" spans="1:16" customFormat="1" ht="18.600000000000001" customHeight="1" x14ac:dyDescent="0.2">
      <c r="A392" s="28"/>
      <c r="B392" s="29"/>
      <c r="C392" s="30"/>
      <c r="D392" s="36"/>
      <c r="E392" s="28"/>
      <c r="F392" s="28"/>
      <c r="G392" s="28"/>
      <c r="H392" s="28"/>
      <c r="I392" s="79"/>
      <c r="J392" s="28"/>
      <c r="K392" s="28"/>
      <c r="L392" s="28"/>
      <c r="M392" s="28"/>
      <c r="N392" s="28"/>
      <c r="O392" s="28"/>
      <c r="P392" s="28"/>
    </row>
    <row r="393" spans="1:16" customFormat="1" ht="18.600000000000001" customHeight="1" x14ac:dyDescent="0.2">
      <c r="A393" s="435" t="s">
        <v>374</v>
      </c>
      <c r="B393" s="435" t="s">
        <v>380</v>
      </c>
      <c r="C393" s="435" t="s">
        <v>383</v>
      </c>
      <c r="D393" s="437" t="s">
        <v>384</v>
      </c>
      <c r="E393" s="438" t="s">
        <v>385</v>
      </c>
      <c r="F393" s="439"/>
      <c r="G393" s="432" t="str">
        <f>$R$1</f>
        <v>Đợt 6</v>
      </c>
      <c r="H393" s="433"/>
      <c r="I393" s="432" t="str">
        <f>$T$1</f>
        <v>Đợt 7</v>
      </c>
      <c r="J393" s="433"/>
      <c r="K393" s="432" t="str">
        <f>$V$1</f>
        <v>Đợt 8</v>
      </c>
      <c r="L393" s="433"/>
      <c r="M393" s="432" t="str">
        <f>$X$1</f>
        <v>Đợt 9</v>
      </c>
      <c r="N393" s="433"/>
      <c r="O393" s="432" t="str">
        <f>$Z$1</f>
        <v>Đợt 10</v>
      </c>
      <c r="P393" s="433"/>
    </row>
    <row r="394" spans="1:16" customFormat="1" ht="18.600000000000001" customHeight="1" x14ac:dyDescent="0.2">
      <c r="A394" s="436"/>
      <c r="B394" s="436"/>
      <c r="C394" s="436"/>
      <c r="D394" s="436"/>
      <c r="E394" s="31" t="s">
        <v>381</v>
      </c>
      <c r="F394" s="31" t="s">
        <v>382</v>
      </c>
      <c r="G394" s="31" t="s">
        <v>381</v>
      </c>
      <c r="H394" s="31" t="s">
        <v>382</v>
      </c>
      <c r="I394" s="80" t="s">
        <v>381</v>
      </c>
      <c r="J394" s="31" t="s">
        <v>382</v>
      </c>
      <c r="K394" s="80" t="s">
        <v>381</v>
      </c>
      <c r="L394" s="31" t="s">
        <v>382</v>
      </c>
      <c r="M394" s="31" t="s">
        <v>381</v>
      </c>
      <c r="N394" s="31" t="s">
        <v>382</v>
      </c>
      <c r="O394" s="31" t="s">
        <v>381</v>
      </c>
      <c r="P394" s="31" t="s">
        <v>382</v>
      </c>
    </row>
    <row r="395" spans="1:16" customFormat="1" ht="18.600000000000001" customHeight="1" x14ac:dyDescent="0.2">
      <c r="A395" s="32">
        <v>1</v>
      </c>
      <c r="B395" s="24" t="s">
        <v>238</v>
      </c>
      <c r="C395" s="24" t="s">
        <v>70</v>
      </c>
      <c r="D395" s="24">
        <v>816333550</v>
      </c>
      <c r="E395" s="32"/>
      <c r="F395" s="34"/>
      <c r="G395" s="32"/>
      <c r="H395" s="93"/>
      <c r="I395" s="81"/>
      <c r="J395" s="34"/>
      <c r="K395" s="34"/>
      <c r="L395" s="34"/>
      <c r="M395" s="32"/>
      <c r="N395" s="34"/>
      <c r="O395" s="32"/>
      <c r="P395" s="34"/>
    </row>
    <row r="396" spans="1:16" customFormat="1" ht="18.600000000000001" customHeight="1" x14ac:dyDescent="0.2">
      <c r="A396" s="7">
        <f t="shared" ref="A396:A419" si="92">A395+1</f>
        <v>2</v>
      </c>
      <c r="B396" s="25" t="s">
        <v>598</v>
      </c>
      <c r="C396" s="25" t="s">
        <v>599</v>
      </c>
      <c r="D396" s="163"/>
      <c r="E396" s="7"/>
      <c r="F396" s="7"/>
      <c r="G396" s="7"/>
      <c r="H396" s="7"/>
      <c r="I396" s="82"/>
      <c r="J396" s="7"/>
      <c r="K396" s="7"/>
      <c r="L396" s="7"/>
      <c r="M396" s="7"/>
      <c r="N396" s="7"/>
      <c r="O396" s="7"/>
      <c r="P396" s="7"/>
    </row>
    <row r="397" spans="1:16" customFormat="1" ht="18.600000000000001" customHeight="1" x14ac:dyDescent="0.2">
      <c r="A397" s="7">
        <f t="shared" si="92"/>
        <v>3</v>
      </c>
      <c r="B397" s="24" t="s">
        <v>237</v>
      </c>
      <c r="C397" s="24" t="s">
        <v>81</v>
      </c>
      <c r="D397" s="163"/>
      <c r="E397" s="7"/>
      <c r="F397" s="7"/>
      <c r="G397" s="7"/>
      <c r="H397" s="7"/>
      <c r="I397" s="82"/>
      <c r="J397" s="7"/>
      <c r="K397" s="7"/>
      <c r="L397" s="7"/>
      <c r="M397" s="7"/>
      <c r="N397" s="7"/>
      <c r="O397" s="7"/>
      <c r="P397" s="7"/>
    </row>
    <row r="398" spans="1:16" customFormat="1" ht="18.600000000000001" customHeight="1" x14ac:dyDescent="0.3">
      <c r="A398" s="7">
        <f t="shared" si="92"/>
        <v>4</v>
      </c>
      <c r="B398" s="143" t="s">
        <v>827</v>
      </c>
      <c r="C398" s="143" t="s">
        <v>68</v>
      </c>
      <c r="D398" s="143">
        <v>374052642</v>
      </c>
      <c r="E398" s="7"/>
      <c r="F398" s="7"/>
      <c r="G398" s="7"/>
      <c r="H398" s="7"/>
      <c r="I398" s="82"/>
      <c r="J398" s="7"/>
      <c r="K398" s="7"/>
      <c r="L398" s="7"/>
      <c r="M398" s="7"/>
      <c r="N398" s="7"/>
      <c r="O398" s="7"/>
      <c r="P398" s="7"/>
    </row>
    <row r="399" spans="1:16" customFormat="1" ht="18.600000000000001" customHeight="1" x14ac:dyDescent="0.2">
      <c r="A399" s="6">
        <f t="shared" si="92"/>
        <v>5</v>
      </c>
      <c r="B399" s="26" t="s">
        <v>708</v>
      </c>
      <c r="C399" s="26" t="s">
        <v>64</v>
      </c>
      <c r="D399" s="26"/>
      <c r="E399" s="16"/>
      <c r="F399" s="16"/>
      <c r="G399" s="16"/>
      <c r="H399" s="16"/>
      <c r="I399" s="83"/>
      <c r="J399" s="16"/>
      <c r="K399" s="16"/>
      <c r="L399" s="16"/>
      <c r="M399" s="16"/>
      <c r="N399" s="16"/>
      <c r="O399" s="16"/>
      <c r="P399" s="16"/>
    </row>
    <row r="400" spans="1:16" customFormat="1" ht="18.600000000000001" customHeight="1" x14ac:dyDescent="0.2">
      <c r="A400" s="56">
        <f t="shared" si="92"/>
        <v>6</v>
      </c>
      <c r="B400" s="24" t="s">
        <v>241</v>
      </c>
      <c r="C400" s="24" t="s">
        <v>82</v>
      </c>
      <c r="D400" s="163"/>
      <c r="E400" s="2"/>
      <c r="F400" s="2"/>
      <c r="G400" s="2"/>
      <c r="H400" s="2"/>
      <c r="I400" s="84"/>
      <c r="J400" s="2"/>
      <c r="K400" s="2"/>
      <c r="L400" s="2"/>
      <c r="M400" s="2"/>
      <c r="N400" s="2"/>
      <c r="O400" s="2"/>
      <c r="P400" s="2"/>
    </row>
    <row r="401" spans="1:16" customFormat="1" ht="18.600000000000001" customHeight="1" x14ac:dyDescent="0.2">
      <c r="A401" s="6">
        <f t="shared" si="92"/>
        <v>7</v>
      </c>
      <c r="B401" s="25" t="s">
        <v>505</v>
      </c>
      <c r="C401" s="25" t="s">
        <v>24</v>
      </c>
      <c r="D401" s="163"/>
      <c r="E401" s="4"/>
      <c r="F401" s="4"/>
      <c r="G401" s="4"/>
      <c r="H401" s="4"/>
      <c r="I401" s="85"/>
      <c r="J401" s="4"/>
      <c r="K401" s="4"/>
      <c r="L401" s="4"/>
      <c r="M401" s="4"/>
      <c r="N401" s="4"/>
      <c r="O401" s="4"/>
      <c r="P401" s="4"/>
    </row>
    <row r="402" spans="1:16" customFormat="1" ht="18.600000000000001" customHeight="1" x14ac:dyDescent="0.2">
      <c r="A402" s="6">
        <f t="shared" si="92"/>
        <v>8</v>
      </c>
      <c r="B402" s="25" t="s">
        <v>648</v>
      </c>
      <c r="C402" s="25" t="s">
        <v>62</v>
      </c>
      <c r="D402" s="163"/>
      <c r="E402" s="4"/>
      <c r="F402" s="4"/>
      <c r="G402" s="4"/>
      <c r="H402" s="4"/>
      <c r="I402" s="85"/>
      <c r="J402" s="4"/>
      <c r="K402" s="4"/>
      <c r="L402" s="4"/>
      <c r="M402" s="4"/>
      <c r="N402" s="4"/>
      <c r="O402" s="4"/>
      <c r="P402" s="4"/>
    </row>
    <row r="403" spans="1:16" customFormat="1" ht="18.600000000000001" customHeight="1" x14ac:dyDescent="0.2">
      <c r="A403" s="6">
        <f t="shared" si="92"/>
        <v>9</v>
      </c>
      <c r="B403" s="25" t="s">
        <v>149</v>
      </c>
      <c r="C403" s="25" t="s">
        <v>43</v>
      </c>
      <c r="D403" s="163"/>
      <c r="E403" s="4"/>
      <c r="F403" s="4"/>
      <c r="G403" s="4"/>
      <c r="H403" s="4"/>
      <c r="I403" s="85"/>
      <c r="J403" s="4"/>
      <c r="K403" s="4"/>
      <c r="L403" s="4"/>
      <c r="M403" s="4"/>
      <c r="N403" s="4"/>
      <c r="O403" s="4"/>
      <c r="P403" s="4"/>
    </row>
    <row r="404" spans="1:16" customFormat="1" ht="18.600000000000001" customHeight="1" x14ac:dyDescent="0.2">
      <c r="A404" s="10">
        <f t="shared" si="92"/>
        <v>10</v>
      </c>
      <c r="B404" s="24" t="s">
        <v>290</v>
      </c>
      <c r="C404" s="24" t="s">
        <v>91</v>
      </c>
      <c r="D404" s="163"/>
      <c r="E404" s="12"/>
      <c r="F404" s="12"/>
      <c r="G404" s="12"/>
      <c r="H404" s="12"/>
      <c r="I404" s="86"/>
      <c r="J404" s="12"/>
      <c r="K404" s="12"/>
      <c r="L404" s="12"/>
      <c r="M404" s="12"/>
      <c r="N404" s="12"/>
      <c r="O404" s="12"/>
      <c r="P404" s="12"/>
    </row>
    <row r="405" spans="1:16" customFormat="1" ht="18.600000000000001" customHeight="1" x14ac:dyDescent="0.2">
      <c r="A405" s="35">
        <f t="shared" si="92"/>
        <v>11</v>
      </c>
      <c r="B405" s="25" t="s">
        <v>893</v>
      </c>
      <c r="C405" s="25" t="s">
        <v>129</v>
      </c>
      <c r="D405" s="163"/>
      <c r="E405" s="14"/>
      <c r="F405" s="14"/>
      <c r="G405" s="14"/>
      <c r="H405" s="14"/>
      <c r="I405" s="87"/>
      <c r="J405" s="14"/>
      <c r="K405" s="14"/>
      <c r="L405" s="14"/>
      <c r="M405" s="14"/>
      <c r="N405" s="14"/>
      <c r="O405" s="14"/>
      <c r="P405" s="14"/>
    </row>
    <row r="406" spans="1:16" customFormat="1" ht="18.600000000000001" customHeight="1" x14ac:dyDescent="0.2">
      <c r="A406" s="7">
        <f t="shared" si="92"/>
        <v>12</v>
      </c>
      <c r="B406" s="25" t="s">
        <v>236</v>
      </c>
      <c r="C406" s="25" t="s">
        <v>80</v>
      </c>
      <c r="D406" s="163"/>
      <c r="E406" s="4"/>
      <c r="F406" s="4"/>
      <c r="G406" s="4"/>
      <c r="H406" s="4"/>
      <c r="I406" s="85"/>
      <c r="J406" s="4"/>
      <c r="K406" s="4"/>
      <c r="L406" s="4"/>
      <c r="M406" s="4"/>
      <c r="N406" s="4"/>
      <c r="O406" s="4"/>
      <c r="P406" s="4"/>
    </row>
    <row r="407" spans="1:16" customFormat="1" ht="18.600000000000001" customHeight="1" x14ac:dyDescent="0.2">
      <c r="A407" s="7">
        <f t="shared" si="92"/>
        <v>13</v>
      </c>
      <c r="B407" s="24" t="s">
        <v>178</v>
      </c>
      <c r="C407" s="24" t="s">
        <v>93</v>
      </c>
      <c r="D407" s="163"/>
      <c r="E407" s="4"/>
      <c r="F407" s="4"/>
      <c r="G407" s="4"/>
      <c r="H407" s="4"/>
      <c r="I407" s="85"/>
      <c r="J407" s="4"/>
      <c r="K407" s="4"/>
      <c r="L407" s="4"/>
      <c r="M407" s="4"/>
      <c r="N407" s="4"/>
      <c r="O407" s="4"/>
      <c r="P407" s="4"/>
    </row>
    <row r="408" spans="1:16" customFormat="1" ht="18.600000000000001" customHeight="1" x14ac:dyDescent="0.2">
      <c r="A408" s="7">
        <f t="shared" si="92"/>
        <v>14</v>
      </c>
      <c r="B408" s="25" t="s">
        <v>236</v>
      </c>
      <c r="C408" s="25" t="s">
        <v>96</v>
      </c>
      <c r="D408" s="163"/>
      <c r="E408" s="4"/>
      <c r="F408" s="4"/>
      <c r="G408" s="4"/>
      <c r="H408" s="4"/>
      <c r="I408" s="85"/>
      <c r="J408" s="4"/>
      <c r="K408" s="4"/>
      <c r="L408" s="4"/>
      <c r="M408" s="4"/>
      <c r="N408" s="4"/>
      <c r="O408" s="4"/>
      <c r="P408" s="4"/>
    </row>
    <row r="409" spans="1:16" customFormat="1" ht="18.600000000000001" customHeight="1" x14ac:dyDescent="0.3">
      <c r="A409" s="6">
        <f t="shared" si="92"/>
        <v>15</v>
      </c>
      <c r="B409" s="143" t="s">
        <v>895</v>
      </c>
      <c r="C409" s="143" t="s">
        <v>20</v>
      </c>
      <c r="D409" s="143">
        <v>333310636</v>
      </c>
      <c r="E409" s="16"/>
      <c r="F409" s="16"/>
      <c r="G409" s="16"/>
      <c r="H409" s="16"/>
      <c r="I409" s="83"/>
      <c r="J409" s="16"/>
      <c r="K409" s="16"/>
      <c r="L409" s="16"/>
      <c r="M409" s="16"/>
      <c r="N409" s="16"/>
      <c r="O409" s="16"/>
      <c r="P409" s="16"/>
    </row>
    <row r="410" spans="1:16" customFormat="1" ht="18.600000000000001" customHeight="1" x14ac:dyDescent="0.2">
      <c r="A410" s="32">
        <f t="shared" si="92"/>
        <v>16</v>
      </c>
      <c r="B410" s="26" t="s">
        <v>646</v>
      </c>
      <c r="C410" s="26" t="s">
        <v>20</v>
      </c>
      <c r="D410" s="26"/>
      <c r="E410" s="2"/>
      <c r="F410" s="2"/>
      <c r="G410" s="2"/>
      <c r="H410" s="2"/>
      <c r="I410" s="84"/>
      <c r="J410" s="2"/>
      <c r="K410" s="2"/>
      <c r="L410" s="2"/>
      <c r="M410" s="2"/>
      <c r="N410" s="2"/>
      <c r="O410" s="2"/>
      <c r="P410" s="2"/>
    </row>
    <row r="411" spans="1:16" customFormat="1" ht="18.600000000000001" customHeight="1" x14ac:dyDescent="0.2">
      <c r="A411" s="7">
        <f t="shared" si="92"/>
        <v>17</v>
      </c>
      <c r="B411" s="26" t="s">
        <v>707</v>
      </c>
      <c r="C411" s="26" t="s">
        <v>20</v>
      </c>
      <c r="D411" s="26"/>
      <c r="E411" s="4"/>
      <c r="F411" s="4"/>
      <c r="G411" s="4"/>
      <c r="H411" s="4"/>
      <c r="I411" s="85"/>
      <c r="J411" s="4"/>
      <c r="K411" s="4"/>
      <c r="L411" s="4"/>
      <c r="M411" s="4"/>
      <c r="N411" s="4"/>
      <c r="O411" s="4"/>
      <c r="P411" s="4"/>
    </row>
    <row r="412" spans="1:16" customFormat="1" ht="18.600000000000001" customHeight="1" x14ac:dyDescent="0.2">
      <c r="A412" s="7">
        <f t="shared" si="92"/>
        <v>18</v>
      </c>
      <c r="B412" s="24" t="s">
        <v>488</v>
      </c>
      <c r="C412" s="24" t="s">
        <v>94</v>
      </c>
      <c r="D412" s="24">
        <v>766881380</v>
      </c>
      <c r="E412" s="4"/>
      <c r="F412" s="4"/>
      <c r="G412" s="4"/>
      <c r="H412" s="4"/>
      <c r="I412" s="85"/>
      <c r="J412" s="4"/>
      <c r="K412" s="4"/>
      <c r="L412" s="4"/>
      <c r="M412" s="4"/>
      <c r="N412" s="4"/>
      <c r="O412" s="4"/>
      <c r="P412" s="4"/>
    </row>
    <row r="413" spans="1:16" customFormat="1" ht="18.600000000000001" customHeight="1" x14ac:dyDescent="0.3">
      <c r="A413" s="7">
        <f t="shared" si="92"/>
        <v>19</v>
      </c>
      <c r="B413" s="143" t="s">
        <v>811</v>
      </c>
      <c r="C413" s="143" t="s">
        <v>79</v>
      </c>
      <c r="D413" s="143">
        <v>862627913</v>
      </c>
      <c r="E413" s="4"/>
      <c r="F413" s="4"/>
      <c r="G413" s="4"/>
      <c r="H413" s="4"/>
      <c r="I413" s="85"/>
      <c r="J413" s="4"/>
      <c r="K413" s="4"/>
      <c r="L413" s="4"/>
      <c r="M413" s="4"/>
      <c r="N413" s="4"/>
      <c r="O413" s="4"/>
      <c r="P413" s="4"/>
    </row>
    <row r="414" spans="1:16" customFormat="1" ht="18.600000000000001" customHeight="1" x14ac:dyDescent="0.2">
      <c r="A414" s="10">
        <f t="shared" si="92"/>
        <v>20</v>
      </c>
      <c r="B414" s="11"/>
      <c r="C414" s="12"/>
      <c r="D414" s="9"/>
      <c r="E414" s="12"/>
      <c r="F414" s="12"/>
      <c r="G414" s="12"/>
      <c r="H414" s="12"/>
      <c r="I414" s="86"/>
      <c r="J414" s="12"/>
      <c r="K414" s="12"/>
      <c r="L414" s="12"/>
      <c r="M414" s="12"/>
      <c r="N414" s="12"/>
      <c r="O414" s="12"/>
      <c r="P414" s="12"/>
    </row>
    <row r="415" spans="1:16" customFormat="1" ht="18.600000000000001" customHeight="1" x14ac:dyDescent="0.2">
      <c r="A415" s="35">
        <f t="shared" si="92"/>
        <v>21</v>
      </c>
      <c r="B415" s="13"/>
      <c r="C415" s="14"/>
      <c r="D415" s="37"/>
      <c r="E415" s="14"/>
      <c r="F415" s="14"/>
      <c r="G415" s="14"/>
      <c r="H415" s="14"/>
      <c r="I415" s="87"/>
      <c r="J415" s="14"/>
      <c r="K415" s="14"/>
      <c r="L415" s="14"/>
      <c r="M415" s="14"/>
      <c r="N415" s="14"/>
      <c r="O415" s="14"/>
      <c r="P415" s="14"/>
    </row>
    <row r="416" spans="1:16" customFormat="1" ht="18.600000000000001" customHeight="1" x14ac:dyDescent="0.2">
      <c r="A416" s="7">
        <f t="shared" si="92"/>
        <v>22</v>
      </c>
      <c r="B416" s="3"/>
      <c r="C416" s="4"/>
      <c r="D416" s="8"/>
      <c r="E416" s="4"/>
      <c r="F416" s="4"/>
      <c r="G416" s="4"/>
      <c r="H416" s="4"/>
      <c r="I416" s="85"/>
      <c r="J416" s="4"/>
      <c r="K416" s="4"/>
      <c r="L416" s="4"/>
      <c r="M416" s="4"/>
      <c r="N416" s="4"/>
      <c r="O416" s="4"/>
      <c r="P416" s="4"/>
    </row>
    <row r="417" spans="1:16" customFormat="1" ht="18.600000000000001" customHeight="1" x14ac:dyDescent="0.2">
      <c r="A417" s="35">
        <f t="shared" si="92"/>
        <v>23</v>
      </c>
      <c r="B417" s="3"/>
      <c r="C417" s="4"/>
      <c r="D417" s="8"/>
      <c r="E417" s="4"/>
      <c r="F417" s="4"/>
      <c r="G417" s="4"/>
      <c r="H417" s="4"/>
      <c r="I417" s="85"/>
      <c r="J417" s="4"/>
      <c r="K417" s="4"/>
      <c r="L417" s="4"/>
      <c r="M417" s="4"/>
      <c r="N417" s="4"/>
      <c r="O417" s="4"/>
      <c r="P417" s="4"/>
    </row>
    <row r="418" spans="1:16" customFormat="1" ht="18.600000000000001" customHeight="1" x14ac:dyDescent="0.2">
      <c r="A418" s="7">
        <f t="shared" si="92"/>
        <v>24</v>
      </c>
      <c r="B418" s="3"/>
      <c r="C418" s="4"/>
      <c r="D418" s="8"/>
      <c r="E418" s="4"/>
      <c r="F418" s="4"/>
      <c r="G418" s="4"/>
      <c r="H418" s="4"/>
      <c r="I418" s="85"/>
      <c r="J418" s="4"/>
      <c r="K418" s="4"/>
      <c r="L418" s="4"/>
      <c r="M418" s="4"/>
      <c r="N418" s="4"/>
      <c r="O418" s="4"/>
      <c r="P418" s="4"/>
    </row>
    <row r="419" spans="1:16" customFormat="1" ht="18.600000000000001" customHeight="1" x14ac:dyDescent="0.2">
      <c r="A419" s="35">
        <f t="shared" si="92"/>
        <v>25</v>
      </c>
      <c r="B419" s="11"/>
      <c r="C419" s="12"/>
      <c r="D419" s="9"/>
      <c r="E419" s="12"/>
      <c r="F419" s="12"/>
      <c r="G419" s="12"/>
      <c r="H419" s="12"/>
      <c r="I419" s="86"/>
      <c r="J419" s="12"/>
      <c r="K419" s="12"/>
      <c r="L419" s="12"/>
      <c r="M419" s="12"/>
      <c r="N419" s="12"/>
      <c r="O419" s="12"/>
      <c r="P419" s="12"/>
    </row>
    <row r="420" spans="1:16" customFormat="1" ht="18.600000000000001" customHeight="1" x14ac:dyDescent="0.3">
      <c r="A420" s="147"/>
      <c r="B420" s="148"/>
      <c r="C420" s="147"/>
      <c r="D420" s="149"/>
      <c r="E420" s="150">
        <f>SUBTOTAL(9,E395:E419)</f>
        <v>0</v>
      </c>
      <c r="F420" s="152"/>
      <c r="G420" s="150">
        <f t="shared" ref="G420" si="93">SUBTOTAL(9,G395:G419)</f>
        <v>0</v>
      </c>
      <c r="H420" s="152"/>
      <c r="I420" s="150">
        <f t="shared" ref="I420" si="94">SUBTOTAL(9,I395:I419)</f>
        <v>0</v>
      </c>
      <c r="J420" s="152"/>
      <c r="K420" s="152"/>
      <c r="L420" s="152"/>
      <c r="M420" s="150">
        <f t="shared" ref="M420" si="95">SUBTOTAL(9,M395:M419)</f>
        <v>0</v>
      </c>
      <c r="N420" s="152"/>
      <c r="O420" s="150">
        <f t="shared" ref="O420" si="96">SUBTOTAL(9,O395:O419)</f>
        <v>0</v>
      </c>
      <c r="P420" s="152"/>
    </row>
    <row r="421" spans="1:16" customFormat="1" ht="18.600000000000001" customHeight="1" x14ac:dyDescent="0.2">
      <c r="A421" s="434" t="str">
        <f>A391</f>
        <v>DANH SÁCH LỚP TOÁN</v>
      </c>
      <c r="B421" s="434"/>
      <c r="C421" s="434"/>
      <c r="D421" s="434"/>
      <c r="E421" s="434"/>
      <c r="F421" s="434"/>
      <c r="G421" s="434"/>
      <c r="H421" s="434"/>
      <c r="I421" s="92" t="s">
        <v>849</v>
      </c>
      <c r="J421" s="48"/>
      <c r="K421" s="48"/>
      <c r="L421" s="48"/>
      <c r="M421" s="41"/>
      <c r="N421" s="41"/>
      <c r="O421" s="41"/>
      <c r="P421" s="41"/>
    </row>
    <row r="422" spans="1:16" customFormat="1" ht="18.600000000000001" customHeight="1" x14ac:dyDescent="0.2">
      <c r="A422" s="28"/>
      <c r="B422" s="29"/>
      <c r="C422" s="30"/>
      <c r="D422" s="36"/>
      <c r="E422" s="28"/>
      <c r="F422" s="28"/>
      <c r="G422" s="28"/>
      <c r="H422" s="28"/>
      <c r="I422" s="79"/>
      <c r="J422" s="28"/>
      <c r="K422" s="28"/>
      <c r="L422" s="28"/>
      <c r="M422" s="28"/>
      <c r="N422" s="28"/>
      <c r="O422" s="28"/>
      <c r="P422" s="28"/>
    </row>
    <row r="423" spans="1:16" customFormat="1" ht="18.600000000000001" customHeight="1" x14ac:dyDescent="0.2">
      <c r="A423" s="435" t="s">
        <v>374</v>
      </c>
      <c r="B423" s="435" t="s">
        <v>380</v>
      </c>
      <c r="C423" s="435" t="s">
        <v>383</v>
      </c>
      <c r="D423" s="437" t="s">
        <v>384</v>
      </c>
      <c r="E423" s="438" t="s">
        <v>385</v>
      </c>
      <c r="F423" s="439"/>
      <c r="G423" s="432" t="str">
        <f>$R$1</f>
        <v>Đợt 6</v>
      </c>
      <c r="H423" s="433"/>
      <c r="I423" s="432" t="str">
        <f>$T$1</f>
        <v>Đợt 7</v>
      </c>
      <c r="J423" s="433"/>
      <c r="K423" s="432" t="str">
        <f>$V$1</f>
        <v>Đợt 8</v>
      </c>
      <c r="L423" s="433"/>
      <c r="M423" s="432" t="str">
        <f>$X$1</f>
        <v>Đợt 9</v>
      </c>
      <c r="N423" s="433"/>
      <c r="O423" s="432" t="str">
        <f>$Z$1</f>
        <v>Đợt 10</v>
      </c>
      <c r="P423" s="433"/>
    </row>
    <row r="424" spans="1:16" customFormat="1" ht="18.600000000000001" customHeight="1" x14ac:dyDescent="0.2">
      <c r="A424" s="436"/>
      <c r="B424" s="436"/>
      <c r="C424" s="436"/>
      <c r="D424" s="436"/>
      <c r="E424" s="31" t="s">
        <v>381</v>
      </c>
      <c r="F424" s="31" t="s">
        <v>382</v>
      </c>
      <c r="G424" s="31" t="s">
        <v>381</v>
      </c>
      <c r="H424" s="31" t="s">
        <v>382</v>
      </c>
      <c r="I424" s="80" t="s">
        <v>381</v>
      </c>
      <c r="J424" s="31" t="s">
        <v>382</v>
      </c>
      <c r="K424" s="80" t="s">
        <v>381</v>
      </c>
      <c r="L424" s="31" t="s">
        <v>382</v>
      </c>
      <c r="M424" s="31" t="s">
        <v>381</v>
      </c>
      <c r="N424" s="31" t="s">
        <v>382</v>
      </c>
      <c r="O424" s="31" t="s">
        <v>381</v>
      </c>
      <c r="P424" s="31" t="s">
        <v>382</v>
      </c>
    </row>
    <row r="425" spans="1:16" customFormat="1" ht="18.600000000000001" customHeight="1" x14ac:dyDescent="0.2">
      <c r="A425" s="32">
        <v>1</v>
      </c>
      <c r="B425" s="24" t="s">
        <v>1126</v>
      </c>
      <c r="C425" s="24" t="s">
        <v>14</v>
      </c>
      <c r="D425" s="163"/>
      <c r="E425" s="32"/>
      <c r="F425" s="34"/>
      <c r="G425" s="32"/>
      <c r="H425" s="93"/>
      <c r="I425" s="81"/>
      <c r="J425" s="34"/>
      <c r="K425" s="34"/>
      <c r="L425" s="34"/>
      <c r="M425" s="32"/>
      <c r="N425" s="34"/>
      <c r="O425" s="32"/>
      <c r="P425" s="34"/>
    </row>
    <row r="426" spans="1:16" customFormat="1" ht="18.600000000000001" customHeight="1" x14ac:dyDescent="0.3">
      <c r="A426" s="7">
        <f t="shared" ref="A426:A449" si="97">A425+1</f>
        <v>2</v>
      </c>
      <c r="B426" s="143" t="s">
        <v>256</v>
      </c>
      <c r="C426" s="143" t="s">
        <v>12</v>
      </c>
      <c r="D426" s="143"/>
      <c r="E426" s="7"/>
      <c r="F426" s="7"/>
      <c r="G426" s="7"/>
      <c r="H426" s="7"/>
      <c r="I426" s="82"/>
      <c r="J426" s="7"/>
      <c r="K426" s="7"/>
      <c r="L426" s="7"/>
      <c r="M426" s="7"/>
      <c r="N426" s="7"/>
      <c r="O426" s="7"/>
      <c r="P426" s="7"/>
    </row>
    <row r="427" spans="1:16" customFormat="1" ht="18.600000000000001" customHeight="1" x14ac:dyDescent="0.2">
      <c r="A427" s="7">
        <f t="shared" si="97"/>
        <v>3</v>
      </c>
      <c r="B427" s="25" t="s">
        <v>298</v>
      </c>
      <c r="C427" s="25" t="s">
        <v>95</v>
      </c>
      <c r="D427" s="24">
        <v>763576758</v>
      </c>
      <c r="E427" s="7"/>
      <c r="F427" s="7"/>
      <c r="G427" s="7"/>
      <c r="H427" s="7"/>
      <c r="I427" s="82"/>
      <c r="J427" s="7"/>
      <c r="K427" s="7"/>
      <c r="L427" s="7"/>
      <c r="M427" s="7"/>
      <c r="N427" s="7"/>
      <c r="O427" s="7"/>
      <c r="P427" s="7"/>
    </row>
    <row r="428" spans="1:16" customFormat="1" ht="18.600000000000001" customHeight="1" x14ac:dyDescent="0.2">
      <c r="A428" s="7">
        <f t="shared" si="97"/>
        <v>4</v>
      </c>
      <c r="B428" s="24" t="s">
        <v>245</v>
      </c>
      <c r="C428" s="24" t="s">
        <v>63</v>
      </c>
      <c r="D428" s="24"/>
      <c r="E428" s="7"/>
      <c r="F428" s="7"/>
      <c r="G428" s="7"/>
      <c r="H428" s="7"/>
      <c r="I428" s="82"/>
      <c r="J428" s="7"/>
      <c r="K428" s="7"/>
      <c r="L428" s="7"/>
      <c r="M428" s="7"/>
      <c r="N428" s="7"/>
      <c r="O428" s="7"/>
      <c r="P428" s="7"/>
    </row>
    <row r="429" spans="1:16" customFormat="1" ht="18.600000000000001" customHeight="1" x14ac:dyDescent="0.2">
      <c r="A429" s="6">
        <f t="shared" si="97"/>
        <v>5</v>
      </c>
      <c r="B429" s="24" t="s">
        <v>303</v>
      </c>
      <c r="C429" s="24" t="s">
        <v>63</v>
      </c>
      <c r="D429" s="163"/>
      <c r="E429" s="16"/>
      <c r="F429" s="16"/>
      <c r="G429" s="16"/>
      <c r="H429" s="16"/>
      <c r="I429" s="83"/>
      <c r="J429" s="16"/>
      <c r="K429" s="16"/>
      <c r="L429" s="16"/>
      <c r="M429" s="16"/>
      <c r="N429" s="16"/>
      <c r="O429" s="16"/>
      <c r="P429" s="16"/>
    </row>
    <row r="430" spans="1:16" customFormat="1" ht="18.600000000000001" customHeight="1" x14ac:dyDescent="0.2">
      <c r="A430" s="56">
        <f t="shared" si="97"/>
        <v>6</v>
      </c>
      <c r="B430" s="24" t="s">
        <v>267</v>
      </c>
      <c r="C430" s="24" t="s">
        <v>102</v>
      </c>
      <c r="D430" s="163"/>
      <c r="E430" s="2"/>
      <c r="F430" s="2"/>
      <c r="G430" s="2"/>
      <c r="H430" s="2"/>
      <c r="I430" s="84"/>
      <c r="J430" s="2"/>
      <c r="K430" s="2"/>
      <c r="L430" s="2"/>
      <c r="M430" s="2"/>
      <c r="N430" s="2"/>
      <c r="O430" s="2"/>
      <c r="P430" s="2"/>
    </row>
    <row r="431" spans="1:16" customFormat="1" ht="18.600000000000001" customHeight="1" x14ac:dyDescent="0.2">
      <c r="A431" s="6">
        <f t="shared" si="97"/>
        <v>7</v>
      </c>
      <c r="B431" s="24" t="s">
        <v>536</v>
      </c>
      <c r="C431" s="24" t="s">
        <v>64</v>
      </c>
      <c r="D431" s="24">
        <v>334468974</v>
      </c>
      <c r="E431" s="4"/>
      <c r="F431" s="4"/>
      <c r="G431" s="4"/>
      <c r="H431" s="4"/>
      <c r="I431" s="85"/>
      <c r="J431" s="4"/>
      <c r="K431" s="4"/>
      <c r="L431" s="4"/>
      <c r="M431" s="4"/>
      <c r="N431" s="4"/>
      <c r="O431" s="4"/>
      <c r="P431" s="4"/>
    </row>
    <row r="432" spans="1:16" customFormat="1" ht="18.600000000000001" customHeight="1" x14ac:dyDescent="0.2">
      <c r="A432" s="6">
        <f t="shared" si="97"/>
        <v>8</v>
      </c>
      <c r="B432" s="24" t="s">
        <v>302</v>
      </c>
      <c r="C432" s="24" t="s">
        <v>99</v>
      </c>
      <c r="D432" s="163"/>
      <c r="E432" s="4"/>
      <c r="F432" s="4"/>
      <c r="G432" s="4"/>
      <c r="H432" s="4"/>
      <c r="I432" s="85"/>
      <c r="J432" s="4"/>
      <c r="K432" s="4"/>
      <c r="L432" s="4"/>
      <c r="M432" s="4"/>
      <c r="N432" s="4"/>
      <c r="O432" s="4"/>
      <c r="P432" s="4"/>
    </row>
    <row r="433" spans="1:16" customFormat="1" ht="18.600000000000001" customHeight="1" x14ac:dyDescent="0.3">
      <c r="A433" s="6">
        <f t="shared" si="97"/>
        <v>9</v>
      </c>
      <c r="B433" s="143" t="s">
        <v>765</v>
      </c>
      <c r="C433" s="143" t="s">
        <v>82</v>
      </c>
      <c r="D433" s="143">
        <v>349598291</v>
      </c>
      <c r="E433" s="4"/>
      <c r="F433" s="4"/>
      <c r="G433" s="4"/>
      <c r="H433" s="4"/>
      <c r="I433" s="85"/>
      <c r="J433" s="4"/>
      <c r="K433" s="4"/>
      <c r="L433" s="4"/>
      <c r="M433" s="4"/>
      <c r="N433" s="4"/>
      <c r="O433" s="4"/>
      <c r="P433" s="4"/>
    </row>
    <row r="434" spans="1:16" customFormat="1" ht="18.600000000000001" customHeight="1" x14ac:dyDescent="0.3">
      <c r="A434" s="10">
        <f t="shared" si="97"/>
        <v>10</v>
      </c>
      <c r="B434" s="143" t="s">
        <v>766</v>
      </c>
      <c r="C434" s="143" t="s">
        <v>133</v>
      </c>
      <c r="D434" s="143">
        <v>377446278</v>
      </c>
      <c r="E434" s="12"/>
      <c r="F434" s="12"/>
      <c r="G434" s="12"/>
      <c r="H434" s="12"/>
      <c r="I434" s="86"/>
      <c r="J434" s="12"/>
      <c r="K434" s="12"/>
      <c r="L434" s="12"/>
      <c r="M434" s="12"/>
      <c r="N434" s="12"/>
      <c r="O434" s="12"/>
      <c r="P434" s="12"/>
    </row>
    <row r="435" spans="1:16" customFormat="1" ht="18.600000000000001" customHeight="1" x14ac:dyDescent="0.2">
      <c r="A435" s="35">
        <f t="shared" si="97"/>
        <v>11</v>
      </c>
      <c r="B435" s="25" t="s">
        <v>477</v>
      </c>
      <c r="C435" s="25" t="s">
        <v>73</v>
      </c>
      <c r="D435" s="163"/>
      <c r="E435" s="14"/>
      <c r="F435" s="14"/>
      <c r="G435" s="14"/>
      <c r="H435" s="14"/>
      <c r="I435" s="87"/>
      <c r="J435" s="14"/>
      <c r="K435" s="14"/>
      <c r="L435" s="14"/>
      <c r="M435" s="14"/>
      <c r="N435" s="14"/>
      <c r="O435" s="14"/>
      <c r="P435" s="14"/>
    </row>
    <row r="436" spans="1:16" customFormat="1" ht="18.600000000000001" customHeight="1" x14ac:dyDescent="0.2">
      <c r="A436" s="7">
        <f t="shared" si="97"/>
        <v>12</v>
      </c>
      <c r="B436" s="24" t="s">
        <v>288</v>
      </c>
      <c r="C436" s="24" t="s">
        <v>26</v>
      </c>
      <c r="D436" s="163"/>
      <c r="E436" s="4"/>
      <c r="F436" s="4"/>
      <c r="G436" s="4"/>
      <c r="H436" s="4"/>
      <c r="I436" s="85"/>
      <c r="J436" s="4"/>
      <c r="K436" s="4"/>
      <c r="L436" s="4"/>
      <c r="M436" s="4"/>
      <c r="N436" s="4"/>
      <c r="O436" s="4"/>
      <c r="P436" s="4"/>
    </row>
    <row r="437" spans="1:16" customFormat="1" ht="18.600000000000001" customHeight="1" x14ac:dyDescent="0.2">
      <c r="A437" s="7">
        <f t="shared" si="97"/>
        <v>13</v>
      </c>
      <c r="B437" s="24" t="s">
        <v>293</v>
      </c>
      <c r="C437" s="24" t="s">
        <v>56</v>
      </c>
      <c r="D437" s="163"/>
      <c r="E437" s="4"/>
      <c r="F437" s="4"/>
      <c r="G437" s="4"/>
      <c r="H437" s="4"/>
      <c r="I437" s="85"/>
      <c r="J437" s="4"/>
      <c r="K437" s="4"/>
      <c r="L437" s="4"/>
      <c r="M437" s="4"/>
      <c r="N437" s="4"/>
      <c r="O437" s="4"/>
      <c r="P437" s="4"/>
    </row>
    <row r="438" spans="1:16" customFormat="1" ht="18.600000000000001" customHeight="1" x14ac:dyDescent="0.2">
      <c r="A438" s="7">
        <f t="shared" si="97"/>
        <v>14</v>
      </c>
      <c r="B438" s="25" t="s">
        <v>992</v>
      </c>
      <c r="C438" s="25" t="s">
        <v>56</v>
      </c>
      <c r="D438" s="26"/>
      <c r="E438" s="4"/>
      <c r="F438" s="4"/>
      <c r="G438" s="4"/>
      <c r="H438" s="4"/>
      <c r="I438" s="85"/>
      <c r="J438" s="4"/>
      <c r="K438" s="4"/>
      <c r="L438" s="4"/>
      <c r="M438" s="4"/>
      <c r="N438" s="4"/>
      <c r="O438" s="4"/>
      <c r="P438" s="4"/>
    </row>
    <row r="439" spans="1:16" customFormat="1" ht="18.600000000000001" customHeight="1" x14ac:dyDescent="0.2">
      <c r="A439" s="6">
        <f t="shared" si="97"/>
        <v>15</v>
      </c>
      <c r="B439" s="25" t="s">
        <v>252</v>
      </c>
      <c r="C439" s="25" t="s">
        <v>92</v>
      </c>
      <c r="D439" s="163"/>
      <c r="E439" s="16"/>
      <c r="F439" s="16"/>
      <c r="G439" s="16"/>
      <c r="H439" s="16"/>
      <c r="I439" s="83"/>
      <c r="J439" s="16"/>
      <c r="K439" s="16"/>
      <c r="L439" s="16"/>
      <c r="M439" s="16"/>
      <c r="N439" s="16"/>
      <c r="O439" s="16"/>
      <c r="P439" s="16"/>
    </row>
    <row r="440" spans="1:16" customFormat="1" ht="18.600000000000001" customHeight="1" x14ac:dyDescent="0.2">
      <c r="A440" s="32">
        <f t="shared" si="97"/>
        <v>16</v>
      </c>
      <c r="B440" s="25" t="s">
        <v>301</v>
      </c>
      <c r="C440" s="25" t="s">
        <v>98</v>
      </c>
      <c r="D440" s="26"/>
      <c r="E440" s="2"/>
      <c r="F440" s="2"/>
      <c r="G440" s="2"/>
      <c r="H440" s="2"/>
      <c r="I440" s="84"/>
      <c r="J440" s="2"/>
      <c r="K440" s="2"/>
      <c r="L440" s="2"/>
      <c r="M440" s="2"/>
      <c r="N440" s="2"/>
      <c r="O440" s="2"/>
      <c r="P440" s="2"/>
    </row>
    <row r="441" spans="1:16" customFormat="1" ht="18.600000000000001" customHeight="1" x14ac:dyDescent="0.3">
      <c r="A441" s="7">
        <f t="shared" si="97"/>
        <v>17</v>
      </c>
      <c r="B441" s="143" t="s">
        <v>767</v>
      </c>
      <c r="C441" s="143" t="s">
        <v>768</v>
      </c>
      <c r="D441" s="143">
        <v>865534755</v>
      </c>
      <c r="E441" s="4"/>
      <c r="F441" s="4"/>
      <c r="G441" s="4"/>
      <c r="H441" s="4"/>
      <c r="I441" s="85"/>
      <c r="J441" s="4"/>
      <c r="K441" s="4"/>
      <c r="L441" s="4"/>
      <c r="M441" s="4"/>
      <c r="N441" s="4"/>
      <c r="O441" s="4"/>
      <c r="P441" s="4"/>
    </row>
    <row r="442" spans="1:16" customFormat="1" ht="18.600000000000001" customHeight="1" x14ac:dyDescent="0.3">
      <c r="A442" s="7">
        <f t="shared" si="97"/>
        <v>18</v>
      </c>
      <c r="B442" s="143" t="s">
        <v>777</v>
      </c>
      <c r="C442" s="143" t="s">
        <v>778</v>
      </c>
      <c r="D442" s="143">
        <v>862809453</v>
      </c>
      <c r="E442" s="4"/>
      <c r="F442" s="4"/>
      <c r="G442" s="4"/>
      <c r="H442" s="4"/>
      <c r="I442" s="85"/>
      <c r="J442" s="4"/>
      <c r="K442" s="4"/>
      <c r="L442" s="4"/>
      <c r="M442" s="4"/>
      <c r="N442" s="4"/>
      <c r="O442" s="4"/>
      <c r="P442" s="4"/>
    </row>
    <row r="443" spans="1:16" customFormat="1" ht="18.600000000000001" customHeight="1" x14ac:dyDescent="0.2">
      <c r="A443" s="7">
        <f t="shared" si="97"/>
        <v>19</v>
      </c>
      <c r="B443" s="26" t="s">
        <v>1060</v>
      </c>
      <c r="C443" s="26" t="s">
        <v>47</v>
      </c>
      <c r="D443" s="26"/>
      <c r="E443" s="4"/>
      <c r="F443" s="4"/>
      <c r="G443" s="4"/>
      <c r="H443" s="4"/>
      <c r="I443" s="85"/>
      <c r="J443" s="4"/>
      <c r="K443" s="4"/>
      <c r="L443" s="4"/>
      <c r="M443" s="4"/>
      <c r="N443" s="4"/>
      <c r="O443" s="4"/>
      <c r="P443" s="4"/>
    </row>
    <row r="444" spans="1:16" customFormat="1" ht="18.600000000000001" customHeight="1" x14ac:dyDescent="0.2">
      <c r="A444" s="10">
        <f t="shared" si="97"/>
        <v>20</v>
      </c>
      <c r="B444" s="26" t="s">
        <v>543</v>
      </c>
      <c r="C444" s="26" t="s">
        <v>20</v>
      </c>
      <c r="D444" s="26"/>
      <c r="E444" s="12"/>
      <c r="F444" s="12"/>
      <c r="G444" s="12"/>
      <c r="H444" s="12"/>
      <c r="I444" s="86"/>
      <c r="J444" s="12"/>
      <c r="K444" s="12"/>
      <c r="L444" s="12"/>
      <c r="M444" s="12"/>
      <c r="N444" s="12"/>
      <c r="O444" s="12"/>
      <c r="P444" s="12"/>
    </row>
    <row r="445" spans="1:16" customFormat="1" ht="18.600000000000001" customHeight="1" x14ac:dyDescent="0.3">
      <c r="A445" s="35">
        <f t="shared" si="97"/>
        <v>21</v>
      </c>
      <c r="B445" s="143" t="s">
        <v>791</v>
      </c>
      <c r="C445" s="143" t="s">
        <v>20</v>
      </c>
      <c r="D445" s="143">
        <v>866699720</v>
      </c>
      <c r="E445" s="14"/>
      <c r="F445" s="14"/>
      <c r="G445" s="14"/>
      <c r="H445" s="14"/>
      <c r="I445" s="87"/>
      <c r="J445" s="14"/>
      <c r="K445" s="14"/>
      <c r="L445" s="14"/>
      <c r="M445" s="14"/>
      <c r="N445" s="14"/>
      <c r="O445" s="14"/>
      <c r="P445" s="14"/>
    </row>
    <row r="446" spans="1:16" customFormat="1" ht="18.600000000000001" customHeight="1" x14ac:dyDescent="0.2">
      <c r="A446" s="7">
        <f t="shared" si="97"/>
        <v>22</v>
      </c>
      <c r="B446" s="24" t="s">
        <v>291</v>
      </c>
      <c r="C446" s="63" t="s">
        <v>79</v>
      </c>
      <c r="D446" s="24"/>
      <c r="E446" s="4"/>
      <c r="F446" s="4"/>
      <c r="G446" s="4"/>
      <c r="H446" s="4"/>
      <c r="I446" s="85"/>
      <c r="J446" s="4"/>
      <c r="K446" s="4"/>
      <c r="L446" s="4"/>
      <c r="M446" s="4"/>
      <c r="N446" s="4"/>
      <c r="O446" s="4"/>
      <c r="P446" s="4"/>
    </row>
    <row r="447" spans="1:16" customFormat="1" ht="18.600000000000001" customHeight="1" x14ac:dyDescent="0.2">
      <c r="A447" s="35">
        <f t="shared" si="97"/>
        <v>23</v>
      </c>
      <c r="B447" s="3"/>
      <c r="C447" s="4"/>
      <c r="D447" s="8"/>
      <c r="E447" s="4"/>
      <c r="F447" s="4"/>
      <c r="G447" s="4"/>
      <c r="H447" s="4"/>
      <c r="I447" s="85"/>
      <c r="J447" s="4"/>
      <c r="K447" s="4"/>
      <c r="L447" s="4"/>
      <c r="M447" s="4"/>
      <c r="N447" s="4"/>
      <c r="O447" s="4"/>
      <c r="P447" s="4"/>
    </row>
    <row r="448" spans="1:16" customFormat="1" ht="18.600000000000001" customHeight="1" x14ac:dyDescent="0.2">
      <c r="A448" s="7">
        <f t="shared" si="97"/>
        <v>24</v>
      </c>
      <c r="B448" s="3"/>
      <c r="C448" s="4"/>
      <c r="D448" s="8"/>
      <c r="E448" s="4"/>
      <c r="F448" s="4"/>
      <c r="G448" s="4"/>
      <c r="H448" s="4"/>
      <c r="I448" s="85"/>
      <c r="J448" s="4"/>
      <c r="K448" s="4"/>
      <c r="L448" s="4"/>
      <c r="M448" s="4"/>
      <c r="N448" s="4"/>
      <c r="O448" s="4"/>
      <c r="P448" s="4"/>
    </row>
    <row r="449" spans="1:16" customFormat="1" ht="18.600000000000001" customHeight="1" x14ac:dyDescent="0.2">
      <c r="A449" s="35">
        <f t="shared" si="97"/>
        <v>25</v>
      </c>
      <c r="B449" s="11"/>
      <c r="C449" s="12"/>
      <c r="D449" s="9"/>
      <c r="E449" s="12"/>
      <c r="F449" s="12"/>
      <c r="G449" s="12"/>
      <c r="H449" s="12"/>
      <c r="I449" s="86"/>
      <c r="J449" s="12"/>
      <c r="K449" s="12"/>
      <c r="L449" s="12"/>
      <c r="M449" s="12"/>
      <c r="N449" s="12"/>
      <c r="O449" s="12"/>
      <c r="P449" s="12"/>
    </row>
    <row r="450" spans="1:16" customFormat="1" ht="18.600000000000001" customHeight="1" x14ac:dyDescent="0.3">
      <c r="A450" s="147"/>
      <c r="B450" s="148"/>
      <c r="C450" s="147"/>
      <c r="D450" s="149"/>
      <c r="E450" s="150">
        <f>SUBTOTAL(9,E425:E449)</f>
        <v>0</v>
      </c>
      <c r="F450" s="152"/>
      <c r="G450" s="150">
        <f t="shared" ref="G450" si="98">SUBTOTAL(9,G425:G449)</f>
        <v>0</v>
      </c>
      <c r="H450" s="152"/>
      <c r="I450" s="150">
        <f t="shared" ref="I450" si="99">SUBTOTAL(9,I425:I449)</f>
        <v>0</v>
      </c>
      <c r="J450" s="152"/>
      <c r="K450" s="152"/>
      <c r="L450" s="152"/>
      <c r="M450" s="150">
        <f t="shared" ref="M450" si="100">SUBTOTAL(9,M425:M449)</f>
        <v>0</v>
      </c>
      <c r="N450" s="152"/>
      <c r="O450" s="150">
        <f t="shared" ref="O450" si="101">SUBTOTAL(9,O425:O449)</f>
        <v>0</v>
      </c>
      <c r="P450" s="152"/>
    </row>
    <row r="451" spans="1:16" customFormat="1" ht="18.600000000000001" customHeight="1" x14ac:dyDescent="0.2">
      <c r="A451" s="434" t="str">
        <f>A421</f>
        <v>DANH SÁCH LỚP TOÁN</v>
      </c>
      <c r="B451" s="434"/>
      <c r="C451" s="434"/>
      <c r="D451" s="434"/>
      <c r="E451" s="434"/>
      <c r="F451" s="434"/>
      <c r="G451" s="434"/>
      <c r="H451" s="434"/>
      <c r="I451" s="92" t="s">
        <v>1037</v>
      </c>
      <c r="J451" s="48"/>
      <c r="K451" s="48"/>
      <c r="L451" s="48"/>
      <c r="M451" s="41"/>
      <c r="N451" s="41"/>
      <c r="O451" s="41"/>
      <c r="P451" s="41"/>
    </row>
    <row r="452" spans="1:16" customFormat="1" ht="18.600000000000001" customHeight="1" x14ac:dyDescent="0.2">
      <c r="A452" s="28"/>
      <c r="B452" s="29"/>
      <c r="C452" s="30"/>
      <c r="D452" s="36"/>
      <c r="E452" s="28"/>
      <c r="F452" s="28"/>
      <c r="G452" s="28"/>
      <c r="H452" s="28"/>
      <c r="I452" s="79"/>
      <c r="J452" s="28"/>
      <c r="K452" s="28"/>
      <c r="L452" s="28"/>
      <c r="M452" s="28"/>
      <c r="N452" s="28"/>
      <c r="O452" s="28"/>
      <c r="P452" s="28"/>
    </row>
    <row r="453" spans="1:16" customFormat="1" ht="18.600000000000001" customHeight="1" x14ac:dyDescent="0.2">
      <c r="A453" s="435" t="s">
        <v>374</v>
      </c>
      <c r="B453" s="435" t="s">
        <v>380</v>
      </c>
      <c r="C453" s="435" t="s">
        <v>383</v>
      </c>
      <c r="D453" s="437" t="s">
        <v>384</v>
      </c>
      <c r="E453" s="438" t="s">
        <v>385</v>
      </c>
      <c r="F453" s="439"/>
      <c r="G453" s="432" t="str">
        <f>$R$1</f>
        <v>Đợt 6</v>
      </c>
      <c r="H453" s="433"/>
      <c r="I453" s="432" t="str">
        <f>$T$1</f>
        <v>Đợt 7</v>
      </c>
      <c r="J453" s="433"/>
      <c r="K453" s="432" t="str">
        <f>$V$1</f>
        <v>Đợt 8</v>
      </c>
      <c r="L453" s="433"/>
      <c r="M453" s="432" t="str">
        <f>$X$1</f>
        <v>Đợt 9</v>
      </c>
      <c r="N453" s="433"/>
      <c r="O453" s="432" t="str">
        <f>$Z$1</f>
        <v>Đợt 10</v>
      </c>
      <c r="P453" s="433"/>
    </row>
    <row r="454" spans="1:16" customFormat="1" ht="18.600000000000001" customHeight="1" x14ac:dyDescent="0.2">
      <c r="A454" s="436"/>
      <c r="B454" s="436"/>
      <c r="C454" s="436"/>
      <c r="D454" s="436"/>
      <c r="E454" s="31" t="s">
        <v>381</v>
      </c>
      <c r="F454" s="31" t="s">
        <v>382</v>
      </c>
      <c r="G454" s="31" t="s">
        <v>381</v>
      </c>
      <c r="H454" s="31" t="s">
        <v>382</v>
      </c>
      <c r="I454" s="80" t="s">
        <v>381</v>
      </c>
      <c r="J454" s="31" t="s">
        <v>382</v>
      </c>
      <c r="K454" s="80" t="s">
        <v>381</v>
      </c>
      <c r="L454" s="31" t="s">
        <v>382</v>
      </c>
      <c r="M454" s="31" t="s">
        <v>381</v>
      </c>
      <c r="N454" s="31" t="s">
        <v>382</v>
      </c>
      <c r="O454" s="31" t="s">
        <v>381</v>
      </c>
      <c r="P454" s="31" t="s">
        <v>382</v>
      </c>
    </row>
    <row r="455" spans="1:16" customFormat="1" ht="18.600000000000001" customHeight="1" x14ac:dyDescent="0.2">
      <c r="A455" s="32">
        <v>1</v>
      </c>
      <c r="B455" s="24" t="s">
        <v>304</v>
      </c>
      <c r="C455" s="24" t="s">
        <v>14</v>
      </c>
      <c r="D455" s="24"/>
      <c r="E455" s="32"/>
      <c r="F455" s="34"/>
      <c r="G455" s="32"/>
      <c r="H455" s="93"/>
      <c r="I455" s="81"/>
      <c r="J455" s="34"/>
      <c r="K455" s="34"/>
      <c r="L455" s="34"/>
      <c r="M455" s="32"/>
      <c r="N455" s="34"/>
      <c r="O455" s="32"/>
      <c r="P455" s="34"/>
    </row>
    <row r="456" spans="1:16" customFormat="1" ht="18.600000000000001" customHeight="1" x14ac:dyDescent="0.2">
      <c r="A456" s="7">
        <f t="shared" ref="A456:A479" si="102">A455+1</f>
        <v>2</v>
      </c>
      <c r="B456" s="25" t="s">
        <v>650</v>
      </c>
      <c r="C456" s="25" t="s">
        <v>14</v>
      </c>
      <c r="D456" s="163"/>
      <c r="E456" s="7"/>
      <c r="F456" s="7"/>
      <c r="G456" s="7"/>
      <c r="H456" s="7"/>
      <c r="I456" s="82"/>
      <c r="J456" s="7"/>
      <c r="K456" s="7"/>
      <c r="L456" s="7"/>
      <c r="M456" s="7"/>
      <c r="N456" s="7"/>
      <c r="O456" s="7"/>
      <c r="P456" s="7"/>
    </row>
    <row r="457" spans="1:16" customFormat="1" ht="18.600000000000001" customHeight="1" x14ac:dyDescent="0.2">
      <c r="A457" s="7">
        <f t="shared" si="102"/>
        <v>3</v>
      </c>
      <c r="B457" s="24" t="s">
        <v>294</v>
      </c>
      <c r="C457" s="24" t="s">
        <v>12</v>
      </c>
      <c r="D457" s="24">
        <v>975282636</v>
      </c>
      <c r="E457" s="7"/>
      <c r="F457" s="7"/>
      <c r="G457" s="7"/>
      <c r="H457" s="7"/>
      <c r="I457" s="82"/>
      <c r="J457" s="7"/>
      <c r="K457" s="7"/>
      <c r="L457" s="7"/>
      <c r="M457" s="7"/>
      <c r="N457" s="7"/>
      <c r="O457" s="7"/>
      <c r="P457" s="7"/>
    </row>
    <row r="458" spans="1:16" customFormat="1" ht="18.600000000000001" customHeight="1" x14ac:dyDescent="0.2">
      <c r="A458" s="7">
        <f t="shared" si="102"/>
        <v>4</v>
      </c>
      <c r="B458" s="25" t="s">
        <v>305</v>
      </c>
      <c r="C458" s="25" t="s">
        <v>12</v>
      </c>
      <c r="D458" s="163"/>
      <c r="E458" s="7"/>
      <c r="F458" s="7"/>
      <c r="G458" s="7"/>
      <c r="H458" s="7"/>
      <c r="I458" s="82"/>
      <c r="J458" s="7"/>
      <c r="K458" s="7"/>
      <c r="L458" s="7"/>
      <c r="M458" s="7"/>
      <c r="N458" s="7"/>
      <c r="O458" s="7"/>
      <c r="P458" s="7"/>
    </row>
    <row r="459" spans="1:16" customFormat="1" ht="18.600000000000001" customHeight="1" x14ac:dyDescent="0.2">
      <c r="A459" s="6">
        <f t="shared" si="102"/>
        <v>5</v>
      </c>
      <c r="B459" s="24" t="s">
        <v>251</v>
      </c>
      <c r="C459" s="24" t="s">
        <v>88</v>
      </c>
      <c r="D459" s="24">
        <v>342303155</v>
      </c>
      <c r="E459" s="16"/>
      <c r="F459" s="16"/>
      <c r="G459" s="16"/>
      <c r="H459" s="16"/>
      <c r="I459" s="83"/>
      <c r="J459" s="16"/>
      <c r="K459" s="16"/>
      <c r="L459" s="16"/>
      <c r="M459" s="16"/>
      <c r="N459" s="16"/>
      <c r="O459" s="16"/>
      <c r="P459" s="16"/>
    </row>
    <row r="460" spans="1:16" customFormat="1" ht="18.600000000000001" customHeight="1" x14ac:dyDescent="0.2">
      <c r="A460" s="56">
        <f t="shared" si="102"/>
        <v>6</v>
      </c>
      <c r="B460" s="17" t="s">
        <v>1064</v>
      </c>
      <c r="C460" s="24" t="s">
        <v>1065</v>
      </c>
      <c r="D460" s="163"/>
      <c r="E460" s="2"/>
      <c r="F460" s="2"/>
      <c r="G460" s="2"/>
      <c r="H460" s="2"/>
      <c r="I460" s="84"/>
      <c r="J460" s="2"/>
      <c r="K460" s="2"/>
      <c r="L460" s="2"/>
      <c r="M460" s="2"/>
      <c r="N460" s="2"/>
      <c r="O460" s="2"/>
      <c r="P460" s="2"/>
    </row>
    <row r="461" spans="1:16" customFormat="1" ht="18.600000000000001" customHeight="1" x14ac:dyDescent="0.2">
      <c r="A461" s="6">
        <f t="shared" si="102"/>
        <v>7</v>
      </c>
      <c r="B461" s="24" t="s">
        <v>178</v>
      </c>
      <c r="C461" s="24" t="s">
        <v>1199</v>
      </c>
      <c r="D461" s="24"/>
      <c r="E461" s="4"/>
      <c r="F461" s="4"/>
      <c r="G461" s="4"/>
      <c r="H461" s="4"/>
      <c r="I461" s="85"/>
      <c r="J461" s="4"/>
      <c r="K461" s="4"/>
      <c r="L461" s="4"/>
      <c r="M461" s="4"/>
      <c r="N461" s="4"/>
      <c r="O461" s="4"/>
      <c r="P461" s="4"/>
    </row>
    <row r="462" spans="1:16" customFormat="1" ht="18.600000000000001" customHeight="1" x14ac:dyDescent="0.2">
      <c r="A462" s="6">
        <f t="shared" si="102"/>
        <v>8</v>
      </c>
      <c r="B462" s="24" t="s">
        <v>300</v>
      </c>
      <c r="C462" s="24" t="s">
        <v>95</v>
      </c>
      <c r="D462" s="24"/>
      <c r="E462" s="4"/>
      <c r="F462" s="4"/>
      <c r="G462" s="4"/>
      <c r="H462" s="4"/>
      <c r="I462" s="85"/>
      <c r="J462" s="4"/>
      <c r="K462" s="4"/>
      <c r="L462" s="4"/>
      <c r="M462" s="4"/>
      <c r="N462" s="4"/>
      <c r="O462" s="4"/>
      <c r="P462" s="4"/>
    </row>
    <row r="463" spans="1:16" customFormat="1" ht="18.600000000000001" customHeight="1" x14ac:dyDescent="0.2">
      <c r="A463" s="6">
        <f t="shared" si="102"/>
        <v>9</v>
      </c>
      <c r="B463" s="24" t="s">
        <v>297</v>
      </c>
      <c r="C463" s="24" t="s">
        <v>4</v>
      </c>
      <c r="D463" s="163"/>
      <c r="E463" s="4"/>
      <c r="F463" s="4"/>
      <c r="G463" s="4"/>
      <c r="H463" s="4"/>
      <c r="I463" s="85"/>
      <c r="J463" s="4"/>
      <c r="K463" s="4"/>
      <c r="L463" s="4"/>
      <c r="M463" s="4"/>
      <c r="N463" s="4"/>
      <c r="O463" s="4"/>
      <c r="P463" s="4"/>
    </row>
    <row r="464" spans="1:16" customFormat="1" ht="18.600000000000001" customHeight="1" x14ac:dyDescent="0.2">
      <c r="A464" s="10">
        <f t="shared" si="102"/>
        <v>10</v>
      </c>
      <c r="B464" s="24" t="s">
        <v>644</v>
      </c>
      <c r="C464" s="24" t="s">
        <v>425</v>
      </c>
      <c r="D464" s="24">
        <v>369988116</v>
      </c>
      <c r="E464" s="12"/>
      <c r="F464" s="12"/>
      <c r="G464" s="12"/>
      <c r="H464" s="12"/>
      <c r="I464" s="86"/>
      <c r="J464" s="12"/>
      <c r="K464" s="12"/>
      <c r="L464" s="12"/>
      <c r="M464" s="12"/>
      <c r="N464" s="12"/>
      <c r="O464" s="12"/>
      <c r="P464" s="12"/>
    </row>
    <row r="465" spans="1:16" customFormat="1" ht="18.600000000000001" customHeight="1" x14ac:dyDescent="0.2">
      <c r="A465" s="35">
        <f t="shared" si="102"/>
        <v>11</v>
      </c>
      <c r="B465" s="24" t="s">
        <v>299</v>
      </c>
      <c r="C465" s="24" t="s">
        <v>97</v>
      </c>
      <c r="D465" s="163"/>
      <c r="E465" s="14"/>
      <c r="F465" s="14"/>
      <c r="G465" s="14"/>
      <c r="H465" s="14"/>
      <c r="I465" s="87"/>
      <c r="J465" s="14"/>
      <c r="K465" s="14"/>
      <c r="L465" s="14"/>
      <c r="M465" s="14"/>
      <c r="N465" s="14"/>
      <c r="O465" s="14"/>
      <c r="P465" s="14"/>
    </row>
    <row r="466" spans="1:16" customFormat="1" ht="18.600000000000001" customHeight="1" x14ac:dyDescent="0.2">
      <c r="A466" s="7">
        <f t="shared" si="102"/>
        <v>12</v>
      </c>
      <c r="B466" s="24" t="s">
        <v>1201</v>
      </c>
      <c r="C466" s="24" t="s">
        <v>106</v>
      </c>
      <c r="D466" s="24"/>
      <c r="E466" s="4"/>
      <c r="F466" s="4"/>
      <c r="G466" s="4"/>
      <c r="H466" s="4"/>
      <c r="I466" s="85"/>
      <c r="J466" s="4"/>
      <c r="K466" s="4"/>
      <c r="L466" s="4"/>
      <c r="M466" s="4"/>
      <c r="N466" s="4"/>
      <c r="O466" s="4"/>
      <c r="P466" s="4"/>
    </row>
    <row r="467" spans="1:16" customFormat="1" ht="18.600000000000001" customHeight="1" x14ac:dyDescent="0.2">
      <c r="A467" s="7">
        <f t="shared" si="102"/>
        <v>13</v>
      </c>
      <c r="B467" s="17" t="s">
        <v>1063</v>
      </c>
      <c r="C467" s="24" t="s">
        <v>68</v>
      </c>
      <c r="D467" s="163"/>
      <c r="E467" s="4"/>
      <c r="F467" s="4"/>
      <c r="G467" s="4"/>
      <c r="H467" s="4"/>
      <c r="I467" s="85"/>
      <c r="J467" s="4"/>
      <c r="K467" s="4"/>
      <c r="L467" s="4"/>
      <c r="M467" s="4"/>
      <c r="N467" s="4"/>
      <c r="O467" s="4"/>
      <c r="P467" s="4"/>
    </row>
    <row r="468" spans="1:16" customFormat="1" ht="18.600000000000001" customHeight="1" x14ac:dyDescent="0.2">
      <c r="A468" s="7">
        <f t="shared" si="102"/>
        <v>14</v>
      </c>
      <c r="B468" s="24" t="s">
        <v>210</v>
      </c>
      <c r="C468" s="24" t="s">
        <v>99</v>
      </c>
      <c r="D468" s="26"/>
      <c r="E468" s="4"/>
      <c r="F468" s="4"/>
      <c r="G468" s="4"/>
      <c r="H468" s="4"/>
      <c r="I468" s="85"/>
      <c r="J468" s="4"/>
      <c r="K468" s="4"/>
      <c r="L468" s="4"/>
      <c r="M468" s="4"/>
      <c r="N468" s="4"/>
      <c r="O468" s="4"/>
      <c r="P468" s="4"/>
    </row>
    <row r="469" spans="1:16" customFormat="1" ht="18.600000000000001" customHeight="1" x14ac:dyDescent="0.2">
      <c r="A469" s="6">
        <f t="shared" si="102"/>
        <v>15</v>
      </c>
      <c r="B469" s="24" t="s">
        <v>630</v>
      </c>
      <c r="C469" s="24" t="s">
        <v>13</v>
      </c>
      <c r="D469" s="163"/>
      <c r="E469" s="16"/>
      <c r="F469" s="16"/>
      <c r="G469" s="16"/>
      <c r="H469" s="16"/>
      <c r="I469" s="83"/>
      <c r="J469" s="16"/>
      <c r="K469" s="16"/>
      <c r="L469" s="16"/>
      <c r="M469" s="16"/>
      <c r="N469" s="16"/>
      <c r="O469" s="16"/>
      <c r="P469" s="16"/>
    </row>
    <row r="470" spans="1:16" customFormat="1" ht="18.600000000000001" customHeight="1" x14ac:dyDescent="0.2">
      <c r="A470" s="32">
        <f t="shared" si="102"/>
        <v>16</v>
      </c>
      <c r="B470" s="26" t="s">
        <v>181</v>
      </c>
      <c r="C470" s="26" t="s">
        <v>19</v>
      </c>
      <c r="D470" s="26"/>
      <c r="E470" s="2"/>
      <c r="F470" s="2"/>
      <c r="G470" s="2"/>
      <c r="H470" s="2"/>
      <c r="I470" s="84"/>
      <c r="J470" s="2"/>
      <c r="K470" s="2"/>
      <c r="L470" s="2"/>
      <c r="M470" s="2"/>
      <c r="N470" s="2"/>
      <c r="O470" s="2"/>
      <c r="P470" s="2"/>
    </row>
    <row r="471" spans="1:16" customFormat="1" ht="18.600000000000001" customHeight="1" x14ac:dyDescent="0.2">
      <c r="A471" s="7">
        <f t="shared" si="102"/>
        <v>17</v>
      </c>
      <c r="B471" s="24" t="s">
        <v>292</v>
      </c>
      <c r="C471" s="24" t="s">
        <v>92</v>
      </c>
      <c r="D471" s="163"/>
      <c r="E471" s="4"/>
      <c r="F471" s="4"/>
      <c r="G471" s="4"/>
      <c r="H471" s="4"/>
      <c r="I471" s="85"/>
      <c r="J471" s="4"/>
      <c r="K471" s="4"/>
      <c r="L471" s="4"/>
      <c r="M471" s="4"/>
      <c r="N471" s="4"/>
      <c r="O471" s="4"/>
      <c r="P471" s="4"/>
    </row>
    <row r="472" spans="1:16" customFormat="1" ht="18.600000000000001" customHeight="1" x14ac:dyDescent="0.2">
      <c r="A472" s="7">
        <f t="shared" si="102"/>
        <v>18</v>
      </c>
      <c r="B472" s="24" t="s">
        <v>1200</v>
      </c>
      <c r="C472" s="24" t="s">
        <v>762</v>
      </c>
      <c r="D472" s="24"/>
      <c r="E472" s="4"/>
      <c r="F472" s="4"/>
      <c r="G472" s="4"/>
      <c r="H472" s="4"/>
      <c r="I472" s="85"/>
      <c r="J472" s="4"/>
      <c r="K472" s="4"/>
      <c r="L472" s="4"/>
      <c r="M472" s="4"/>
      <c r="N472" s="4"/>
      <c r="O472" s="4"/>
      <c r="P472" s="4"/>
    </row>
    <row r="473" spans="1:16" customFormat="1" ht="18.600000000000001" customHeight="1" x14ac:dyDescent="0.2">
      <c r="A473" s="7">
        <f t="shared" si="102"/>
        <v>19</v>
      </c>
      <c r="B473" s="26" t="s">
        <v>958</v>
      </c>
      <c r="C473" s="26" t="s">
        <v>956</v>
      </c>
      <c r="D473" s="26"/>
      <c r="E473" s="4"/>
      <c r="F473" s="4"/>
      <c r="G473" s="4"/>
      <c r="H473" s="4"/>
      <c r="I473" s="85"/>
      <c r="J473" s="4"/>
      <c r="K473" s="4"/>
      <c r="L473" s="4"/>
      <c r="M473" s="4"/>
      <c r="N473" s="4"/>
      <c r="O473" s="4"/>
      <c r="P473" s="4"/>
    </row>
    <row r="474" spans="1:16" customFormat="1" ht="18.600000000000001" customHeight="1" x14ac:dyDescent="0.2">
      <c r="A474" s="10">
        <f t="shared" si="102"/>
        <v>20</v>
      </c>
      <c r="B474" s="24" t="s">
        <v>1066</v>
      </c>
      <c r="C474" s="24" t="s">
        <v>31</v>
      </c>
      <c r="D474" s="163"/>
      <c r="E474" s="12"/>
      <c r="F474" s="12"/>
      <c r="G474" s="12"/>
      <c r="H474" s="12"/>
      <c r="I474" s="86"/>
      <c r="J474" s="12"/>
      <c r="K474" s="12"/>
      <c r="L474" s="12"/>
      <c r="M474" s="12"/>
      <c r="N474" s="12"/>
      <c r="O474" s="12"/>
      <c r="P474" s="12"/>
    </row>
    <row r="475" spans="1:16" customFormat="1" ht="18.600000000000001" customHeight="1" x14ac:dyDescent="0.2">
      <c r="A475" s="35">
        <f t="shared" si="102"/>
        <v>21</v>
      </c>
      <c r="B475" s="24" t="s">
        <v>287</v>
      </c>
      <c r="C475" s="24" t="s">
        <v>58</v>
      </c>
      <c r="D475" s="163"/>
      <c r="E475" s="14"/>
      <c r="F475" s="14"/>
      <c r="G475" s="14"/>
      <c r="H475" s="14"/>
      <c r="I475" s="87"/>
      <c r="J475" s="14"/>
      <c r="K475" s="14"/>
      <c r="L475" s="14"/>
      <c r="M475" s="14"/>
      <c r="N475" s="14"/>
      <c r="O475" s="14"/>
      <c r="P475" s="14"/>
    </row>
    <row r="476" spans="1:16" customFormat="1" ht="18.600000000000001" customHeight="1" x14ac:dyDescent="0.2">
      <c r="A476" s="7">
        <f t="shared" si="102"/>
        <v>22</v>
      </c>
      <c r="B476" s="24" t="s">
        <v>613</v>
      </c>
      <c r="C476" s="24" t="s">
        <v>60</v>
      </c>
      <c r="D476" s="24"/>
      <c r="E476" s="4"/>
      <c r="F476" s="4"/>
      <c r="G476" s="4"/>
      <c r="H476" s="4"/>
      <c r="I476" s="85"/>
      <c r="J476" s="4"/>
      <c r="K476" s="4"/>
      <c r="L476" s="4"/>
      <c r="M476" s="4"/>
      <c r="N476" s="4"/>
      <c r="O476" s="4"/>
      <c r="P476" s="4"/>
    </row>
    <row r="477" spans="1:16" customFormat="1" ht="18.600000000000001" customHeight="1" x14ac:dyDescent="0.2">
      <c r="A477" s="35">
        <f t="shared" si="102"/>
        <v>23</v>
      </c>
      <c r="B477" s="26" t="s">
        <v>1062</v>
      </c>
      <c r="C477" s="26" t="s">
        <v>1061</v>
      </c>
      <c r="D477" s="26"/>
      <c r="E477" s="4"/>
      <c r="F477" s="4"/>
      <c r="G477" s="4"/>
      <c r="H477" s="4"/>
      <c r="I477" s="85"/>
      <c r="J477" s="4"/>
      <c r="K477" s="4"/>
      <c r="L477" s="4"/>
      <c r="M477" s="4"/>
      <c r="N477" s="4"/>
      <c r="O477" s="4"/>
      <c r="P477" s="4"/>
    </row>
    <row r="478" spans="1:16" customFormat="1" ht="18.600000000000001" customHeight="1" x14ac:dyDescent="0.2">
      <c r="A478" s="7">
        <f t="shared" si="102"/>
        <v>24</v>
      </c>
      <c r="B478" s="3"/>
      <c r="C478" s="4"/>
      <c r="D478" s="8"/>
      <c r="E478" s="4"/>
      <c r="F478" s="4"/>
      <c r="G478" s="4"/>
      <c r="H478" s="4"/>
      <c r="I478" s="85"/>
      <c r="J478" s="4"/>
      <c r="K478" s="4"/>
      <c r="L478" s="4"/>
      <c r="M478" s="4"/>
      <c r="N478" s="4"/>
      <c r="O478" s="4"/>
      <c r="P478" s="4"/>
    </row>
    <row r="479" spans="1:16" customFormat="1" ht="18.600000000000001" customHeight="1" x14ac:dyDescent="0.2">
      <c r="A479" s="35">
        <f t="shared" si="102"/>
        <v>25</v>
      </c>
      <c r="B479" s="11"/>
      <c r="C479" s="12"/>
      <c r="D479" s="9"/>
      <c r="E479" s="12"/>
      <c r="F479" s="12"/>
      <c r="G479" s="12"/>
      <c r="H479" s="12"/>
      <c r="I479" s="86"/>
      <c r="J479" s="12"/>
      <c r="K479" s="12"/>
      <c r="L479" s="12"/>
      <c r="M479" s="12"/>
      <c r="N479" s="12"/>
      <c r="O479" s="12"/>
      <c r="P479" s="12"/>
    </row>
    <row r="480" spans="1:16" customFormat="1" ht="18.600000000000001" customHeight="1" x14ac:dyDescent="0.3">
      <c r="A480" s="147"/>
      <c r="B480" s="148"/>
      <c r="C480" s="147"/>
      <c r="D480" s="149"/>
      <c r="E480" s="150">
        <f>SUBTOTAL(9,E455:E479)</f>
        <v>0</v>
      </c>
      <c r="F480" s="152"/>
      <c r="G480" s="150">
        <f t="shared" ref="G480" si="103">SUBTOTAL(9,G455:G479)</f>
        <v>0</v>
      </c>
      <c r="H480" s="152"/>
      <c r="I480" s="150">
        <f t="shared" ref="I480" si="104">SUBTOTAL(9,I455:I479)</f>
        <v>0</v>
      </c>
      <c r="J480" s="152"/>
      <c r="K480" s="152"/>
      <c r="L480" s="152"/>
      <c r="M480" s="150">
        <f t="shared" ref="M480" si="105">SUBTOTAL(9,M455:M479)</f>
        <v>0</v>
      </c>
      <c r="N480" s="152"/>
      <c r="O480" s="150">
        <f t="shared" ref="O480" si="106">SUBTOTAL(9,O455:O479)</f>
        <v>0</v>
      </c>
      <c r="P480" s="152"/>
    </row>
    <row r="481" spans="1:16" customFormat="1" ht="18.600000000000001" customHeight="1" x14ac:dyDescent="0.2">
      <c r="A481" s="434" t="str">
        <f>A451</f>
        <v>DANH SÁCH LỚP TOÁN</v>
      </c>
      <c r="B481" s="434"/>
      <c r="C481" s="434"/>
      <c r="D481" s="434"/>
      <c r="E481" s="434"/>
      <c r="F481" s="434"/>
      <c r="G481" s="434"/>
      <c r="H481" s="434"/>
      <c r="I481" s="92" t="s">
        <v>1038</v>
      </c>
      <c r="J481" s="48"/>
      <c r="K481" s="48"/>
      <c r="L481" s="48"/>
      <c r="M481" s="41"/>
      <c r="N481" s="41"/>
      <c r="O481" s="41"/>
      <c r="P481" s="41"/>
    </row>
    <row r="482" spans="1:16" customFormat="1" ht="18.600000000000001" customHeight="1" x14ac:dyDescent="0.2">
      <c r="A482" s="28"/>
      <c r="B482" s="29"/>
      <c r="C482" s="30"/>
      <c r="D482" s="36"/>
      <c r="E482" s="28"/>
      <c r="F482" s="28"/>
      <c r="G482" s="28"/>
      <c r="H482" s="28"/>
      <c r="I482" s="79"/>
      <c r="J482" s="28"/>
      <c r="K482" s="28"/>
      <c r="L482" s="28"/>
      <c r="M482" s="28"/>
      <c r="N482" s="28"/>
      <c r="O482" s="28"/>
      <c r="P482" s="28"/>
    </row>
    <row r="483" spans="1:16" customFormat="1" ht="18.600000000000001" customHeight="1" x14ac:dyDescent="0.2">
      <c r="A483" s="435" t="s">
        <v>374</v>
      </c>
      <c r="B483" s="435" t="s">
        <v>380</v>
      </c>
      <c r="C483" s="435" t="s">
        <v>383</v>
      </c>
      <c r="D483" s="437" t="s">
        <v>384</v>
      </c>
      <c r="E483" s="438" t="s">
        <v>385</v>
      </c>
      <c r="F483" s="439"/>
      <c r="G483" s="432" t="str">
        <f>$R$1</f>
        <v>Đợt 6</v>
      </c>
      <c r="H483" s="433"/>
      <c r="I483" s="432" t="str">
        <f>$T$1</f>
        <v>Đợt 7</v>
      </c>
      <c r="J483" s="433"/>
      <c r="K483" s="432" t="str">
        <f>$V$1</f>
        <v>Đợt 8</v>
      </c>
      <c r="L483" s="433"/>
      <c r="M483" s="432" t="str">
        <f>$X$1</f>
        <v>Đợt 9</v>
      </c>
      <c r="N483" s="433"/>
      <c r="O483" s="432" t="str">
        <f>$Z$1</f>
        <v>Đợt 10</v>
      </c>
      <c r="P483" s="433"/>
    </row>
    <row r="484" spans="1:16" customFormat="1" ht="18.600000000000001" customHeight="1" x14ac:dyDescent="0.2">
      <c r="A484" s="436"/>
      <c r="B484" s="436"/>
      <c r="C484" s="436"/>
      <c r="D484" s="436"/>
      <c r="E484" s="31" t="s">
        <v>381</v>
      </c>
      <c r="F484" s="31" t="s">
        <v>382</v>
      </c>
      <c r="G484" s="31" t="s">
        <v>381</v>
      </c>
      <c r="H484" s="31" t="s">
        <v>382</v>
      </c>
      <c r="I484" s="80" t="s">
        <v>381</v>
      </c>
      <c r="J484" s="31" t="s">
        <v>382</v>
      </c>
      <c r="K484" s="80" t="s">
        <v>381</v>
      </c>
      <c r="L484" s="31" t="s">
        <v>382</v>
      </c>
      <c r="M484" s="31" t="s">
        <v>381</v>
      </c>
      <c r="N484" s="31" t="s">
        <v>382</v>
      </c>
      <c r="O484" s="31" t="s">
        <v>381</v>
      </c>
      <c r="P484" s="31" t="s">
        <v>382</v>
      </c>
    </row>
    <row r="485" spans="1:16" customFormat="1" ht="18.600000000000001" customHeight="1" x14ac:dyDescent="0.2">
      <c r="A485" s="32">
        <v>1</v>
      </c>
      <c r="B485" s="24" t="s">
        <v>159</v>
      </c>
      <c r="C485" s="24" t="s">
        <v>76</v>
      </c>
      <c r="D485" s="25">
        <v>388845162</v>
      </c>
      <c r="E485" s="32"/>
      <c r="F485" s="34"/>
      <c r="G485" s="32"/>
      <c r="H485" s="93"/>
      <c r="I485" s="81"/>
      <c r="J485" s="34"/>
      <c r="K485" s="34"/>
      <c r="L485" s="34"/>
      <c r="M485" s="32"/>
      <c r="N485" s="34"/>
      <c r="O485" s="32"/>
      <c r="P485" s="34"/>
    </row>
    <row r="486" spans="1:16" customFormat="1" ht="18.600000000000001" customHeight="1" x14ac:dyDescent="0.2">
      <c r="A486" s="7">
        <f t="shared" ref="A486:A509" si="107">A485+1</f>
        <v>2</v>
      </c>
      <c r="B486" s="64" t="s">
        <v>1132</v>
      </c>
      <c r="C486" s="25" t="s">
        <v>21</v>
      </c>
      <c r="D486" s="24"/>
      <c r="E486" s="7"/>
      <c r="F486" s="7"/>
      <c r="G486" s="7"/>
      <c r="H486" s="7"/>
      <c r="I486" s="82"/>
      <c r="J486" s="7"/>
      <c r="K486" s="7"/>
      <c r="L486" s="7"/>
      <c r="M486" s="7"/>
      <c r="N486" s="7"/>
      <c r="O486" s="7"/>
      <c r="P486" s="7"/>
    </row>
    <row r="487" spans="1:16" customFormat="1" ht="18.600000000000001" customHeight="1" x14ac:dyDescent="0.2">
      <c r="A487" s="7">
        <f t="shared" si="107"/>
        <v>3</v>
      </c>
      <c r="B487" s="24" t="s">
        <v>159</v>
      </c>
      <c r="C487" s="24" t="s">
        <v>49</v>
      </c>
      <c r="D487" s="24"/>
      <c r="E487" s="7"/>
      <c r="F487" s="7"/>
      <c r="G487" s="7"/>
      <c r="H487" s="7"/>
      <c r="I487" s="82"/>
      <c r="J487" s="7"/>
      <c r="K487" s="7"/>
      <c r="L487" s="7"/>
      <c r="M487" s="7"/>
      <c r="N487" s="7"/>
      <c r="O487" s="7"/>
      <c r="P487" s="7"/>
    </row>
    <row r="488" spans="1:16" customFormat="1" ht="18.600000000000001" customHeight="1" x14ac:dyDescent="0.2">
      <c r="A488" s="7">
        <f t="shared" si="107"/>
        <v>4</v>
      </c>
      <c r="B488" s="24" t="s">
        <v>159</v>
      </c>
      <c r="C488" s="24" t="s">
        <v>601</v>
      </c>
      <c r="D488" s="163"/>
      <c r="E488" s="7"/>
      <c r="F488" s="7"/>
      <c r="G488" s="7"/>
      <c r="H488" s="7"/>
      <c r="I488" s="82"/>
      <c r="J488" s="7"/>
      <c r="K488" s="7"/>
      <c r="L488" s="7"/>
      <c r="M488" s="7"/>
      <c r="N488" s="7"/>
      <c r="O488" s="7"/>
      <c r="P488" s="7"/>
    </row>
    <row r="489" spans="1:16" customFormat="1" ht="18.600000000000001" customHeight="1" x14ac:dyDescent="0.2">
      <c r="A489" s="6">
        <f t="shared" si="107"/>
        <v>5</v>
      </c>
      <c r="B489" s="3" t="s">
        <v>709</v>
      </c>
      <c r="C489" s="26" t="s">
        <v>26</v>
      </c>
      <c r="D489" s="26"/>
      <c r="E489" s="16"/>
      <c r="F489" s="16"/>
      <c r="G489" s="16"/>
      <c r="H489" s="16"/>
      <c r="I489" s="83"/>
      <c r="J489" s="16"/>
      <c r="K489" s="16"/>
      <c r="L489" s="16"/>
      <c r="M489" s="16"/>
      <c r="N489" s="16"/>
      <c r="O489" s="16"/>
      <c r="P489" s="16"/>
    </row>
    <row r="490" spans="1:16" customFormat="1" ht="18.600000000000001" customHeight="1" x14ac:dyDescent="0.3">
      <c r="A490" s="56">
        <f t="shared" si="107"/>
        <v>6</v>
      </c>
      <c r="B490" s="143" t="s">
        <v>818</v>
      </c>
      <c r="C490" s="143" t="s">
        <v>19</v>
      </c>
      <c r="D490" s="143">
        <v>344818159</v>
      </c>
      <c r="E490" s="2"/>
      <c r="F490" s="2"/>
      <c r="G490" s="2"/>
      <c r="H490" s="2"/>
      <c r="I490" s="84"/>
      <c r="J490" s="2"/>
      <c r="K490" s="2"/>
      <c r="L490" s="2"/>
      <c r="M490" s="2"/>
      <c r="N490" s="2"/>
      <c r="O490" s="2"/>
      <c r="P490" s="2"/>
    </row>
    <row r="491" spans="1:16" customFormat="1" ht="18.600000000000001" customHeight="1" x14ac:dyDescent="0.2">
      <c r="A491" s="6">
        <f t="shared" si="107"/>
        <v>7</v>
      </c>
      <c r="B491" s="24" t="s">
        <v>266</v>
      </c>
      <c r="C491" s="24" t="s">
        <v>45</v>
      </c>
      <c r="D491" s="26"/>
      <c r="E491" s="4"/>
      <c r="F491" s="4"/>
      <c r="G491" s="4"/>
      <c r="H491" s="4"/>
      <c r="I491" s="85"/>
      <c r="J491" s="4"/>
      <c r="K491" s="4"/>
      <c r="L491" s="4"/>
      <c r="M491" s="4"/>
      <c r="N491" s="4"/>
      <c r="O491" s="4"/>
      <c r="P491" s="4"/>
    </row>
    <row r="492" spans="1:16" customFormat="1" ht="18.600000000000001" customHeight="1" x14ac:dyDescent="0.2">
      <c r="A492" s="6">
        <f t="shared" si="107"/>
        <v>8</v>
      </c>
      <c r="B492" s="64">
        <v>1</v>
      </c>
      <c r="C492" s="25" t="s">
        <v>725</v>
      </c>
      <c r="D492" s="24"/>
      <c r="E492" s="4"/>
      <c r="F492" s="4"/>
      <c r="G492" s="4"/>
      <c r="H492" s="4"/>
      <c r="I492" s="85"/>
      <c r="J492" s="4"/>
      <c r="K492" s="4"/>
      <c r="L492" s="4"/>
      <c r="M492" s="4"/>
      <c r="N492" s="4"/>
      <c r="O492" s="4"/>
      <c r="P492" s="4"/>
    </row>
    <row r="493" spans="1:16" customFormat="1" ht="18.600000000000001" customHeight="1" x14ac:dyDescent="0.2">
      <c r="A493" s="6">
        <f t="shared" si="107"/>
        <v>9</v>
      </c>
      <c r="B493" s="64" t="s">
        <v>1093</v>
      </c>
      <c r="C493" s="25" t="s">
        <v>40</v>
      </c>
      <c r="D493" s="24"/>
      <c r="E493" s="4"/>
      <c r="F493" s="4"/>
      <c r="G493" s="4"/>
      <c r="H493" s="4"/>
      <c r="I493" s="85"/>
      <c r="J493" s="4"/>
      <c r="K493" s="4"/>
      <c r="L493" s="4"/>
      <c r="M493" s="4"/>
      <c r="N493" s="4"/>
      <c r="O493" s="4"/>
      <c r="P493" s="4"/>
    </row>
    <row r="494" spans="1:16" customFormat="1" ht="18.600000000000001" customHeight="1" x14ac:dyDescent="0.2">
      <c r="A494" s="10">
        <f t="shared" si="107"/>
        <v>10</v>
      </c>
      <c r="B494" s="24" t="s">
        <v>1202</v>
      </c>
      <c r="C494" s="24" t="s">
        <v>1203</v>
      </c>
      <c r="D494" s="24"/>
      <c r="E494" s="12"/>
      <c r="F494" s="12"/>
      <c r="G494" s="12"/>
      <c r="H494" s="12"/>
      <c r="I494" s="86"/>
      <c r="J494" s="12"/>
      <c r="K494" s="12"/>
      <c r="L494" s="12"/>
      <c r="M494" s="12"/>
      <c r="N494" s="12"/>
      <c r="O494" s="12"/>
      <c r="P494" s="12"/>
    </row>
    <row r="495" spans="1:16" customFormat="1" ht="18.600000000000001" customHeight="1" x14ac:dyDescent="0.2">
      <c r="A495" s="35">
        <f t="shared" si="107"/>
        <v>11</v>
      </c>
      <c r="B495" s="24" t="s">
        <v>626</v>
      </c>
      <c r="C495" s="24" t="s">
        <v>101</v>
      </c>
      <c r="D495" s="163"/>
      <c r="E495" s="14"/>
      <c r="F495" s="14"/>
      <c r="G495" s="14"/>
      <c r="H495" s="14"/>
      <c r="I495" s="87"/>
      <c r="J495" s="14"/>
      <c r="K495" s="14"/>
      <c r="L495" s="14"/>
      <c r="M495" s="14"/>
      <c r="N495" s="14"/>
      <c r="O495" s="14"/>
      <c r="P495" s="14"/>
    </row>
    <row r="496" spans="1:16" customFormat="1" ht="18.600000000000001" customHeight="1" x14ac:dyDescent="0.2">
      <c r="A496" s="7">
        <f t="shared" si="107"/>
        <v>12</v>
      </c>
      <c r="B496" s="64" t="s">
        <v>200</v>
      </c>
      <c r="C496" s="25" t="s">
        <v>54</v>
      </c>
      <c r="D496" s="24"/>
      <c r="E496" s="4"/>
      <c r="F496" s="4"/>
      <c r="G496" s="4"/>
      <c r="H496" s="4"/>
      <c r="I496" s="85"/>
      <c r="J496" s="4"/>
      <c r="K496" s="4"/>
      <c r="L496" s="4"/>
      <c r="M496" s="4"/>
      <c r="N496" s="4"/>
      <c r="O496" s="4"/>
      <c r="P496" s="4"/>
    </row>
    <row r="497" spans="1:16" customFormat="1" ht="18.600000000000001" customHeight="1" x14ac:dyDescent="0.2">
      <c r="A497" s="7">
        <f t="shared" si="107"/>
        <v>13</v>
      </c>
      <c r="B497" s="64" t="s">
        <v>1134</v>
      </c>
      <c r="C497" s="25" t="s">
        <v>54</v>
      </c>
      <c r="D497" s="24"/>
      <c r="E497" s="4"/>
      <c r="F497" s="4"/>
      <c r="G497" s="4"/>
      <c r="H497" s="4"/>
      <c r="I497" s="85"/>
      <c r="J497" s="4"/>
      <c r="K497" s="4"/>
      <c r="L497" s="4"/>
      <c r="M497" s="4"/>
      <c r="N497" s="4"/>
      <c r="O497" s="4"/>
      <c r="P497" s="4"/>
    </row>
    <row r="498" spans="1:16" customFormat="1" ht="18.600000000000001" customHeight="1" x14ac:dyDescent="0.2">
      <c r="A498" s="7">
        <f t="shared" si="107"/>
        <v>14</v>
      </c>
      <c r="B498" s="25" t="s">
        <v>487</v>
      </c>
      <c r="C498" s="25" t="s">
        <v>20</v>
      </c>
      <c r="D498" s="163">
        <v>377442975</v>
      </c>
      <c r="E498" s="4"/>
      <c r="F498" s="4"/>
      <c r="G498" s="4"/>
      <c r="H498" s="4"/>
      <c r="I498" s="85"/>
      <c r="J498" s="4"/>
      <c r="K498" s="4"/>
      <c r="L498" s="4"/>
      <c r="M498" s="4"/>
      <c r="N498" s="4"/>
      <c r="O498" s="4"/>
      <c r="P498" s="4"/>
    </row>
    <row r="499" spans="1:16" customFormat="1" ht="18.600000000000001" customHeight="1" x14ac:dyDescent="0.3">
      <c r="A499" s="6">
        <f t="shared" si="107"/>
        <v>15</v>
      </c>
      <c r="B499" s="143" t="s">
        <v>267</v>
      </c>
      <c r="C499" s="143" t="s">
        <v>79</v>
      </c>
      <c r="D499" s="143"/>
      <c r="E499" s="16"/>
      <c r="F499" s="16"/>
      <c r="G499" s="16"/>
      <c r="H499" s="16"/>
      <c r="I499" s="83"/>
      <c r="J499" s="16"/>
      <c r="K499" s="16"/>
      <c r="L499" s="16"/>
      <c r="M499" s="16"/>
      <c r="N499" s="16"/>
      <c r="O499" s="16"/>
      <c r="P499" s="16"/>
    </row>
    <row r="500" spans="1:16" customFormat="1" ht="18.600000000000001" customHeight="1" x14ac:dyDescent="0.2">
      <c r="A500" s="32">
        <f t="shared" si="107"/>
        <v>16</v>
      </c>
      <c r="B500" s="24" t="s">
        <v>1172</v>
      </c>
      <c r="C500" s="24" t="s">
        <v>42</v>
      </c>
      <c r="D500" s="24"/>
      <c r="E500" s="2"/>
      <c r="F500" s="2"/>
      <c r="G500" s="2"/>
      <c r="H500" s="2"/>
      <c r="I500" s="84"/>
      <c r="J500" s="2"/>
      <c r="K500" s="2"/>
      <c r="L500" s="2"/>
      <c r="M500" s="2"/>
      <c r="N500" s="2"/>
      <c r="O500" s="2"/>
      <c r="P500" s="2"/>
    </row>
    <row r="501" spans="1:16" customFormat="1" ht="18.600000000000001" customHeight="1" x14ac:dyDescent="0.2">
      <c r="A501" s="7">
        <f t="shared" si="107"/>
        <v>17</v>
      </c>
      <c r="B501" s="24" t="s">
        <v>823</v>
      </c>
      <c r="C501" s="24" t="s">
        <v>42</v>
      </c>
      <c r="D501" s="163"/>
      <c r="E501" s="4"/>
      <c r="F501" s="4"/>
      <c r="G501" s="4"/>
      <c r="H501" s="4"/>
      <c r="I501" s="85"/>
      <c r="J501" s="4"/>
      <c r="K501" s="4"/>
      <c r="L501" s="4"/>
      <c r="M501" s="4"/>
      <c r="N501" s="4"/>
      <c r="O501" s="4"/>
      <c r="P501" s="4"/>
    </row>
    <row r="502" spans="1:16" customFormat="1" ht="18.600000000000001" customHeight="1" x14ac:dyDescent="0.2">
      <c r="A502" s="7">
        <f t="shared" si="107"/>
        <v>18</v>
      </c>
      <c r="B502" s="3"/>
      <c r="C502" s="4"/>
      <c r="D502" s="8"/>
      <c r="E502" s="4"/>
      <c r="F502" s="4"/>
      <c r="G502" s="4"/>
      <c r="H502" s="4"/>
      <c r="I502" s="85"/>
      <c r="J502" s="4"/>
      <c r="K502" s="4"/>
      <c r="L502" s="4"/>
      <c r="M502" s="4"/>
      <c r="N502" s="4"/>
      <c r="O502" s="4"/>
      <c r="P502" s="4"/>
    </row>
    <row r="503" spans="1:16" customFormat="1" ht="18.600000000000001" customHeight="1" x14ac:dyDescent="0.2">
      <c r="A503" s="7">
        <f t="shared" si="107"/>
        <v>19</v>
      </c>
      <c r="B503" s="3"/>
      <c r="C503" s="4"/>
      <c r="D503" s="8"/>
      <c r="E503" s="4"/>
      <c r="F503" s="4"/>
      <c r="G503" s="4"/>
      <c r="H503" s="4"/>
      <c r="I503" s="85"/>
      <c r="J503" s="4"/>
      <c r="K503" s="4"/>
      <c r="L503" s="4"/>
      <c r="M503" s="4"/>
      <c r="N503" s="4"/>
      <c r="O503" s="4"/>
      <c r="P503" s="4"/>
    </row>
    <row r="504" spans="1:16" customFormat="1" ht="18.600000000000001" customHeight="1" x14ac:dyDescent="0.2">
      <c r="A504" s="10">
        <f t="shared" si="107"/>
        <v>20</v>
      </c>
      <c r="B504" s="11"/>
      <c r="C504" s="12"/>
      <c r="D504" s="9"/>
      <c r="E504" s="12"/>
      <c r="F504" s="12"/>
      <c r="G504" s="12"/>
      <c r="H504" s="12"/>
      <c r="I504" s="86"/>
      <c r="J504" s="12"/>
      <c r="K504" s="12"/>
      <c r="L504" s="12"/>
      <c r="M504" s="12"/>
      <c r="N504" s="12"/>
      <c r="O504" s="12"/>
      <c r="P504" s="12"/>
    </row>
    <row r="505" spans="1:16" customFormat="1" ht="18.600000000000001" customHeight="1" x14ac:dyDescent="0.2">
      <c r="A505" s="35">
        <f t="shared" si="107"/>
        <v>21</v>
      </c>
      <c r="B505" s="13"/>
      <c r="C505" s="14"/>
      <c r="D505" s="37"/>
      <c r="E505" s="14"/>
      <c r="F505" s="14"/>
      <c r="G505" s="14"/>
      <c r="H505" s="14"/>
      <c r="I505" s="87"/>
      <c r="J505" s="14"/>
      <c r="K505" s="14"/>
      <c r="L505" s="14"/>
      <c r="M505" s="14"/>
      <c r="N505" s="14"/>
      <c r="O505" s="14"/>
      <c r="P505" s="14"/>
    </row>
    <row r="506" spans="1:16" customFormat="1" ht="18.600000000000001" customHeight="1" x14ac:dyDescent="0.2">
      <c r="A506" s="7">
        <f t="shared" si="107"/>
        <v>22</v>
      </c>
      <c r="B506" s="3"/>
      <c r="C506" s="4"/>
      <c r="D506" s="8"/>
      <c r="E506" s="4"/>
      <c r="F506" s="4"/>
      <c r="G506" s="4"/>
      <c r="H506" s="4"/>
      <c r="I506" s="85"/>
      <c r="J506" s="4"/>
      <c r="K506" s="4"/>
      <c r="L506" s="4"/>
      <c r="M506" s="4"/>
      <c r="N506" s="4"/>
      <c r="O506" s="4"/>
      <c r="P506" s="4"/>
    </row>
    <row r="507" spans="1:16" customFormat="1" ht="18.600000000000001" customHeight="1" x14ac:dyDescent="0.2">
      <c r="A507" s="35">
        <f t="shared" si="107"/>
        <v>23</v>
      </c>
      <c r="B507" s="3"/>
      <c r="C507" s="4"/>
      <c r="D507" s="8"/>
      <c r="E507" s="4"/>
      <c r="F507" s="4"/>
      <c r="G507" s="4"/>
      <c r="H507" s="4"/>
      <c r="I507" s="85"/>
      <c r="J507" s="4"/>
      <c r="K507" s="4"/>
      <c r="L507" s="4"/>
      <c r="M507" s="4"/>
      <c r="N507" s="4"/>
      <c r="O507" s="4"/>
      <c r="P507" s="4"/>
    </row>
    <row r="508" spans="1:16" customFormat="1" ht="18.600000000000001" customHeight="1" x14ac:dyDescent="0.2">
      <c r="A508" s="7">
        <f t="shared" si="107"/>
        <v>24</v>
      </c>
      <c r="B508" s="3"/>
      <c r="C508" s="4"/>
      <c r="D508" s="8"/>
      <c r="E508" s="4"/>
      <c r="F508" s="4"/>
      <c r="G508" s="4"/>
      <c r="H508" s="4"/>
      <c r="I508" s="85"/>
      <c r="J508" s="4"/>
      <c r="K508" s="4"/>
      <c r="L508" s="4"/>
      <c r="M508" s="4"/>
      <c r="N508" s="4"/>
      <c r="O508" s="4"/>
      <c r="P508" s="4"/>
    </row>
    <row r="509" spans="1:16" customFormat="1" ht="18.600000000000001" customHeight="1" x14ac:dyDescent="0.2">
      <c r="A509" s="35">
        <f t="shared" si="107"/>
        <v>25</v>
      </c>
      <c r="B509" s="11"/>
      <c r="C509" s="12"/>
      <c r="D509" s="9"/>
      <c r="E509" s="12"/>
      <c r="F509" s="12"/>
      <c r="G509" s="12"/>
      <c r="H509" s="12"/>
      <c r="I509" s="86"/>
      <c r="J509" s="12"/>
      <c r="K509" s="12"/>
      <c r="L509" s="12"/>
      <c r="M509" s="12"/>
      <c r="N509" s="12"/>
      <c r="O509" s="12"/>
      <c r="P509" s="12"/>
    </row>
    <row r="510" spans="1:16" customFormat="1" ht="18.600000000000001" customHeight="1" x14ac:dyDescent="0.3">
      <c r="A510" s="147"/>
      <c r="B510" s="148"/>
      <c r="C510" s="147"/>
      <c r="D510" s="149"/>
      <c r="E510" s="150">
        <f>SUBTOTAL(9,E485:E509)</f>
        <v>0</v>
      </c>
      <c r="F510" s="152"/>
      <c r="G510" s="150">
        <f t="shared" ref="G510" si="108">SUBTOTAL(9,G485:G509)</f>
        <v>0</v>
      </c>
      <c r="H510" s="152"/>
      <c r="I510" s="150">
        <f t="shared" ref="I510" si="109">SUBTOTAL(9,I485:I509)</f>
        <v>0</v>
      </c>
      <c r="J510" s="152"/>
      <c r="K510" s="152"/>
      <c r="L510" s="152"/>
      <c r="M510" s="150">
        <f t="shared" ref="M510" si="110">SUBTOTAL(9,M485:M509)</f>
        <v>0</v>
      </c>
      <c r="N510" s="152"/>
      <c r="O510" s="150">
        <f t="shared" ref="O510" si="111">SUBTOTAL(9,O485:O509)</f>
        <v>0</v>
      </c>
      <c r="P510" s="152"/>
    </row>
    <row r="511" spans="1:16" customFormat="1" ht="18.600000000000001" customHeight="1" x14ac:dyDescent="0.2">
      <c r="A511" s="434" t="str">
        <f>A481</f>
        <v>DANH SÁCH LỚP TOÁN</v>
      </c>
      <c r="B511" s="434"/>
      <c r="C511" s="434"/>
      <c r="D511" s="434"/>
      <c r="E511" s="434"/>
      <c r="F511" s="434"/>
      <c r="G511" s="434"/>
      <c r="H511" s="434"/>
      <c r="I511" s="92" t="s">
        <v>1046</v>
      </c>
      <c r="J511" s="48"/>
      <c r="K511" s="48"/>
      <c r="L511" s="48"/>
      <c r="M511" s="41"/>
      <c r="N511" s="41"/>
      <c r="O511" s="41"/>
      <c r="P511" s="41"/>
    </row>
    <row r="512" spans="1:16" customFormat="1" ht="18.600000000000001" customHeight="1" x14ac:dyDescent="0.2">
      <c r="A512" s="28"/>
      <c r="B512" s="29"/>
      <c r="C512" s="30"/>
      <c r="D512" s="36"/>
      <c r="E512" s="28"/>
      <c r="F512" s="28"/>
      <c r="G512" s="28"/>
      <c r="H512" s="28"/>
      <c r="I512" s="79"/>
      <c r="J512" s="28"/>
      <c r="K512" s="28"/>
      <c r="L512" s="28"/>
      <c r="M512" s="28"/>
      <c r="N512" s="28"/>
      <c r="O512" s="28"/>
      <c r="P512" s="28"/>
    </row>
    <row r="513" spans="1:16" customFormat="1" ht="18.600000000000001" customHeight="1" x14ac:dyDescent="0.2">
      <c r="A513" s="435" t="s">
        <v>374</v>
      </c>
      <c r="B513" s="435" t="s">
        <v>380</v>
      </c>
      <c r="C513" s="435" t="s">
        <v>383</v>
      </c>
      <c r="D513" s="437" t="s">
        <v>384</v>
      </c>
      <c r="E513" s="438" t="s">
        <v>385</v>
      </c>
      <c r="F513" s="439"/>
      <c r="G513" s="432" t="str">
        <f>$R$1</f>
        <v>Đợt 6</v>
      </c>
      <c r="H513" s="433"/>
      <c r="I513" s="432" t="str">
        <f>$T$1</f>
        <v>Đợt 7</v>
      </c>
      <c r="J513" s="433"/>
      <c r="K513" s="432" t="str">
        <f>$V$1</f>
        <v>Đợt 8</v>
      </c>
      <c r="L513" s="433"/>
      <c r="M513" s="432" t="str">
        <f>$X$1</f>
        <v>Đợt 9</v>
      </c>
      <c r="N513" s="433"/>
      <c r="O513" s="432" t="str">
        <f>$Z$1</f>
        <v>Đợt 10</v>
      </c>
      <c r="P513" s="433"/>
    </row>
    <row r="514" spans="1:16" customFormat="1" ht="18.600000000000001" customHeight="1" x14ac:dyDescent="0.2">
      <c r="A514" s="436"/>
      <c r="B514" s="436"/>
      <c r="C514" s="436"/>
      <c r="D514" s="436"/>
      <c r="E514" s="31" t="s">
        <v>381</v>
      </c>
      <c r="F514" s="31" t="s">
        <v>382</v>
      </c>
      <c r="G514" s="31" t="s">
        <v>381</v>
      </c>
      <c r="H514" s="31" t="s">
        <v>382</v>
      </c>
      <c r="I514" s="80" t="s">
        <v>381</v>
      </c>
      <c r="J514" s="31" t="s">
        <v>382</v>
      </c>
      <c r="K514" s="80" t="s">
        <v>381</v>
      </c>
      <c r="L514" s="31" t="s">
        <v>382</v>
      </c>
      <c r="M514" s="31" t="s">
        <v>381</v>
      </c>
      <c r="N514" s="31" t="s">
        <v>382</v>
      </c>
      <c r="O514" s="31" t="s">
        <v>381</v>
      </c>
      <c r="P514" s="31" t="s">
        <v>382</v>
      </c>
    </row>
    <row r="515" spans="1:16" customFormat="1" ht="18.600000000000001" customHeight="1" x14ac:dyDescent="0.2">
      <c r="A515" s="32">
        <v>1</v>
      </c>
      <c r="B515" s="24" t="s">
        <v>232</v>
      </c>
      <c r="C515" s="24" t="s">
        <v>14</v>
      </c>
      <c r="D515" s="24"/>
      <c r="E515" s="32"/>
      <c r="F515" s="34"/>
      <c r="G515" s="32"/>
      <c r="H515" s="93"/>
      <c r="I515" s="81"/>
      <c r="J515" s="34"/>
      <c r="K515" s="34"/>
      <c r="L515" s="34"/>
      <c r="M515" s="32"/>
      <c r="N515" s="34"/>
      <c r="O515" s="32"/>
      <c r="P515" s="34"/>
    </row>
    <row r="516" spans="1:16" customFormat="1" ht="18.600000000000001" customHeight="1" x14ac:dyDescent="0.2">
      <c r="A516" s="7">
        <f t="shared" ref="A516:A539" si="112">A515+1</f>
        <v>2</v>
      </c>
      <c r="B516" s="24" t="s">
        <v>1094</v>
      </c>
      <c r="C516" s="24" t="s">
        <v>14</v>
      </c>
      <c r="D516" s="163"/>
      <c r="E516" s="7"/>
      <c r="F516" s="7"/>
      <c r="G516" s="7"/>
      <c r="H516" s="7"/>
      <c r="I516" s="82"/>
      <c r="J516" s="7"/>
      <c r="K516" s="7"/>
      <c r="L516" s="7"/>
      <c r="M516" s="7"/>
      <c r="N516" s="7"/>
      <c r="O516" s="7"/>
      <c r="P516" s="7"/>
    </row>
    <row r="517" spans="1:16" customFormat="1" ht="18.600000000000001" customHeight="1" x14ac:dyDescent="0.2">
      <c r="A517" s="7">
        <f t="shared" si="112"/>
        <v>3</v>
      </c>
      <c r="B517" s="24" t="s">
        <v>242</v>
      </c>
      <c r="C517" s="24" t="s">
        <v>83</v>
      </c>
      <c r="D517" s="163"/>
      <c r="E517" s="7"/>
      <c r="F517" s="7"/>
      <c r="G517" s="7"/>
      <c r="H517" s="7"/>
      <c r="I517" s="82"/>
      <c r="J517" s="7"/>
      <c r="K517" s="7"/>
      <c r="L517" s="7"/>
      <c r="M517" s="7"/>
      <c r="N517" s="7"/>
      <c r="O517" s="7"/>
      <c r="P517" s="7"/>
    </row>
    <row r="518" spans="1:16" customFormat="1" ht="18.600000000000001" customHeight="1" x14ac:dyDescent="0.2">
      <c r="A518" s="7">
        <f t="shared" si="112"/>
        <v>4</v>
      </c>
      <c r="B518" s="25" t="s">
        <v>241</v>
      </c>
      <c r="C518" s="25" t="s">
        <v>82</v>
      </c>
      <c r="D518" s="163"/>
      <c r="E518" s="7"/>
      <c r="F518" s="7"/>
      <c r="G518" s="7"/>
      <c r="H518" s="7"/>
      <c r="I518" s="82"/>
      <c r="J518" s="7"/>
      <c r="K518" s="7"/>
      <c r="L518" s="7"/>
      <c r="M518" s="7"/>
      <c r="N518" s="7"/>
      <c r="O518" s="7"/>
      <c r="P518" s="7"/>
    </row>
    <row r="519" spans="1:16" customFormat="1" ht="18.600000000000001" customHeight="1" x14ac:dyDescent="0.2">
      <c r="A519" s="6">
        <f t="shared" si="112"/>
        <v>5</v>
      </c>
      <c r="B519" s="24" t="s">
        <v>1205</v>
      </c>
      <c r="C519" s="24" t="s">
        <v>126</v>
      </c>
      <c r="D519" s="24"/>
      <c r="E519" s="16"/>
      <c r="F519" s="16"/>
      <c r="G519" s="16"/>
      <c r="H519" s="16"/>
      <c r="I519" s="83"/>
      <c r="J519" s="16"/>
      <c r="K519" s="16"/>
      <c r="L519" s="16"/>
      <c r="M519" s="16"/>
      <c r="N519" s="16"/>
      <c r="O519" s="16"/>
      <c r="P519" s="16"/>
    </row>
    <row r="520" spans="1:16" customFormat="1" ht="18.600000000000001" customHeight="1" x14ac:dyDescent="0.2">
      <c r="A520" s="56">
        <f t="shared" si="112"/>
        <v>6</v>
      </c>
      <c r="B520" s="26" t="s">
        <v>647</v>
      </c>
      <c r="C520" s="26" t="s">
        <v>24</v>
      </c>
      <c r="D520" s="26"/>
      <c r="E520" s="2"/>
      <c r="F520" s="2"/>
      <c r="G520" s="2"/>
      <c r="H520" s="2"/>
      <c r="I520" s="84"/>
      <c r="J520" s="2"/>
      <c r="K520" s="2"/>
      <c r="L520" s="2"/>
      <c r="M520" s="2"/>
      <c r="N520" s="2"/>
      <c r="O520" s="2"/>
      <c r="P520" s="2"/>
    </row>
    <row r="521" spans="1:16" customFormat="1" ht="18.600000000000001" customHeight="1" x14ac:dyDescent="0.2">
      <c r="A521" s="6">
        <f t="shared" si="112"/>
        <v>7</v>
      </c>
      <c r="B521" s="24" t="s">
        <v>1204</v>
      </c>
      <c r="C521" s="24" t="s">
        <v>19</v>
      </c>
      <c r="D521" s="24"/>
      <c r="E521" s="4"/>
      <c r="F521" s="4"/>
      <c r="G521" s="4"/>
      <c r="H521" s="4"/>
      <c r="I521" s="85"/>
      <c r="J521" s="4"/>
      <c r="K521" s="4"/>
      <c r="L521" s="4"/>
      <c r="M521" s="4"/>
      <c r="N521" s="4"/>
      <c r="O521" s="4"/>
      <c r="P521" s="4"/>
    </row>
    <row r="522" spans="1:16" customFormat="1" ht="18.600000000000001" customHeight="1" x14ac:dyDescent="0.2">
      <c r="A522" s="6">
        <f t="shared" si="112"/>
        <v>8</v>
      </c>
      <c r="B522" s="24" t="s">
        <v>240</v>
      </c>
      <c r="C522" s="24" t="s">
        <v>19</v>
      </c>
      <c r="D522" s="163"/>
      <c r="E522" s="4"/>
      <c r="F522" s="4"/>
      <c r="G522" s="4"/>
      <c r="H522" s="4"/>
      <c r="I522" s="85"/>
      <c r="J522" s="4"/>
      <c r="K522" s="4"/>
      <c r="L522" s="4"/>
      <c r="M522" s="4"/>
      <c r="N522" s="4"/>
      <c r="O522" s="4"/>
      <c r="P522" s="4"/>
    </row>
    <row r="523" spans="1:16" customFormat="1" ht="18.600000000000001" customHeight="1" x14ac:dyDescent="0.2">
      <c r="A523" s="6">
        <f t="shared" si="112"/>
        <v>9</v>
      </c>
      <c r="B523" s="24" t="s">
        <v>233</v>
      </c>
      <c r="C523" s="24" t="s">
        <v>56</v>
      </c>
      <c r="D523" s="163"/>
      <c r="E523" s="4"/>
      <c r="F523" s="4"/>
      <c r="G523" s="4"/>
      <c r="H523" s="4"/>
      <c r="I523" s="85"/>
      <c r="J523" s="4"/>
      <c r="K523" s="4"/>
      <c r="L523" s="4"/>
      <c r="M523" s="4"/>
      <c r="N523" s="4"/>
      <c r="O523" s="4"/>
      <c r="P523" s="4"/>
    </row>
    <row r="524" spans="1:16" customFormat="1" ht="18.600000000000001" customHeight="1" x14ac:dyDescent="0.2">
      <c r="A524" s="10">
        <f t="shared" si="112"/>
        <v>10</v>
      </c>
      <c r="B524" s="25" t="s">
        <v>243</v>
      </c>
      <c r="C524" s="25" t="s">
        <v>56</v>
      </c>
      <c r="D524" s="163"/>
      <c r="E524" s="12"/>
      <c r="F524" s="12"/>
      <c r="G524" s="12"/>
      <c r="H524" s="12"/>
      <c r="I524" s="86"/>
      <c r="J524" s="12"/>
      <c r="K524" s="12"/>
      <c r="L524" s="12"/>
      <c r="M524" s="12"/>
      <c r="N524" s="12"/>
      <c r="O524" s="12"/>
      <c r="P524" s="12"/>
    </row>
    <row r="525" spans="1:16" customFormat="1" ht="18.600000000000001" customHeight="1" x14ac:dyDescent="0.2">
      <c r="A525" s="35">
        <f t="shared" si="112"/>
        <v>11</v>
      </c>
      <c r="B525" s="24" t="s">
        <v>252</v>
      </c>
      <c r="C525" s="24" t="s">
        <v>89</v>
      </c>
      <c r="D525" s="163"/>
      <c r="E525" s="14"/>
      <c r="F525" s="14"/>
      <c r="G525" s="14"/>
      <c r="H525" s="14"/>
      <c r="I525" s="87"/>
      <c r="J525" s="14"/>
      <c r="K525" s="14"/>
      <c r="L525" s="14"/>
      <c r="M525" s="14"/>
      <c r="N525" s="14"/>
      <c r="O525" s="14"/>
      <c r="P525" s="14"/>
    </row>
    <row r="526" spans="1:16" customFormat="1" ht="18.600000000000001" customHeight="1" x14ac:dyDescent="0.2">
      <c r="A526" s="7">
        <f t="shared" si="112"/>
        <v>12</v>
      </c>
      <c r="B526" s="24" t="s">
        <v>247</v>
      </c>
      <c r="C526" s="24" t="s">
        <v>85</v>
      </c>
      <c r="D526" s="27"/>
      <c r="E526" s="4"/>
      <c r="F526" s="4"/>
      <c r="G526" s="4"/>
      <c r="H526" s="4"/>
      <c r="I526" s="85"/>
      <c r="J526" s="4"/>
      <c r="K526" s="4"/>
      <c r="L526" s="4"/>
      <c r="M526" s="4"/>
      <c r="N526" s="4"/>
      <c r="O526" s="4"/>
      <c r="P526" s="4"/>
    </row>
    <row r="527" spans="1:16" customFormat="1" ht="18.600000000000001" customHeight="1" x14ac:dyDescent="0.2">
      <c r="A527" s="7">
        <f t="shared" si="112"/>
        <v>13</v>
      </c>
      <c r="B527" s="25" t="s">
        <v>244</v>
      </c>
      <c r="C527" s="25" t="s">
        <v>84</v>
      </c>
      <c r="D527" s="163"/>
      <c r="E527" s="4"/>
      <c r="F527" s="4"/>
      <c r="G527" s="4"/>
      <c r="H527" s="4"/>
      <c r="I527" s="85"/>
      <c r="J527" s="4"/>
      <c r="K527" s="4"/>
      <c r="L527" s="4"/>
      <c r="M527" s="4"/>
      <c r="N527" s="4"/>
      <c r="O527" s="4"/>
      <c r="P527" s="4"/>
    </row>
    <row r="528" spans="1:16" customFormat="1" ht="18.600000000000001" customHeight="1" x14ac:dyDescent="0.2">
      <c r="A528" s="7">
        <f t="shared" si="112"/>
        <v>14</v>
      </c>
      <c r="B528" s="25" t="s">
        <v>211</v>
      </c>
      <c r="C528" s="25" t="s">
        <v>57</v>
      </c>
      <c r="D528" s="25">
        <v>765916590</v>
      </c>
      <c r="E528" s="4"/>
      <c r="F528" s="4"/>
      <c r="G528" s="4"/>
      <c r="H528" s="4"/>
      <c r="I528" s="85"/>
      <c r="J528" s="4"/>
      <c r="K528" s="4"/>
      <c r="L528" s="4"/>
      <c r="M528" s="4"/>
      <c r="N528" s="4"/>
      <c r="O528" s="4"/>
      <c r="P528" s="4"/>
    </row>
    <row r="529" spans="1:16" customFormat="1" ht="18.600000000000001" customHeight="1" x14ac:dyDescent="0.2">
      <c r="A529" s="6">
        <f t="shared" si="112"/>
        <v>15</v>
      </c>
      <c r="B529" s="24" t="s">
        <v>234</v>
      </c>
      <c r="C529" s="24" t="s">
        <v>78</v>
      </c>
      <c r="D529" s="163"/>
      <c r="E529" s="16"/>
      <c r="F529" s="16"/>
      <c r="G529" s="16"/>
      <c r="H529" s="16"/>
      <c r="I529" s="83"/>
      <c r="J529" s="16"/>
      <c r="K529" s="16"/>
      <c r="L529" s="16"/>
      <c r="M529" s="16"/>
      <c r="N529" s="16"/>
      <c r="O529" s="16"/>
      <c r="P529" s="16"/>
    </row>
    <row r="530" spans="1:16" customFormat="1" ht="18.600000000000001" customHeight="1" x14ac:dyDescent="0.2">
      <c r="A530" s="32">
        <f t="shared" si="112"/>
        <v>16</v>
      </c>
      <c r="B530" s="1"/>
      <c r="C530" s="2"/>
      <c r="D530" s="33"/>
      <c r="E530" s="2"/>
      <c r="F530" s="2"/>
      <c r="G530" s="2"/>
      <c r="H530" s="2"/>
      <c r="I530" s="84"/>
      <c r="J530" s="2"/>
      <c r="K530" s="2"/>
      <c r="L530" s="2"/>
      <c r="M530" s="2"/>
      <c r="N530" s="2"/>
      <c r="O530" s="2"/>
      <c r="P530" s="2"/>
    </row>
    <row r="531" spans="1:16" customFormat="1" ht="18.600000000000001" customHeight="1" x14ac:dyDescent="0.2">
      <c r="A531" s="7">
        <f t="shared" si="112"/>
        <v>17</v>
      </c>
      <c r="B531" s="3"/>
      <c r="C531" s="4"/>
      <c r="D531" s="8"/>
      <c r="E531" s="4"/>
      <c r="F531" s="4"/>
      <c r="G531" s="4"/>
      <c r="H531" s="4"/>
      <c r="I531" s="85"/>
      <c r="J531" s="4"/>
      <c r="K531" s="4"/>
      <c r="L531" s="4"/>
      <c r="M531" s="4"/>
      <c r="N531" s="4"/>
      <c r="O531" s="4"/>
      <c r="P531" s="4"/>
    </row>
    <row r="532" spans="1:16" customFormat="1" ht="18.600000000000001" customHeight="1" x14ac:dyDescent="0.2">
      <c r="A532" s="7">
        <f t="shared" si="112"/>
        <v>18</v>
      </c>
      <c r="B532" s="3"/>
      <c r="C532" s="4"/>
      <c r="D532" s="8"/>
      <c r="E532" s="4"/>
      <c r="F532" s="4"/>
      <c r="G532" s="4"/>
      <c r="H532" s="4"/>
      <c r="I532" s="85"/>
      <c r="J532" s="4"/>
      <c r="K532" s="4"/>
      <c r="L532" s="4"/>
      <c r="M532" s="4"/>
      <c r="N532" s="4"/>
      <c r="O532" s="4"/>
      <c r="P532" s="4"/>
    </row>
    <row r="533" spans="1:16" customFormat="1" ht="18.600000000000001" customHeight="1" x14ac:dyDescent="0.2">
      <c r="A533" s="7">
        <f t="shared" si="112"/>
        <v>19</v>
      </c>
      <c r="B533" s="3"/>
      <c r="C533" s="4"/>
      <c r="D533" s="8"/>
      <c r="E533" s="4"/>
      <c r="F533" s="4"/>
      <c r="G533" s="4"/>
      <c r="H533" s="4"/>
      <c r="I533" s="85"/>
      <c r="J533" s="4"/>
      <c r="K533" s="4"/>
      <c r="L533" s="4"/>
      <c r="M533" s="4"/>
      <c r="N533" s="4"/>
      <c r="O533" s="4"/>
      <c r="P533" s="4"/>
    </row>
    <row r="534" spans="1:16" customFormat="1" ht="18.600000000000001" customHeight="1" x14ac:dyDescent="0.2">
      <c r="A534" s="10">
        <f t="shared" si="112"/>
        <v>20</v>
      </c>
      <c r="B534" s="11"/>
      <c r="C534" s="12"/>
      <c r="D534" s="9"/>
      <c r="E534" s="12"/>
      <c r="F534" s="12"/>
      <c r="G534" s="12"/>
      <c r="H534" s="12"/>
      <c r="I534" s="86"/>
      <c r="J534" s="12"/>
      <c r="K534" s="12"/>
      <c r="L534" s="12"/>
      <c r="M534" s="12"/>
      <c r="N534" s="12"/>
      <c r="O534" s="12"/>
      <c r="P534" s="12"/>
    </row>
    <row r="535" spans="1:16" customFormat="1" ht="18.600000000000001" customHeight="1" x14ac:dyDescent="0.2">
      <c r="A535" s="35">
        <f t="shared" si="112"/>
        <v>21</v>
      </c>
      <c r="B535" s="13"/>
      <c r="C535" s="14"/>
      <c r="D535" s="37"/>
      <c r="E535" s="14"/>
      <c r="F535" s="14"/>
      <c r="G535" s="14"/>
      <c r="H535" s="14"/>
      <c r="I535" s="87"/>
      <c r="J535" s="14"/>
      <c r="K535" s="14"/>
      <c r="L535" s="14"/>
      <c r="M535" s="14"/>
      <c r="N535" s="14"/>
      <c r="O535" s="14"/>
      <c r="P535" s="14"/>
    </row>
    <row r="536" spans="1:16" customFormat="1" ht="18.600000000000001" customHeight="1" x14ac:dyDescent="0.2">
      <c r="A536" s="7">
        <f t="shared" si="112"/>
        <v>22</v>
      </c>
      <c r="B536" s="3"/>
      <c r="C536" s="4"/>
      <c r="D536" s="8"/>
      <c r="E536" s="4"/>
      <c r="F536" s="4"/>
      <c r="G536" s="4"/>
      <c r="H536" s="4"/>
      <c r="I536" s="85"/>
      <c r="J536" s="4"/>
      <c r="K536" s="4"/>
      <c r="L536" s="4"/>
      <c r="M536" s="4"/>
      <c r="N536" s="4"/>
      <c r="O536" s="4"/>
      <c r="P536" s="4"/>
    </row>
    <row r="537" spans="1:16" customFormat="1" ht="18.600000000000001" customHeight="1" x14ac:dyDescent="0.2">
      <c r="A537" s="35">
        <f t="shared" si="112"/>
        <v>23</v>
      </c>
      <c r="B537" s="3"/>
      <c r="C537" s="4"/>
      <c r="D537" s="8"/>
      <c r="E537" s="4"/>
      <c r="F537" s="4"/>
      <c r="G537" s="4"/>
      <c r="H537" s="4"/>
      <c r="I537" s="85"/>
      <c r="J537" s="4"/>
      <c r="K537" s="4"/>
      <c r="L537" s="4"/>
      <c r="M537" s="4"/>
      <c r="N537" s="4"/>
      <c r="O537" s="4"/>
      <c r="P537" s="4"/>
    </row>
    <row r="538" spans="1:16" customFormat="1" ht="18.600000000000001" customHeight="1" x14ac:dyDescent="0.2">
      <c r="A538" s="7">
        <f t="shared" si="112"/>
        <v>24</v>
      </c>
      <c r="B538" s="3"/>
      <c r="C538" s="4"/>
      <c r="D538" s="8"/>
      <c r="E538" s="4"/>
      <c r="F538" s="4"/>
      <c r="G538" s="4"/>
      <c r="H538" s="4"/>
      <c r="I538" s="85"/>
      <c r="J538" s="4"/>
      <c r="K538" s="4"/>
      <c r="L538" s="4"/>
      <c r="M538" s="4"/>
      <c r="N538" s="4"/>
      <c r="O538" s="4"/>
      <c r="P538" s="4"/>
    </row>
    <row r="539" spans="1:16" customFormat="1" ht="18.600000000000001" customHeight="1" x14ac:dyDescent="0.2">
      <c r="A539" s="35">
        <f t="shared" si="112"/>
        <v>25</v>
      </c>
      <c r="B539" s="11"/>
      <c r="C539" s="12"/>
      <c r="D539" s="9"/>
      <c r="E539" s="12"/>
      <c r="F539" s="12"/>
      <c r="G539" s="12"/>
      <c r="H539" s="12"/>
      <c r="I539" s="86"/>
      <c r="J539" s="12"/>
      <c r="K539" s="12"/>
      <c r="L539" s="12"/>
      <c r="M539" s="12"/>
      <c r="N539" s="12"/>
      <c r="O539" s="12"/>
      <c r="P539" s="12"/>
    </row>
    <row r="540" spans="1:16" customFormat="1" ht="18.600000000000001" customHeight="1" x14ac:dyDescent="0.3">
      <c r="A540" s="147"/>
      <c r="B540" s="148"/>
      <c r="C540" s="147"/>
      <c r="D540" s="149"/>
      <c r="E540" s="150">
        <f>SUBTOTAL(9,E515:E539)</f>
        <v>0</v>
      </c>
      <c r="F540" s="152"/>
      <c r="G540" s="150">
        <f t="shared" ref="G540" si="113">SUBTOTAL(9,G515:G539)</f>
        <v>0</v>
      </c>
      <c r="H540" s="152"/>
      <c r="I540" s="150">
        <f t="shared" ref="I540" si="114">SUBTOTAL(9,I515:I539)</f>
        <v>0</v>
      </c>
      <c r="J540" s="152"/>
      <c r="K540" s="152"/>
      <c r="L540" s="152"/>
      <c r="M540" s="150">
        <f t="shared" ref="M540" si="115">SUBTOTAL(9,M515:M539)</f>
        <v>0</v>
      </c>
      <c r="N540" s="152"/>
      <c r="O540" s="150">
        <f t="shared" ref="O540" si="116">SUBTOTAL(9,O515:O539)</f>
        <v>0</v>
      </c>
      <c r="P540" s="152"/>
    </row>
    <row r="541" spans="1:16" customFormat="1" ht="18.600000000000001" customHeight="1" x14ac:dyDescent="0.2">
      <c r="A541" s="434" t="str">
        <f>A511</f>
        <v>DANH SÁCH LỚP TOÁN</v>
      </c>
      <c r="B541" s="434"/>
      <c r="C541" s="434"/>
      <c r="D541" s="434"/>
      <c r="E541" s="434"/>
      <c r="F541" s="434"/>
      <c r="G541" s="434"/>
      <c r="H541" s="434"/>
      <c r="I541" s="92" t="s">
        <v>1039</v>
      </c>
      <c r="J541" s="48"/>
      <c r="K541" s="48"/>
      <c r="L541" s="48"/>
      <c r="M541" s="41"/>
      <c r="N541" s="41"/>
      <c r="O541" s="41"/>
      <c r="P541" s="41"/>
    </row>
    <row r="542" spans="1:16" customFormat="1" ht="18.600000000000001" customHeight="1" x14ac:dyDescent="0.2">
      <c r="A542" s="28"/>
      <c r="B542" s="29"/>
      <c r="C542" s="30"/>
      <c r="D542" s="36"/>
      <c r="E542" s="28"/>
      <c r="F542" s="28"/>
      <c r="G542" s="28"/>
      <c r="H542" s="28"/>
      <c r="I542" s="79"/>
      <c r="J542" s="28"/>
      <c r="K542" s="28"/>
      <c r="L542" s="28"/>
      <c r="M542" s="28"/>
      <c r="N542" s="28"/>
      <c r="O542" s="28"/>
      <c r="P542" s="28"/>
    </row>
    <row r="543" spans="1:16" customFormat="1" ht="18.600000000000001" customHeight="1" x14ac:dyDescent="0.2">
      <c r="A543" s="435" t="s">
        <v>374</v>
      </c>
      <c r="B543" s="435" t="s">
        <v>380</v>
      </c>
      <c r="C543" s="435" t="s">
        <v>383</v>
      </c>
      <c r="D543" s="437" t="s">
        <v>384</v>
      </c>
      <c r="E543" s="438" t="s">
        <v>385</v>
      </c>
      <c r="F543" s="439"/>
      <c r="G543" s="432" t="str">
        <f>$R$1</f>
        <v>Đợt 6</v>
      </c>
      <c r="H543" s="433"/>
      <c r="I543" s="432" t="str">
        <f>$T$1</f>
        <v>Đợt 7</v>
      </c>
      <c r="J543" s="433"/>
      <c r="K543" s="432" t="str">
        <f>$V$1</f>
        <v>Đợt 8</v>
      </c>
      <c r="L543" s="433"/>
      <c r="M543" s="432" t="str">
        <f>$X$1</f>
        <v>Đợt 9</v>
      </c>
      <c r="N543" s="433"/>
      <c r="O543" s="432" t="str">
        <f>$Z$1</f>
        <v>Đợt 10</v>
      </c>
      <c r="P543" s="433"/>
    </row>
    <row r="544" spans="1:16" customFormat="1" ht="18.600000000000001" customHeight="1" x14ac:dyDescent="0.2">
      <c r="A544" s="436"/>
      <c r="B544" s="436"/>
      <c r="C544" s="436"/>
      <c r="D544" s="436"/>
      <c r="E544" s="31" t="s">
        <v>381</v>
      </c>
      <c r="F544" s="31" t="s">
        <v>382</v>
      </c>
      <c r="G544" s="31" t="s">
        <v>381</v>
      </c>
      <c r="H544" s="31" t="s">
        <v>382</v>
      </c>
      <c r="I544" s="80" t="s">
        <v>381</v>
      </c>
      <c r="J544" s="31" t="s">
        <v>382</v>
      </c>
      <c r="K544" s="80" t="s">
        <v>381</v>
      </c>
      <c r="L544" s="31" t="s">
        <v>382</v>
      </c>
      <c r="M544" s="31" t="s">
        <v>381</v>
      </c>
      <c r="N544" s="31" t="s">
        <v>382</v>
      </c>
      <c r="O544" s="31" t="s">
        <v>381</v>
      </c>
      <c r="P544" s="31" t="s">
        <v>382</v>
      </c>
    </row>
    <row r="545" spans="1:16" customFormat="1" ht="18.600000000000001" customHeight="1" x14ac:dyDescent="0.2">
      <c r="A545" s="32">
        <v>1</v>
      </c>
      <c r="B545" s="25" t="s">
        <v>698</v>
      </c>
      <c r="C545" s="241" t="s">
        <v>699</v>
      </c>
      <c r="D545" s="163">
        <v>397742413</v>
      </c>
      <c r="E545" s="32"/>
      <c r="F545" s="34"/>
      <c r="G545" s="32"/>
      <c r="H545" s="93"/>
      <c r="I545" s="81"/>
      <c r="J545" s="34"/>
      <c r="K545" s="34"/>
      <c r="L545" s="34"/>
      <c r="M545" s="32"/>
      <c r="N545" s="34"/>
      <c r="O545" s="32"/>
      <c r="P545" s="34"/>
    </row>
    <row r="546" spans="1:16" customFormat="1" ht="18.600000000000001" customHeight="1" x14ac:dyDescent="0.2">
      <c r="A546" s="7">
        <f t="shared" ref="A546:A571" si="117">A545+1</f>
        <v>2</v>
      </c>
      <c r="B546" s="25" t="s">
        <v>321</v>
      </c>
      <c r="C546" s="25" t="s">
        <v>111</v>
      </c>
      <c r="D546" s="163"/>
      <c r="E546" s="7"/>
      <c r="F546" s="7"/>
      <c r="G546" s="7"/>
      <c r="H546" s="7"/>
      <c r="I546" s="82"/>
      <c r="J546" s="7"/>
      <c r="K546" s="7"/>
      <c r="L546" s="7"/>
      <c r="M546" s="7"/>
      <c r="N546" s="7"/>
      <c r="O546" s="7"/>
      <c r="P546" s="7"/>
    </row>
    <row r="547" spans="1:16" customFormat="1" ht="18.600000000000001" customHeight="1" x14ac:dyDescent="0.2">
      <c r="A547" s="7">
        <f t="shared" si="117"/>
        <v>3</v>
      </c>
      <c r="B547" s="24" t="s">
        <v>492</v>
      </c>
      <c r="C547" s="24" t="s">
        <v>95</v>
      </c>
      <c r="D547" s="24">
        <v>343211117</v>
      </c>
      <c r="E547" s="7"/>
      <c r="F547" s="7"/>
      <c r="G547" s="7"/>
      <c r="H547" s="7"/>
      <c r="I547" s="82"/>
      <c r="J547" s="7"/>
      <c r="K547" s="7"/>
      <c r="L547" s="7"/>
      <c r="M547" s="7"/>
      <c r="N547" s="7"/>
      <c r="O547" s="7"/>
      <c r="P547" s="7"/>
    </row>
    <row r="548" spans="1:16" customFormat="1" ht="18.600000000000001" customHeight="1" x14ac:dyDescent="0.2">
      <c r="A548" s="7">
        <f t="shared" si="117"/>
        <v>4</v>
      </c>
      <c r="B548" s="24" t="s">
        <v>918</v>
      </c>
      <c r="C548" s="24" t="s">
        <v>77</v>
      </c>
      <c r="D548" s="24">
        <v>906877035</v>
      </c>
      <c r="E548" s="7"/>
      <c r="F548" s="7"/>
      <c r="G548" s="7"/>
      <c r="H548" s="7"/>
      <c r="I548" s="82"/>
      <c r="J548" s="7"/>
      <c r="K548" s="7"/>
      <c r="L548" s="7"/>
      <c r="M548" s="7"/>
      <c r="N548" s="7"/>
      <c r="O548" s="7"/>
      <c r="P548" s="7"/>
    </row>
    <row r="549" spans="1:16" customFormat="1" ht="18.600000000000001" customHeight="1" x14ac:dyDescent="0.2">
      <c r="A549" s="6">
        <f t="shared" si="117"/>
        <v>5</v>
      </c>
      <c r="B549" s="24" t="s">
        <v>328</v>
      </c>
      <c r="C549" s="24" t="s">
        <v>116</v>
      </c>
      <c r="D549" s="24">
        <v>949689074</v>
      </c>
      <c r="E549" s="16"/>
      <c r="F549" s="16"/>
      <c r="G549" s="16"/>
      <c r="H549" s="16"/>
      <c r="I549" s="83"/>
      <c r="J549" s="16"/>
      <c r="K549" s="16"/>
      <c r="L549" s="16"/>
      <c r="M549" s="16"/>
      <c r="N549" s="16"/>
      <c r="O549" s="16"/>
      <c r="P549" s="16"/>
    </row>
    <row r="550" spans="1:16" customFormat="1" ht="18.600000000000001" customHeight="1" x14ac:dyDescent="0.2">
      <c r="A550" s="56">
        <f t="shared" si="117"/>
        <v>6</v>
      </c>
      <c r="B550" s="24" t="s">
        <v>921</v>
      </c>
      <c r="C550" s="24" t="s">
        <v>116</v>
      </c>
      <c r="D550" s="24"/>
      <c r="E550" s="2"/>
      <c r="F550" s="2"/>
      <c r="G550" s="2"/>
      <c r="H550" s="2"/>
      <c r="I550" s="84"/>
      <c r="J550" s="2"/>
      <c r="K550" s="2"/>
      <c r="L550" s="2"/>
      <c r="M550" s="2"/>
      <c r="N550" s="2"/>
      <c r="O550" s="2"/>
      <c r="P550" s="2"/>
    </row>
    <row r="551" spans="1:16" customFormat="1" ht="18.600000000000001" customHeight="1" x14ac:dyDescent="0.2">
      <c r="A551" s="6">
        <f t="shared" si="117"/>
        <v>7</v>
      </c>
      <c r="B551" s="24" t="s">
        <v>524</v>
      </c>
      <c r="C551" s="24" t="s">
        <v>97</v>
      </c>
      <c r="D551" s="24">
        <v>816634255</v>
      </c>
      <c r="E551" s="4"/>
      <c r="F551" s="4"/>
      <c r="G551" s="4"/>
      <c r="H551" s="4"/>
      <c r="I551" s="85"/>
      <c r="J551" s="4"/>
      <c r="K551" s="4"/>
      <c r="L551" s="4"/>
      <c r="M551" s="4"/>
      <c r="N551" s="4"/>
      <c r="O551" s="4"/>
      <c r="P551" s="4"/>
    </row>
    <row r="552" spans="1:16" customFormat="1" ht="18.600000000000001" customHeight="1" x14ac:dyDescent="0.3">
      <c r="A552" s="6">
        <f t="shared" si="117"/>
        <v>8</v>
      </c>
      <c r="B552" s="24" t="s">
        <v>553</v>
      </c>
      <c r="C552" s="39" t="s">
        <v>23</v>
      </c>
      <c r="D552" s="24">
        <v>357142043</v>
      </c>
      <c r="E552" s="4"/>
      <c r="F552" s="4"/>
      <c r="G552" s="4"/>
      <c r="H552" s="4"/>
      <c r="I552" s="85"/>
      <c r="J552" s="4"/>
      <c r="K552" s="4"/>
      <c r="L552" s="4"/>
      <c r="M552" s="4"/>
      <c r="N552" s="4"/>
      <c r="O552" s="4"/>
      <c r="P552" s="4"/>
    </row>
    <row r="553" spans="1:16" customFormat="1" ht="18.600000000000001" customHeight="1" x14ac:dyDescent="0.2">
      <c r="A553" s="6">
        <f t="shared" si="117"/>
        <v>9</v>
      </c>
      <c r="B553" s="24" t="s">
        <v>1155</v>
      </c>
      <c r="C553" s="24" t="s">
        <v>113</v>
      </c>
      <c r="D553" s="163"/>
      <c r="E553" s="4"/>
      <c r="F553" s="4"/>
      <c r="G553" s="4"/>
      <c r="H553" s="4"/>
      <c r="I553" s="85"/>
      <c r="J553" s="4"/>
      <c r="K553" s="4"/>
      <c r="L553" s="4"/>
      <c r="M553" s="4"/>
      <c r="N553" s="4"/>
      <c r="O553" s="4"/>
      <c r="P553" s="4"/>
    </row>
    <row r="554" spans="1:16" customFormat="1" ht="18.600000000000001" customHeight="1" x14ac:dyDescent="0.2">
      <c r="A554" s="10">
        <f t="shared" si="117"/>
        <v>10</v>
      </c>
      <c r="B554" s="25" t="s">
        <v>324</v>
      </c>
      <c r="C554" s="24" t="s">
        <v>113</v>
      </c>
      <c r="D554" s="163"/>
      <c r="E554" s="12"/>
      <c r="F554" s="12"/>
      <c r="G554" s="12"/>
      <c r="H554" s="12"/>
      <c r="I554" s="86"/>
      <c r="J554" s="12"/>
      <c r="K554" s="12"/>
      <c r="L554" s="12"/>
      <c r="M554" s="12"/>
      <c r="N554" s="12"/>
      <c r="O554" s="12"/>
      <c r="P554" s="12"/>
    </row>
    <row r="555" spans="1:16" customFormat="1" ht="18.600000000000001" customHeight="1" x14ac:dyDescent="0.2">
      <c r="A555" s="35">
        <f t="shared" si="117"/>
        <v>11</v>
      </c>
      <c r="B555" s="24" t="s">
        <v>484</v>
      </c>
      <c r="C555" s="24" t="s">
        <v>13</v>
      </c>
      <c r="D555" s="163"/>
      <c r="E555" s="14"/>
      <c r="F555" s="14"/>
      <c r="G555" s="14"/>
      <c r="H555" s="14"/>
      <c r="I555" s="87"/>
      <c r="J555" s="14"/>
      <c r="K555" s="14"/>
      <c r="L555" s="14"/>
      <c r="M555" s="14"/>
      <c r="N555" s="14"/>
      <c r="O555" s="14"/>
      <c r="P555" s="14"/>
    </row>
    <row r="556" spans="1:16" customFormat="1" ht="18.600000000000001" customHeight="1" x14ac:dyDescent="0.2">
      <c r="A556" s="7">
        <f t="shared" si="117"/>
        <v>12</v>
      </c>
      <c r="B556" s="24" t="s">
        <v>667</v>
      </c>
      <c r="C556" s="24" t="s">
        <v>73</v>
      </c>
      <c r="D556" s="163">
        <v>966058069</v>
      </c>
      <c r="E556" s="4"/>
      <c r="F556" s="4"/>
      <c r="G556" s="4"/>
      <c r="H556" s="4"/>
      <c r="I556" s="85"/>
      <c r="J556" s="4"/>
      <c r="K556" s="4"/>
      <c r="L556" s="4"/>
      <c r="M556" s="4"/>
      <c r="N556" s="4"/>
      <c r="O556" s="4"/>
      <c r="P556" s="4"/>
    </row>
    <row r="557" spans="1:16" customFormat="1" ht="18.600000000000001" customHeight="1" x14ac:dyDescent="0.2">
      <c r="A557" s="7">
        <f t="shared" si="117"/>
        <v>13</v>
      </c>
      <c r="B557" s="24" t="s">
        <v>916</v>
      </c>
      <c r="C557" s="24" t="s">
        <v>24</v>
      </c>
      <c r="D557" s="24">
        <v>367011358</v>
      </c>
      <c r="E557" s="4"/>
      <c r="F557" s="4"/>
      <c r="G557" s="4"/>
      <c r="H557" s="4"/>
      <c r="I557" s="85"/>
      <c r="J557" s="4"/>
      <c r="K557" s="4"/>
      <c r="L557" s="4"/>
      <c r="M557" s="4"/>
      <c r="N557" s="4"/>
      <c r="O557" s="4"/>
      <c r="P557" s="4"/>
    </row>
    <row r="558" spans="1:16" customFormat="1" ht="18.600000000000001" customHeight="1" x14ac:dyDescent="0.2">
      <c r="A558" s="7">
        <f t="shared" si="117"/>
        <v>14</v>
      </c>
      <c r="B558" s="24" t="s">
        <v>192</v>
      </c>
      <c r="C558" s="24" t="s">
        <v>24</v>
      </c>
      <c r="D558" s="163">
        <v>368922929</v>
      </c>
      <c r="E558" s="4"/>
      <c r="F558" s="4"/>
      <c r="G558" s="4"/>
      <c r="H558" s="4"/>
      <c r="I558" s="85"/>
      <c r="J558" s="4"/>
      <c r="K558" s="4"/>
      <c r="L558" s="4"/>
      <c r="M558" s="4"/>
      <c r="N558" s="4"/>
      <c r="O558" s="4"/>
      <c r="P558" s="4"/>
    </row>
    <row r="559" spans="1:16" customFormat="1" ht="18.600000000000001" customHeight="1" x14ac:dyDescent="0.2">
      <c r="A559" s="6">
        <f t="shared" si="117"/>
        <v>15</v>
      </c>
      <c r="B559" s="25" t="s">
        <v>313</v>
      </c>
      <c r="C559" s="25" t="s">
        <v>46</v>
      </c>
      <c r="D559" s="164">
        <v>383750646</v>
      </c>
      <c r="E559" s="16"/>
      <c r="F559" s="16"/>
      <c r="G559" s="16"/>
      <c r="H559" s="16"/>
      <c r="I559" s="83"/>
      <c r="J559" s="16"/>
      <c r="K559" s="16"/>
      <c r="L559" s="16"/>
      <c r="M559" s="16"/>
      <c r="N559" s="16"/>
      <c r="O559" s="16"/>
      <c r="P559" s="16"/>
    </row>
    <row r="560" spans="1:16" customFormat="1" ht="18.600000000000001" customHeight="1" x14ac:dyDescent="0.2">
      <c r="A560" s="32">
        <f t="shared" si="117"/>
        <v>16</v>
      </c>
      <c r="B560" s="24" t="s">
        <v>323</v>
      </c>
      <c r="C560" s="24" t="s">
        <v>92</v>
      </c>
      <c r="D560" s="25">
        <v>394202755</v>
      </c>
      <c r="E560" s="2"/>
      <c r="F560" s="2"/>
      <c r="G560" s="2"/>
      <c r="H560" s="2"/>
      <c r="I560" s="84"/>
      <c r="J560" s="2"/>
      <c r="K560" s="2"/>
      <c r="L560" s="2"/>
      <c r="M560" s="2"/>
      <c r="N560" s="2"/>
      <c r="O560" s="2"/>
      <c r="P560" s="2"/>
    </row>
    <row r="561" spans="1:16" customFormat="1" ht="18.600000000000001" customHeight="1" x14ac:dyDescent="0.2">
      <c r="A561" s="7">
        <f t="shared" si="117"/>
        <v>17</v>
      </c>
      <c r="B561" s="24" t="s">
        <v>315</v>
      </c>
      <c r="C561" s="24" t="s">
        <v>35</v>
      </c>
      <c r="D561" s="163"/>
      <c r="E561" s="4"/>
      <c r="F561" s="4"/>
      <c r="G561" s="4"/>
      <c r="H561" s="4"/>
      <c r="I561" s="85"/>
      <c r="J561" s="4"/>
      <c r="K561" s="4"/>
      <c r="L561" s="4"/>
      <c r="M561" s="4"/>
      <c r="N561" s="4"/>
      <c r="O561" s="4"/>
      <c r="P561" s="4"/>
    </row>
    <row r="562" spans="1:16" customFormat="1" ht="18.600000000000001" customHeight="1" x14ac:dyDescent="0.2">
      <c r="A562" s="7">
        <f t="shared" si="117"/>
        <v>18</v>
      </c>
      <c r="B562" s="24" t="s">
        <v>724</v>
      </c>
      <c r="C562" s="24" t="s">
        <v>725</v>
      </c>
      <c r="D562" s="163">
        <v>332685469</v>
      </c>
      <c r="E562" s="4"/>
      <c r="F562" s="4"/>
      <c r="G562" s="4"/>
      <c r="H562" s="4"/>
      <c r="I562" s="85"/>
      <c r="J562" s="4"/>
      <c r="K562" s="4"/>
      <c r="L562" s="4"/>
      <c r="M562" s="4"/>
      <c r="N562" s="4"/>
      <c r="O562" s="4"/>
      <c r="P562" s="4"/>
    </row>
    <row r="563" spans="1:16" customFormat="1" ht="18.600000000000001" customHeight="1" x14ac:dyDescent="0.2">
      <c r="A563" s="7">
        <f t="shared" si="117"/>
        <v>19</v>
      </c>
      <c r="B563" s="24" t="s">
        <v>198</v>
      </c>
      <c r="C563" s="24" t="s">
        <v>7</v>
      </c>
      <c r="D563" s="163">
        <v>762404841</v>
      </c>
      <c r="E563" s="4"/>
      <c r="F563" s="4"/>
      <c r="G563" s="4"/>
      <c r="H563" s="4"/>
      <c r="I563" s="85"/>
      <c r="J563" s="4"/>
      <c r="K563" s="4"/>
      <c r="L563" s="4"/>
      <c r="M563" s="4"/>
      <c r="N563" s="4"/>
      <c r="O563" s="4"/>
      <c r="P563" s="4"/>
    </row>
    <row r="564" spans="1:16" customFormat="1" ht="18.600000000000001" customHeight="1" x14ac:dyDescent="0.2">
      <c r="A564" s="10">
        <f t="shared" si="117"/>
        <v>20</v>
      </c>
      <c r="B564" s="24" t="s">
        <v>495</v>
      </c>
      <c r="C564" s="24" t="s">
        <v>11</v>
      </c>
      <c r="D564" s="24">
        <v>939689694</v>
      </c>
      <c r="E564" s="12"/>
      <c r="F564" s="12"/>
      <c r="G564" s="12"/>
      <c r="H564" s="12"/>
      <c r="I564" s="86"/>
      <c r="J564" s="12"/>
      <c r="K564" s="12"/>
      <c r="L564" s="12"/>
      <c r="M564" s="12"/>
      <c r="N564" s="12"/>
      <c r="O564" s="12"/>
      <c r="P564" s="12"/>
    </row>
    <row r="565" spans="1:16" customFormat="1" ht="18.600000000000001" customHeight="1" x14ac:dyDescent="0.3">
      <c r="A565" s="35">
        <f t="shared" si="117"/>
        <v>21</v>
      </c>
      <c r="B565" s="39" t="s">
        <v>687</v>
      </c>
      <c r="C565" s="24" t="s">
        <v>30</v>
      </c>
      <c r="D565" s="163"/>
      <c r="E565" s="14"/>
      <c r="F565" s="14"/>
      <c r="G565" s="14"/>
      <c r="H565" s="14"/>
      <c r="I565" s="87"/>
      <c r="J565" s="14"/>
      <c r="K565" s="14"/>
      <c r="L565" s="14"/>
      <c r="M565" s="14"/>
      <c r="N565" s="14"/>
      <c r="O565" s="14"/>
      <c r="P565" s="14"/>
    </row>
    <row r="566" spans="1:16" customFormat="1" ht="18.600000000000001" customHeight="1" x14ac:dyDescent="0.2">
      <c r="A566" s="7">
        <f t="shared" si="117"/>
        <v>22</v>
      </c>
      <c r="B566" s="25" t="s">
        <v>719</v>
      </c>
      <c r="C566" s="243" t="s">
        <v>47</v>
      </c>
      <c r="D566" s="163">
        <v>774889529</v>
      </c>
      <c r="E566" s="4"/>
      <c r="F566" s="4"/>
      <c r="G566" s="4"/>
      <c r="H566" s="4"/>
      <c r="I566" s="85"/>
      <c r="J566" s="4"/>
      <c r="K566" s="4"/>
      <c r="L566" s="4"/>
      <c r="M566" s="4"/>
      <c r="N566" s="4"/>
      <c r="O566" s="4"/>
      <c r="P566" s="4"/>
    </row>
    <row r="567" spans="1:16" customFormat="1" ht="18.600000000000001" customHeight="1" x14ac:dyDescent="0.2">
      <c r="A567" s="35">
        <f t="shared" si="117"/>
        <v>23</v>
      </c>
      <c r="B567" s="24" t="s">
        <v>319</v>
      </c>
      <c r="C567" s="24" t="s">
        <v>16</v>
      </c>
      <c r="D567" s="163">
        <v>354308177</v>
      </c>
      <c r="E567" s="4"/>
      <c r="F567" s="4"/>
      <c r="G567" s="4"/>
      <c r="H567" s="4"/>
      <c r="I567" s="85"/>
      <c r="J567" s="4"/>
      <c r="K567" s="4"/>
      <c r="L567" s="4"/>
      <c r="M567" s="4"/>
      <c r="N567" s="4"/>
      <c r="O567" s="4"/>
      <c r="P567" s="4"/>
    </row>
    <row r="568" spans="1:16" customFormat="1" ht="18.600000000000001" customHeight="1" x14ac:dyDescent="0.3">
      <c r="A568" s="7">
        <f t="shared" si="117"/>
        <v>24</v>
      </c>
      <c r="B568" s="39" t="s">
        <v>713</v>
      </c>
      <c r="C568" s="24" t="s">
        <v>676</v>
      </c>
      <c r="D568" s="163">
        <v>392704496</v>
      </c>
      <c r="E568" s="4"/>
      <c r="F568" s="4"/>
      <c r="G568" s="4"/>
      <c r="H568" s="4"/>
      <c r="I568" s="85"/>
      <c r="J568" s="4"/>
      <c r="K568" s="4"/>
      <c r="L568" s="4"/>
      <c r="M568" s="4"/>
      <c r="N568" s="4"/>
      <c r="O568" s="4"/>
      <c r="P568" s="4"/>
    </row>
    <row r="569" spans="1:16" customFormat="1" ht="18.600000000000001" customHeight="1" x14ac:dyDescent="0.3">
      <c r="A569" s="35">
        <f t="shared" si="117"/>
        <v>25</v>
      </c>
      <c r="B569" s="39" t="s">
        <v>712</v>
      </c>
      <c r="C569" s="24" t="s">
        <v>677</v>
      </c>
      <c r="D569" s="163">
        <v>397795240</v>
      </c>
      <c r="E569" s="4"/>
      <c r="F569" s="4"/>
      <c r="G569" s="4"/>
      <c r="H569" s="4"/>
      <c r="I569" s="85"/>
      <c r="J569" s="4"/>
      <c r="K569" s="4"/>
      <c r="L569" s="4"/>
      <c r="M569" s="4"/>
      <c r="N569" s="4"/>
      <c r="O569" s="4"/>
      <c r="P569" s="4"/>
    </row>
    <row r="570" spans="1:16" customFormat="1" ht="18.600000000000001" customHeight="1" x14ac:dyDescent="0.3">
      <c r="A570" s="7">
        <f t="shared" si="117"/>
        <v>26</v>
      </c>
      <c r="B570" s="39" t="s">
        <v>1209</v>
      </c>
      <c r="C570" s="24" t="s">
        <v>20</v>
      </c>
      <c r="D570" s="163">
        <v>392704496</v>
      </c>
      <c r="E570" s="4"/>
      <c r="F570" s="4"/>
      <c r="G570" s="4"/>
      <c r="H570" s="4"/>
      <c r="I570" s="85"/>
      <c r="J570" s="4"/>
      <c r="K570" s="4"/>
      <c r="L570" s="4"/>
      <c r="M570" s="4"/>
      <c r="N570" s="4"/>
      <c r="O570" s="4"/>
      <c r="P570" s="4"/>
    </row>
    <row r="571" spans="1:16" customFormat="1" ht="18.600000000000001" customHeight="1" x14ac:dyDescent="0.3">
      <c r="A571" s="35">
        <f t="shared" si="117"/>
        <v>27</v>
      </c>
      <c r="B571" s="39" t="s">
        <v>915</v>
      </c>
      <c r="C571" s="24" t="s">
        <v>20</v>
      </c>
      <c r="D571" s="163">
        <v>397795240</v>
      </c>
      <c r="E571" s="12"/>
      <c r="F571" s="12"/>
      <c r="G571" s="12"/>
      <c r="H571" s="12"/>
      <c r="I571" s="86"/>
      <c r="J571" s="12"/>
      <c r="K571" s="12"/>
      <c r="L571" s="12"/>
      <c r="M571" s="12"/>
      <c r="N571" s="12"/>
      <c r="O571" s="12"/>
      <c r="P571" s="12"/>
    </row>
    <row r="572" spans="1:16" customFormat="1" ht="18.600000000000001" customHeight="1" x14ac:dyDescent="0.3">
      <c r="A572" s="147"/>
      <c r="B572" s="148"/>
      <c r="C572" s="147"/>
      <c r="D572" s="149"/>
      <c r="E572" s="150">
        <f>SUBTOTAL(9,E545:E571)</f>
        <v>0</v>
      </c>
      <c r="F572" s="152"/>
      <c r="G572" s="150">
        <f t="shared" ref="G572" si="118">SUBTOTAL(9,G545:G571)</f>
        <v>0</v>
      </c>
      <c r="H572" s="152"/>
      <c r="I572" s="150">
        <f t="shared" ref="I572" si="119">SUBTOTAL(9,I545:I571)</f>
        <v>0</v>
      </c>
      <c r="J572" s="152"/>
      <c r="K572" s="152"/>
      <c r="L572" s="152"/>
      <c r="M572" s="150">
        <f t="shared" ref="M572" si="120">SUBTOTAL(9,M545:M571)</f>
        <v>0</v>
      </c>
      <c r="N572" s="152"/>
      <c r="O572" s="150">
        <f t="shared" ref="O572" si="121">SUBTOTAL(9,O545:O571)</f>
        <v>0</v>
      </c>
      <c r="P572" s="152"/>
    </row>
  </sheetData>
  <mergeCells count="258">
    <mergeCell ref="M183:N183"/>
    <mergeCell ref="O183:P183"/>
    <mergeCell ref="A181:H181"/>
    <mergeCell ref="A183:A184"/>
    <mergeCell ref="B183:B184"/>
    <mergeCell ref="C183:C184"/>
    <mergeCell ref="D183:D184"/>
    <mergeCell ref="E183:F183"/>
    <mergeCell ref="G183:H183"/>
    <mergeCell ref="I183:J183"/>
    <mergeCell ref="K183:L183"/>
    <mergeCell ref="A61:H61"/>
    <mergeCell ref="A63:A64"/>
    <mergeCell ref="B63:B64"/>
    <mergeCell ref="A1:H1"/>
    <mergeCell ref="A3:A4"/>
    <mergeCell ref="B3:B4"/>
    <mergeCell ref="C3:C4"/>
    <mergeCell ref="D3:D4"/>
    <mergeCell ref="E3:F3"/>
    <mergeCell ref="G3:H3"/>
    <mergeCell ref="C63:C64"/>
    <mergeCell ref="D63:D64"/>
    <mergeCell ref="E63:F63"/>
    <mergeCell ref="G63:H63"/>
    <mergeCell ref="R1:S1"/>
    <mergeCell ref="T1:U1"/>
    <mergeCell ref="V1:W1"/>
    <mergeCell ref="X1:Y1"/>
    <mergeCell ref="Z1:AA1"/>
    <mergeCell ref="AB1:AC1"/>
    <mergeCell ref="R2:S2"/>
    <mergeCell ref="T2:U2"/>
    <mergeCell ref="V2:W2"/>
    <mergeCell ref="X2:Y2"/>
    <mergeCell ref="Z2:AA2"/>
    <mergeCell ref="AB2:AC2"/>
    <mergeCell ref="O3:P3"/>
    <mergeCell ref="S9:T9"/>
    <mergeCell ref="A31:H31"/>
    <mergeCell ref="A33:A34"/>
    <mergeCell ref="B33:B34"/>
    <mergeCell ref="C33:C34"/>
    <mergeCell ref="D33:D34"/>
    <mergeCell ref="E33:F33"/>
    <mergeCell ref="G33:H33"/>
    <mergeCell ref="I33:J33"/>
    <mergeCell ref="M33:N33"/>
    <mergeCell ref="O33:P33"/>
    <mergeCell ref="I3:J3"/>
    <mergeCell ref="K3:L3"/>
    <mergeCell ref="M3:N3"/>
    <mergeCell ref="R5:S5"/>
    <mergeCell ref="T5:U5"/>
    <mergeCell ref="R3:S3"/>
    <mergeCell ref="T3:U3"/>
    <mergeCell ref="R7:S7"/>
    <mergeCell ref="T7:U7"/>
    <mergeCell ref="I63:J63"/>
    <mergeCell ref="M63:N63"/>
    <mergeCell ref="O63:P63"/>
    <mergeCell ref="A91:H91"/>
    <mergeCell ref="A93:A94"/>
    <mergeCell ref="B93:B94"/>
    <mergeCell ref="C93:C94"/>
    <mergeCell ref="D93:D94"/>
    <mergeCell ref="E93:F93"/>
    <mergeCell ref="G93:H93"/>
    <mergeCell ref="I93:J93"/>
    <mergeCell ref="M93:N93"/>
    <mergeCell ref="O93:P93"/>
    <mergeCell ref="K93:L93"/>
    <mergeCell ref="A121:H121"/>
    <mergeCell ref="A123:A124"/>
    <mergeCell ref="B123:B124"/>
    <mergeCell ref="C123:C124"/>
    <mergeCell ref="D123:D124"/>
    <mergeCell ref="E123:F123"/>
    <mergeCell ref="G123:H123"/>
    <mergeCell ref="I123:J123"/>
    <mergeCell ref="M123:N123"/>
    <mergeCell ref="O123:P123"/>
    <mergeCell ref="A151:H151"/>
    <mergeCell ref="A153:A154"/>
    <mergeCell ref="B153:B154"/>
    <mergeCell ref="C153:C154"/>
    <mergeCell ref="D153:D154"/>
    <mergeCell ref="E153:F153"/>
    <mergeCell ref="G153:H153"/>
    <mergeCell ref="I153:J153"/>
    <mergeCell ref="M153:N153"/>
    <mergeCell ref="O153:P153"/>
    <mergeCell ref="K123:L123"/>
    <mergeCell ref="K153:L153"/>
    <mergeCell ref="A211:H211"/>
    <mergeCell ref="A213:A214"/>
    <mergeCell ref="B213:B214"/>
    <mergeCell ref="C213:C214"/>
    <mergeCell ref="D213:D214"/>
    <mergeCell ref="E213:F213"/>
    <mergeCell ref="G213:H213"/>
    <mergeCell ref="I213:J213"/>
    <mergeCell ref="M213:N213"/>
    <mergeCell ref="O213:P213"/>
    <mergeCell ref="A241:H241"/>
    <mergeCell ref="A243:A244"/>
    <mergeCell ref="B243:B244"/>
    <mergeCell ref="C243:C244"/>
    <mergeCell ref="D243:D244"/>
    <mergeCell ref="E243:F243"/>
    <mergeCell ref="G243:H243"/>
    <mergeCell ref="I243:J243"/>
    <mergeCell ref="M243:N243"/>
    <mergeCell ref="O243:P243"/>
    <mergeCell ref="K213:L213"/>
    <mergeCell ref="K243:L243"/>
    <mergeCell ref="A271:H271"/>
    <mergeCell ref="A273:A274"/>
    <mergeCell ref="B273:B274"/>
    <mergeCell ref="C273:C274"/>
    <mergeCell ref="D273:D274"/>
    <mergeCell ref="E273:F273"/>
    <mergeCell ref="G273:H273"/>
    <mergeCell ref="I273:J273"/>
    <mergeCell ref="M273:N273"/>
    <mergeCell ref="O273:P273"/>
    <mergeCell ref="A301:H301"/>
    <mergeCell ref="A303:A304"/>
    <mergeCell ref="B303:B304"/>
    <mergeCell ref="C303:C304"/>
    <mergeCell ref="D303:D304"/>
    <mergeCell ref="E303:F303"/>
    <mergeCell ref="G303:H303"/>
    <mergeCell ref="I303:J303"/>
    <mergeCell ref="M303:N303"/>
    <mergeCell ref="O303:P303"/>
    <mergeCell ref="K273:L273"/>
    <mergeCell ref="K303:L303"/>
    <mergeCell ref="A331:H331"/>
    <mergeCell ref="A333:A334"/>
    <mergeCell ref="B333:B334"/>
    <mergeCell ref="C333:C334"/>
    <mergeCell ref="D333:D334"/>
    <mergeCell ref="E333:F333"/>
    <mergeCell ref="G333:H333"/>
    <mergeCell ref="I333:J333"/>
    <mergeCell ref="M333:N333"/>
    <mergeCell ref="O333:P333"/>
    <mergeCell ref="A361:H361"/>
    <mergeCell ref="A363:A364"/>
    <mergeCell ref="B363:B364"/>
    <mergeCell ref="C363:C364"/>
    <mergeCell ref="D363:D364"/>
    <mergeCell ref="E363:F363"/>
    <mergeCell ref="G363:H363"/>
    <mergeCell ref="I363:J363"/>
    <mergeCell ref="M363:N363"/>
    <mergeCell ref="O363:P363"/>
    <mergeCell ref="K333:L333"/>
    <mergeCell ref="K363:L363"/>
    <mergeCell ref="A391:H391"/>
    <mergeCell ref="A393:A394"/>
    <mergeCell ref="B393:B394"/>
    <mergeCell ref="C393:C394"/>
    <mergeCell ref="D393:D394"/>
    <mergeCell ref="E393:F393"/>
    <mergeCell ref="G393:H393"/>
    <mergeCell ref="I393:J393"/>
    <mergeCell ref="M393:N393"/>
    <mergeCell ref="O393:P393"/>
    <mergeCell ref="A421:H421"/>
    <mergeCell ref="A423:A424"/>
    <mergeCell ref="B423:B424"/>
    <mergeCell ref="C423:C424"/>
    <mergeCell ref="D423:D424"/>
    <mergeCell ref="E423:F423"/>
    <mergeCell ref="G423:H423"/>
    <mergeCell ref="I423:J423"/>
    <mergeCell ref="M423:N423"/>
    <mergeCell ref="O423:P423"/>
    <mergeCell ref="K393:L393"/>
    <mergeCell ref="K423:L423"/>
    <mergeCell ref="A451:H451"/>
    <mergeCell ref="A453:A454"/>
    <mergeCell ref="B453:B454"/>
    <mergeCell ref="C453:C454"/>
    <mergeCell ref="D453:D454"/>
    <mergeCell ref="E453:F453"/>
    <mergeCell ref="G453:H453"/>
    <mergeCell ref="I453:J453"/>
    <mergeCell ref="M453:N453"/>
    <mergeCell ref="O453:P453"/>
    <mergeCell ref="A481:H481"/>
    <mergeCell ref="A483:A484"/>
    <mergeCell ref="B483:B484"/>
    <mergeCell ref="C483:C484"/>
    <mergeCell ref="D483:D484"/>
    <mergeCell ref="E483:F483"/>
    <mergeCell ref="G483:H483"/>
    <mergeCell ref="I483:J483"/>
    <mergeCell ref="M483:N483"/>
    <mergeCell ref="O483:P483"/>
    <mergeCell ref="K453:L453"/>
    <mergeCell ref="K483:L483"/>
    <mergeCell ref="A511:H511"/>
    <mergeCell ref="A513:A514"/>
    <mergeCell ref="B513:B514"/>
    <mergeCell ref="C513:C514"/>
    <mergeCell ref="D513:D514"/>
    <mergeCell ref="E513:F513"/>
    <mergeCell ref="G513:H513"/>
    <mergeCell ref="I513:J513"/>
    <mergeCell ref="M513:N513"/>
    <mergeCell ref="O513:P513"/>
    <mergeCell ref="A541:H541"/>
    <mergeCell ref="A543:A544"/>
    <mergeCell ref="B543:B544"/>
    <mergeCell ref="C543:C544"/>
    <mergeCell ref="D543:D544"/>
    <mergeCell ref="E543:F543"/>
    <mergeCell ref="G543:H543"/>
    <mergeCell ref="I543:J543"/>
    <mergeCell ref="M543:N543"/>
    <mergeCell ref="O543:P543"/>
    <mergeCell ref="K513:L513"/>
    <mergeCell ref="K543:L543"/>
    <mergeCell ref="V5:W5"/>
    <mergeCell ref="X5:Y5"/>
    <mergeCell ref="Z5:AA5"/>
    <mergeCell ref="AB5:AC5"/>
    <mergeCell ref="R6:S6"/>
    <mergeCell ref="T6:U6"/>
    <mergeCell ref="V6:W6"/>
    <mergeCell ref="X6:Y6"/>
    <mergeCell ref="Z6:AA6"/>
    <mergeCell ref="AB6:AC6"/>
    <mergeCell ref="V3:W3"/>
    <mergeCell ref="X3:Y3"/>
    <mergeCell ref="Z3:AA3"/>
    <mergeCell ref="AB3:AC3"/>
    <mergeCell ref="R4:S4"/>
    <mergeCell ref="T4:U4"/>
    <mergeCell ref="V4:W4"/>
    <mergeCell ref="X4:Y4"/>
    <mergeCell ref="Z4:AA4"/>
    <mergeCell ref="AB4:AC4"/>
    <mergeCell ref="V7:W7"/>
    <mergeCell ref="X7:Y7"/>
    <mergeCell ref="Z7:AA7"/>
    <mergeCell ref="AB7:AC7"/>
    <mergeCell ref="K33:L33"/>
    <mergeCell ref="K63:L63"/>
    <mergeCell ref="R8:S8"/>
    <mergeCell ref="T8:U8"/>
    <mergeCell ref="V8:W8"/>
    <mergeCell ref="X8:Y8"/>
    <mergeCell ref="Z8:AA8"/>
    <mergeCell ref="AB8:AC8"/>
  </mergeCells>
  <phoneticPr fontId="6" type="noConversion"/>
  <conditionalFormatting sqref="A1:P4 Q4 A5:A20 E5:P20 A21:P29 A30:D30 F30 H30 J30:L30 N30 P30">
    <cfRule type="expression" dxfId="1651" priority="709">
      <formula>ISODD(ROW())</formula>
    </cfRule>
  </conditionalFormatting>
  <conditionalFormatting sqref="A2:P4 Q4 A5:A20 E5:P20 A21:P29 A30:D30 F30 H30 J30:L30 N30 P30">
    <cfRule type="expression" dxfId="1650" priority="737">
      <formula>MOD(ROW(),2)=1</formula>
    </cfRule>
  </conditionalFormatting>
  <conditionalFormatting sqref="A3:P4 Q4 A5:A20 E5:P20 A21:P29 A30:D30 F30 H30 J30:L30 N30 P30">
    <cfRule type="expression" dxfId="1649" priority="724">
      <formula>ISOODD(ROW())</formula>
    </cfRule>
    <cfRule type="expression" dxfId="1648" priority="723">
      <formula>-ISODD(ROW())</formula>
    </cfRule>
  </conditionalFormatting>
  <conditionalFormatting sqref="A31:P34 A35:A55 E35:P55 A56:P59 A60:D60 F60 H60 J60:L60 N60 P60">
    <cfRule type="expression" dxfId="1647" priority="666">
      <formula>ISODD(ROW())</formula>
    </cfRule>
  </conditionalFormatting>
  <conditionalFormatting sqref="A32:P34 A35:A55 E35:P55 A56:P59 A60:D60 F60 H60 J60:L60 N60 P60">
    <cfRule type="expression" dxfId="1646" priority="694">
      <formula>MOD(ROW(),2)=1</formula>
    </cfRule>
  </conditionalFormatting>
  <conditionalFormatting sqref="A33:P34 A35:A55 E35:P55 A56:P59 A60:D60 F60 H60 J60:L60 N60 P60">
    <cfRule type="expression" dxfId="1645" priority="680">
      <formula>-ISODD(ROW())</formula>
    </cfRule>
    <cfRule type="expression" dxfId="1644" priority="681">
      <formula>ISOODD(ROW())</formula>
    </cfRule>
  </conditionalFormatting>
  <conditionalFormatting sqref="A61:P64 A65:A84 E65:P84 A85:P89 A90:D90 F90 H90 J90:L90 N90 P90">
    <cfRule type="expression" dxfId="1643" priority="619">
      <formula>ISODD(ROW())</formula>
    </cfRule>
  </conditionalFormatting>
  <conditionalFormatting sqref="A62:P64 A65:A84 E65:P84 A85:P89 A90:D90 F90 H90 J90:L90 N90 P90">
    <cfRule type="expression" dxfId="1642" priority="647">
      <formula>MOD(ROW(),2)=1</formula>
    </cfRule>
  </conditionalFormatting>
  <conditionalFormatting sqref="A63:P64 A65:A84 E65:P84 A85:P89 A90:D90 F90 H90 J90:L90 N90 P90">
    <cfRule type="expression" dxfId="1641" priority="634">
      <formula>ISOODD(ROW())</formula>
    </cfRule>
    <cfRule type="expression" dxfId="1640" priority="633">
      <formula>-ISODD(ROW())</formula>
    </cfRule>
  </conditionalFormatting>
  <conditionalFormatting sqref="A91:P94 A95:A110 E95:P110 A111:P119 A120:D120 F120 H120 J120:L120 N120 P120">
    <cfRule type="expression" dxfId="1639" priority="581">
      <formula>ISODD(ROW())</formula>
    </cfRule>
  </conditionalFormatting>
  <conditionalFormatting sqref="A92:P94 A95:A110 E95:P110 A111:P119 A120:D120 F120 H120 J120:L120 N120 P120">
    <cfRule type="expression" dxfId="1638" priority="609">
      <formula>MOD(ROW(),2)=1</formula>
    </cfRule>
  </conditionalFormatting>
  <conditionalFormatting sqref="A93:P94 A95:A110 E95:P110 A111:P119 A120:D120 F120 H120 J120:L120 N120 P120">
    <cfRule type="expression" dxfId="1637" priority="595">
      <formula>-ISODD(ROW())</formula>
    </cfRule>
    <cfRule type="expression" dxfId="1636" priority="596">
      <formula>ISOODD(ROW())</formula>
    </cfRule>
  </conditionalFormatting>
  <conditionalFormatting sqref="A121:P124 A125:A138 E125:P138 A139:P149 A150:D150 F150 H150 J150:L150 N150 P150">
    <cfRule type="expression" dxfId="1635" priority="543">
      <formula>ISODD(ROW())</formula>
    </cfRule>
  </conditionalFormatting>
  <conditionalFormatting sqref="A122:P124 A125:A138 E125:P138 A139:P149 A150:D150 F150 H150 J150:L150 N150 P150">
    <cfRule type="expression" dxfId="1634" priority="571">
      <formula>MOD(ROW(),2)=1</formula>
    </cfRule>
  </conditionalFormatting>
  <conditionalFormatting sqref="A123:P124 A125:A138 E125:P138 A139:P149 A150:D150 F150 H150 J150:L150 N150 P150">
    <cfRule type="expression" dxfId="1633" priority="557">
      <formula>-ISODD(ROW())</formula>
    </cfRule>
    <cfRule type="expression" dxfId="1632" priority="558">
      <formula>ISOODD(ROW())</formula>
    </cfRule>
  </conditionalFormatting>
  <conditionalFormatting sqref="A151:P154 A155:A176 E155:P176 A177:P179 A180:D180 F180 H180 J180:L180 N180 P180">
    <cfRule type="expression" dxfId="1631" priority="504">
      <formula>ISODD(ROW())</formula>
    </cfRule>
  </conditionalFormatting>
  <conditionalFormatting sqref="A152:P154 A155:A176 E155:P176 A177:P179 A180:D180 F180 H180 J180:L180 N180 P180">
    <cfRule type="expression" dxfId="1630" priority="532">
      <formula>MOD(ROW(),2)=1</formula>
    </cfRule>
  </conditionalFormatting>
  <conditionalFormatting sqref="A153:P154 A155:A176 E155:P176 A177:P179 A180:D180 F180 H180 J180:L180 N180 P180">
    <cfRule type="expression" dxfId="1629" priority="518">
      <formula>-ISODD(ROW())</formula>
    </cfRule>
    <cfRule type="expression" dxfId="1628" priority="519">
      <formula>ISOODD(ROW())</formula>
    </cfRule>
  </conditionalFormatting>
  <conditionalFormatting sqref="A181:P184 A185:A202 E185:P202 A203:P209 A210:D210 F210 H210 J210:L210 N210 P210">
    <cfRule type="expression" dxfId="1627" priority="10">
      <formula>ISODD(ROW())</formula>
    </cfRule>
  </conditionalFormatting>
  <conditionalFormatting sqref="A182:P184 A185:A202 E185:P202 A203:P209 A210:D210 F210 H210 J210:L210 N210 P210">
    <cfRule type="expression" dxfId="1626" priority="38">
      <formula>MOD(ROW(),2)=1</formula>
    </cfRule>
  </conditionalFormatting>
  <conditionalFormatting sqref="A183:P184 A185:A202 E185:P202 A203:P209 A210:D210 F210 H210 J210:L210 N210 P210">
    <cfRule type="expression" dxfId="1625" priority="25">
      <formula>ISOODD(ROW())</formula>
    </cfRule>
    <cfRule type="expression" dxfId="1624" priority="24">
      <formula>-ISODD(ROW())</formula>
    </cfRule>
  </conditionalFormatting>
  <conditionalFormatting sqref="A211:P214 A215:A228 E215:P228 A229:P239 A240:D240 F240 H240 J240:L240 N240 P240">
    <cfRule type="expression" dxfId="1623" priority="466">
      <formula>ISODD(ROW())</formula>
    </cfRule>
  </conditionalFormatting>
  <conditionalFormatting sqref="A212:P214 A215:A228 E215:P228 A229:P239 A240:D240 F240 H240 J240:L240 N240 P240">
    <cfRule type="expression" dxfId="1622" priority="494">
      <formula>MOD(ROW(),2)=1</formula>
    </cfRule>
  </conditionalFormatting>
  <conditionalFormatting sqref="A213:P214 A215:A228 E215:P228 A229:P239 A240:D240 F240 H240 J240:L240 N240 P240">
    <cfRule type="expression" dxfId="1621" priority="481">
      <formula>ISOODD(ROW())</formula>
    </cfRule>
    <cfRule type="expression" dxfId="1620" priority="480">
      <formula>-ISODD(ROW())</formula>
    </cfRule>
  </conditionalFormatting>
  <conditionalFormatting sqref="A241:P244 A245:A257 E245:P257 A258:P269 A270:D270 F270 H270 J270:L270 N270 P270">
    <cfRule type="expression" dxfId="1619" priority="428">
      <formula>ISODD(ROW())</formula>
    </cfRule>
  </conditionalFormatting>
  <conditionalFormatting sqref="A242:P244 A245:A257 E245:P257 A258:P269 A270:D270 F270 H270 J270:L270 N270 P270">
    <cfRule type="expression" dxfId="1618" priority="456">
      <formula>MOD(ROW(),2)=1</formula>
    </cfRule>
  </conditionalFormatting>
  <conditionalFormatting sqref="A243:P244 A245:A257 E245:P257 A258:P269 A270:D270 F270 H270 J270:L270 N270 P270">
    <cfRule type="expression" dxfId="1617" priority="442">
      <formula>-ISODD(ROW())</formula>
    </cfRule>
    <cfRule type="expression" dxfId="1616" priority="443">
      <formula>ISOODD(ROW())</formula>
    </cfRule>
  </conditionalFormatting>
  <conditionalFormatting sqref="A271:P274 A275:A296 E275:P296 A297:P299 A300:D300 F300 H300 J300:L300 N300 P300">
    <cfRule type="expression" dxfId="1615" priority="390">
      <formula>ISODD(ROW())</formula>
    </cfRule>
  </conditionalFormatting>
  <conditionalFormatting sqref="A272:P274 A275:A296 E275:P296 A297:P299 A300:D300 F300 H300 J300:L300 N300 P300">
    <cfRule type="expression" dxfId="1614" priority="418">
      <formula>MOD(ROW(),2)=1</formula>
    </cfRule>
  </conditionalFormatting>
  <conditionalFormatting sqref="A273:P274 A275:A296 E275:P296 A297:P299 A300:D300 F300 H300 J300:L300 N300 P300">
    <cfRule type="expression" dxfId="1613" priority="405">
      <formula>ISOODD(ROW())</formula>
    </cfRule>
    <cfRule type="expression" dxfId="1612" priority="404">
      <formula>-ISODD(ROW())</formula>
    </cfRule>
  </conditionalFormatting>
  <conditionalFormatting sqref="A301:P304 A305:A326 E305:P326 A327:P329 A330:D330 F330 H330 J330:L330 N330 P330">
    <cfRule type="expression" dxfId="1611" priority="352">
      <formula>ISODD(ROW())</formula>
    </cfRule>
  </conditionalFormatting>
  <conditionalFormatting sqref="A302:P304 A305:A326 E305:P326 A327:P329 A330:D330 F330 H330 J330:L330 N330 P330">
    <cfRule type="expression" dxfId="1610" priority="380">
      <formula>MOD(ROW(),2)=1</formula>
    </cfRule>
  </conditionalFormatting>
  <conditionalFormatting sqref="A303:P304 A305:A326 E305:P326 A327:P329 A330:D330 F330 H330 J330:L330 N330 P330">
    <cfRule type="expression" dxfId="1609" priority="367">
      <formula>ISOODD(ROW())</formula>
    </cfRule>
    <cfRule type="expression" dxfId="1608" priority="366">
      <formula>-ISODD(ROW())</formula>
    </cfRule>
  </conditionalFormatting>
  <conditionalFormatting sqref="A331:P334 A335:A345 E335:P345 A346:P359 A360:D360 F360 H360 J360:L360 N360 P360">
    <cfRule type="expression" dxfId="1607" priority="314">
      <formula>ISODD(ROW())</formula>
    </cfRule>
  </conditionalFormatting>
  <conditionalFormatting sqref="A332:P334 A335:A347 E335:P347 A348:P359 A360:D360 F360 H360 J360:L360 N360 P360">
    <cfRule type="expression" dxfId="1606" priority="342">
      <formula>MOD(ROW(),2)=1</formula>
    </cfRule>
  </conditionalFormatting>
  <conditionalFormatting sqref="A333:P334 A335:A345 E335:P345 A346:P359 A360:D360 F360 H360 J360:L360 N360 P360">
    <cfRule type="expression" dxfId="1605" priority="329">
      <formula>ISOODD(ROW())</formula>
    </cfRule>
    <cfRule type="expression" dxfId="1604" priority="328">
      <formula>-ISODD(ROW())</formula>
    </cfRule>
  </conditionalFormatting>
  <conditionalFormatting sqref="A361:P364 A365:A379 E365:P379 A380:P389 A390:D390 F390 H390 J390:L390 N390 P390">
    <cfRule type="expression" dxfId="1603" priority="276">
      <formula>ISODD(ROW())</formula>
    </cfRule>
  </conditionalFormatting>
  <conditionalFormatting sqref="A362:P364 A365:A379 E365:P379 A380:P389 A390:D390 F390 H390 J390:L390 N390 P390">
    <cfRule type="expression" dxfId="1602" priority="304">
      <formula>MOD(ROW(),2)=1</formula>
    </cfRule>
  </conditionalFormatting>
  <conditionalFormatting sqref="A363:P364 A365:A379 E365:P379 A380:P389 A390:D390 F390 H390 J390:L390 N390 P390">
    <cfRule type="expression" dxfId="1601" priority="291">
      <formula>ISOODD(ROW())</formula>
    </cfRule>
    <cfRule type="expression" dxfId="1600" priority="290">
      <formula>-ISODD(ROW())</formula>
    </cfRule>
  </conditionalFormatting>
  <conditionalFormatting sqref="A391:P394 A395:A413 E395:P413 A414:P419 A420:D420 F420 H420 J420:L420 N420 P420">
    <cfRule type="expression" dxfId="1599" priority="238">
      <formula>ISODD(ROW())</formula>
    </cfRule>
  </conditionalFormatting>
  <conditionalFormatting sqref="A392:P394 A395:A413 E395:P413 A414:P419 A420:D420 F420 H420 J420:L420 N420 P420">
    <cfRule type="expression" dxfId="1598" priority="266">
      <formula>MOD(ROW(),2)=1</formula>
    </cfRule>
  </conditionalFormatting>
  <conditionalFormatting sqref="A393:P394 A395:A413 E395:P413 A414:P419 A420:D420 F420 H420 J420:L420 N420 P420">
    <cfRule type="expression" dxfId="1597" priority="252">
      <formula>-ISODD(ROW())</formula>
    </cfRule>
    <cfRule type="expression" dxfId="1596" priority="253">
      <formula>ISOODD(ROW())</formula>
    </cfRule>
  </conditionalFormatting>
  <conditionalFormatting sqref="A421:P424 A425:A446 E425:P446 A447:P449 A450:D450 F450 H450 J450:L450 N450 P450">
    <cfRule type="expression" dxfId="1595" priority="200">
      <formula>ISODD(ROW())</formula>
    </cfRule>
  </conditionalFormatting>
  <conditionalFormatting sqref="A422:P424 A425:A446 E425:P446 A447:P449 A450:D450 F450 H450 J450:L450 N450 P450">
    <cfRule type="expression" dxfId="1594" priority="228">
      <formula>MOD(ROW(),2)=1</formula>
    </cfRule>
  </conditionalFormatting>
  <conditionalFormatting sqref="A423:P424 A425:A446 E425:P446 A447:P449 A450:D450 F450 H450 J450:L450 N450 P450">
    <cfRule type="expression" dxfId="1593" priority="214">
      <formula>-ISODD(ROW())</formula>
    </cfRule>
    <cfRule type="expression" dxfId="1592" priority="215">
      <formula>ISOODD(ROW())</formula>
    </cfRule>
  </conditionalFormatting>
  <conditionalFormatting sqref="A451:P454 A455:A477 E455:P477 A478:P479 A480:D480 F480 H480 J480:L480 N480 P480">
    <cfRule type="expression" dxfId="1591" priority="162">
      <formula>ISODD(ROW())</formula>
    </cfRule>
  </conditionalFormatting>
  <conditionalFormatting sqref="A452:P454 A455:A477 E455:P477 A478:P479 A480:D480 F480 H480 J480:L480 N480 P480">
    <cfRule type="expression" dxfId="1590" priority="190">
      <formula>MOD(ROW(),2)=1</formula>
    </cfRule>
  </conditionalFormatting>
  <conditionalFormatting sqref="A453:P454 A455:A477 E455:P477 A478:P479 A480:D480 F480 H480 J480:L480 N480 P480">
    <cfRule type="expression" dxfId="1589" priority="176">
      <formula>-ISODD(ROW())</formula>
    </cfRule>
    <cfRule type="expression" dxfId="1588" priority="177">
      <formula>ISOODD(ROW())</formula>
    </cfRule>
  </conditionalFormatting>
  <conditionalFormatting sqref="A481:P484 A485:A501 E485:P501 A502:P509 A510:D510 F510 H510 J510:L510 N510 P510">
    <cfRule type="expression" dxfId="1587" priority="124">
      <formula>ISODD(ROW())</formula>
    </cfRule>
  </conditionalFormatting>
  <conditionalFormatting sqref="A482:P484 A485:A501 E485:P501 A502:P509 A510:D510 F510 H510 J510:L510 N510 P510">
    <cfRule type="expression" dxfId="1586" priority="152">
      <formula>MOD(ROW(),2)=1</formula>
    </cfRule>
  </conditionalFormatting>
  <conditionalFormatting sqref="A483:P484 A485:A501 E485:P501 A502:P509 A510:D510 F510 H510 J510:L510 N510 P510">
    <cfRule type="expression" dxfId="1585" priority="138">
      <formula>-ISODD(ROW())</formula>
    </cfRule>
    <cfRule type="expression" dxfId="1584" priority="139">
      <formula>ISOODD(ROW())</formula>
    </cfRule>
  </conditionalFormatting>
  <conditionalFormatting sqref="A511:P514 A515:A529 E515:P529 A530:P539 A540:D540 F540 H540 J540:L540 N540 P540">
    <cfRule type="expression" dxfId="1583" priority="86">
      <formula>ISODD(ROW())</formula>
    </cfRule>
  </conditionalFormatting>
  <conditionalFormatting sqref="A512:P514 A515:A529 E515:P529 A530:P539 A540:D540 F540 H540 J540:L540 N540 P540">
    <cfRule type="expression" dxfId="1582" priority="114">
      <formula>MOD(ROW(),2)=1</formula>
    </cfRule>
  </conditionalFormatting>
  <conditionalFormatting sqref="A513:P514 A515:A529 E515:P529 A530:P539 A540:D540 F540 H540 J540:L540 N540 P540">
    <cfRule type="expression" dxfId="1581" priority="101">
      <formula>ISOODD(ROW())</formula>
    </cfRule>
    <cfRule type="expression" dxfId="1580" priority="100">
      <formula>-ISODD(ROW())</formula>
    </cfRule>
  </conditionalFormatting>
  <conditionalFormatting sqref="A541:P544 A545:A571 E545:P571 A572:D572 F572 H572 J572:L572 N572 P572">
    <cfRule type="expression" dxfId="1579" priority="48">
      <formula>ISODD(ROW())</formula>
    </cfRule>
  </conditionalFormatting>
  <conditionalFormatting sqref="A542:P544 A545:A571 E545:P571 A572:D572 F572 H572 J572:L572 N572 P572">
    <cfRule type="expression" dxfId="1578" priority="76">
      <formula>MOD(ROW(),2)=1</formula>
    </cfRule>
  </conditionalFormatting>
  <conditionalFormatting sqref="A543:P544 A545:A571 E545:P571 A572:D572 F572 H572 J572:L572 N572 P572">
    <cfRule type="expression" dxfId="1577" priority="63">
      <formula>ISOODD(ROW())</formula>
    </cfRule>
    <cfRule type="expression" dxfId="1576" priority="62">
      <formula>-ISODD(ROW())</formula>
    </cfRule>
  </conditionalFormatting>
  <conditionalFormatting sqref="B346:C347">
    <cfRule type="expression" dxfId="1575" priority="332">
      <formula>ISODD(ROW())</formula>
    </cfRule>
    <cfRule type="expression" dxfId="1574" priority="334">
      <formula>ISODD(ROW())</formula>
    </cfRule>
    <cfRule type="expression" dxfId="1573" priority="335">
      <formula>ISODD(ROW())</formula>
    </cfRule>
    <cfRule type="expression" dxfId="1572" priority="337">
      <formula>ISODD(RƠ())</formula>
    </cfRule>
  </conditionalFormatting>
  <conditionalFormatting sqref="B346:D347">
    <cfRule type="expression" priority="323">
      <formula>is(ROW())</formula>
    </cfRule>
    <cfRule type="expression" priority="325">
      <formula>"ISODD(ROW())"</formula>
    </cfRule>
    <cfRule type="expression" priority="326">
      <formula>ISODD(ROW())</formula>
    </cfRule>
    <cfRule type="expression" dxfId="1571" priority="333">
      <formula>"IF(A4:A299);ISODD(ROW()))"</formula>
    </cfRule>
    <cfRule type="expression" dxfId="1570" priority="336">
      <formula>ISODD(ROW())</formula>
    </cfRule>
    <cfRule type="expression" dxfId="1569" priority="338">
      <formula>ISODD(ROW())</formula>
    </cfRule>
  </conditionalFormatting>
  <conditionalFormatting sqref="D346:D347">
    <cfRule type="expression" dxfId="1568" priority="339">
      <formula>ISODD(ROW())</formula>
    </cfRule>
    <cfRule type="expression" dxfId="1567" priority="340">
      <formula>ISODD(ROW())</formula>
    </cfRule>
    <cfRule type="expression" dxfId="1566" priority="341">
      <formula>ISODD(RƠ())</formula>
    </cfRule>
  </conditionalFormatting>
  <conditionalFormatting sqref="E30 G30 I30 M30 O30">
    <cfRule type="expression" dxfId="1565" priority="708">
      <formula>ISODD(RƠ())</formula>
    </cfRule>
    <cfRule type="expression" priority="707">
      <formula>ISODD(ROW())</formula>
    </cfRule>
    <cfRule type="expression" priority="706">
      <formula>"ISODD(ROW())"</formula>
    </cfRule>
    <cfRule type="expression" dxfId="1564" priority="705">
      <formula>ISODD(ROW())</formula>
    </cfRule>
    <cfRule type="expression" priority="704">
      <formula>is(ROW())</formula>
    </cfRule>
    <cfRule type="expression" dxfId="1563" priority="703">
      <formula>ISODD(ROW())</formula>
    </cfRule>
    <cfRule type="expression" dxfId="1562" priority="702">
      <formula>ISODD(ROW())</formula>
    </cfRule>
    <cfRule type="expression" dxfId="1561" priority="701">
      <formula>ISODD(ROW())</formula>
    </cfRule>
    <cfRule type="expression" dxfId="1560" priority="700">
      <formula>"IF(A4:A299);ISODD(ROW()))"</formula>
    </cfRule>
  </conditionalFormatting>
  <conditionalFormatting sqref="E60 G60 I60 M60 O60">
    <cfRule type="expression" dxfId="1559" priority="657">
      <formula>"IF(A4:A299);ISODD(ROW()))"</formula>
    </cfRule>
    <cfRule type="expression" priority="661">
      <formula>is(ROW())</formula>
    </cfRule>
    <cfRule type="expression" dxfId="1558" priority="662">
      <formula>ISODD(ROW())</formula>
    </cfRule>
    <cfRule type="expression" priority="663">
      <formula>"ISODD(ROW())"</formula>
    </cfRule>
    <cfRule type="expression" dxfId="1557" priority="659">
      <formula>ISODD(ROW())</formula>
    </cfRule>
    <cfRule type="expression" priority="664">
      <formula>ISODD(ROW())</formula>
    </cfRule>
    <cfRule type="expression" dxfId="1556" priority="665">
      <formula>ISODD(RƠ())</formula>
    </cfRule>
    <cfRule type="expression" dxfId="1555" priority="658">
      <formula>ISODD(ROW())</formula>
    </cfRule>
    <cfRule type="expression" dxfId="1554" priority="660">
      <formula>ISODD(ROW())</formula>
    </cfRule>
  </conditionalFormatting>
  <conditionalFormatting sqref="E90 G90 I90 M90 O90">
    <cfRule type="expression" dxfId="1553" priority="612">
      <formula>ISODD(ROW())</formula>
    </cfRule>
    <cfRule type="expression" dxfId="1552" priority="611">
      <formula>ISODD(ROW())</formula>
    </cfRule>
    <cfRule type="expression" dxfId="1551" priority="610">
      <formula>"IF(A4:A299);ISODD(ROW()))"</formula>
    </cfRule>
    <cfRule type="expression" dxfId="1550" priority="618">
      <formula>ISODD(RƠ())</formula>
    </cfRule>
    <cfRule type="expression" priority="614">
      <formula>is(ROW())</formula>
    </cfRule>
    <cfRule type="expression" dxfId="1549" priority="615">
      <formula>ISODD(ROW())</formula>
    </cfRule>
    <cfRule type="expression" priority="616">
      <formula>"ISODD(ROW())"</formula>
    </cfRule>
    <cfRule type="expression" priority="617">
      <formula>ISODD(ROW())</formula>
    </cfRule>
    <cfRule type="expression" dxfId="1548" priority="613">
      <formula>ISODD(ROW())</formula>
    </cfRule>
  </conditionalFormatting>
  <conditionalFormatting sqref="E120 G120 I120 M120 O120">
    <cfRule type="expression" dxfId="1547" priority="580">
      <formula>ISODD(RƠ())</formula>
    </cfRule>
    <cfRule type="expression" dxfId="1546" priority="574">
      <formula>ISODD(ROW())</formula>
    </cfRule>
    <cfRule type="expression" dxfId="1545" priority="572">
      <formula>"IF(A4:A299);ISODD(ROW()))"</formula>
    </cfRule>
    <cfRule type="expression" priority="579">
      <formula>ISODD(ROW())</formula>
    </cfRule>
    <cfRule type="expression" priority="576">
      <formula>is(ROW())</formula>
    </cfRule>
    <cfRule type="expression" dxfId="1544" priority="575">
      <formula>ISODD(ROW())</formula>
    </cfRule>
    <cfRule type="expression" dxfId="1543" priority="577">
      <formula>ISODD(ROW())</formula>
    </cfRule>
    <cfRule type="expression" priority="578">
      <formula>"ISODD(ROW())"</formula>
    </cfRule>
    <cfRule type="expression" dxfId="1542" priority="573">
      <formula>ISODD(ROW())</formula>
    </cfRule>
  </conditionalFormatting>
  <conditionalFormatting sqref="E150 G150 I150 M150 O150">
    <cfRule type="expression" priority="538">
      <formula>is(ROW())</formula>
    </cfRule>
    <cfRule type="expression" dxfId="1541" priority="537">
      <formula>ISODD(ROW())</formula>
    </cfRule>
    <cfRule type="expression" dxfId="1540" priority="542">
      <formula>ISODD(RƠ())</formula>
    </cfRule>
    <cfRule type="expression" priority="541">
      <formula>ISODD(ROW())</formula>
    </cfRule>
    <cfRule type="expression" dxfId="1539" priority="536">
      <formula>ISODD(ROW())</formula>
    </cfRule>
    <cfRule type="expression" dxfId="1538" priority="535">
      <formula>ISODD(ROW())</formula>
    </cfRule>
    <cfRule type="expression" dxfId="1537" priority="534">
      <formula>"IF(A4:A299);ISODD(ROW()))"</formula>
    </cfRule>
    <cfRule type="expression" priority="540">
      <formula>"ISODD(ROW())"</formula>
    </cfRule>
    <cfRule type="expression" dxfId="1536" priority="539">
      <formula>ISODD(ROW())</formula>
    </cfRule>
  </conditionalFormatting>
  <conditionalFormatting sqref="E180 G180 I180 M180 O180">
    <cfRule type="expression" priority="501">
      <formula>"ISODD(ROW())"</formula>
    </cfRule>
    <cfRule type="expression" priority="502">
      <formula>ISODD(ROW())</formula>
    </cfRule>
    <cfRule type="expression" dxfId="1535" priority="497">
      <formula>ISODD(ROW())</formula>
    </cfRule>
    <cfRule type="expression" dxfId="1534" priority="496">
      <formula>ISODD(ROW())</formula>
    </cfRule>
    <cfRule type="expression" dxfId="1533" priority="503">
      <formula>ISODD(RƠ())</formula>
    </cfRule>
    <cfRule type="expression" dxfId="1532" priority="495">
      <formula>"IF(A4:A299);ISODD(ROW()))"</formula>
    </cfRule>
    <cfRule type="expression" dxfId="1531" priority="500">
      <formula>ISODD(ROW())</formula>
    </cfRule>
    <cfRule type="expression" priority="499">
      <formula>is(ROW())</formula>
    </cfRule>
    <cfRule type="expression" dxfId="1530" priority="498">
      <formula>ISODD(ROW())</formula>
    </cfRule>
  </conditionalFormatting>
  <conditionalFormatting sqref="E210 G210 I210 M210 O210">
    <cfRule type="expression" dxfId="1529" priority="2">
      <formula>ISODD(ROW())</formula>
    </cfRule>
    <cfRule type="expression" dxfId="1528" priority="3">
      <formula>ISODD(ROW())</formula>
    </cfRule>
    <cfRule type="expression" dxfId="1527" priority="4">
      <formula>ISODD(ROW())</formula>
    </cfRule>
    <cfRule type="expression" priority="5">
      <formula>is(ROW())</formula>
    </cfRule>
    <cfRule type="expression" dxfId="1526" priority="6">
      <formula>ISODD(ROW())</formula>
    </cfRule>
    <cfRule type="expression" priority="7">
      <formula>"ISODD(ROW())"</formula>
    </cfRule>
    <cfRule type="expression" priority="8">
      <formula>ISODD(ROW())</formula>
    </cfRule>
    <cfRule type="expression" dxfId="1525" priority="9">
      <formula>ISODD(RƠ())</formula>
    </cfRule>
    <cfRule type="expression" dxfId="1524" priority="1">
      <formula>"IF(A4:A299);ISODD(ROW()))"</formula>
    </cfRule>
  </conditionalFormatting>
  <conditionalFormatting sqref="E240 G240 I240 M240 O240">
    <cfRule type="expression" dxfId="1523" priority="465">
      <formula>ISODD(RƠ())</formula>
    </cfRule>
    <cfRule type="expression" priority="464">
      <formula>ISODD(ROW())</formula>
    </cfRule>
    <cfRule type="expression" dxfId="1522" priority="462">
      <formula>ISODD(ROW())</formula>
    </cfRule>
    <cfRule type="expression" priority="461">
      <formula>is(ROW())</formula>
    </cfRule>
    <cfRule type="expression" dxfId="1521" priority="457">
      <formula>"IF(A4:A299);ISODD(ROW()))"</formula>
    </cfRule>
    <cfRule type="expression" dxfId="1520" priority="460">
      <formula>ISODD(ROW())</formula>
    </cfRule>
    <cfRule type="expression" priority="463">
      <formula>"ISODD(ROW())"</formula>
    </cfRule>
    <cfRule type="expression" dxfId="1519" priority="459">
      <formula>ISODD(ROW())</formula>
    </cfRule>
    <cfRule type="expression" dxfId="1518" priority="458">
      <formula>ISODD(ROW())</formula>
    </cfRule>
  </conditionalFormatting>
  <conditionalFormatting sqref="E270 G270 I270 M270 O270">
    <cfRule type="expression" priority="426">
      <formula>ISODD(ROW())</formula>
    </cfRule>
    <cfRule type="expression" dxfId="1517" priority="421">
      <formula>ISODD(ROW())</formula>
    </cfRule>
    <cfRule type="expression" dxfId="1516" priority="422">
      <formula>ISODD(ROW())</formula>
    </cfRule>
    <cfRule type="expression" priority="423">
      <formula>is(ROW())</formula>
    </cfRule>
    <cfRule type="expression" dxfId="1515" priority="424">
      <formula>ISODD(ROW())</formula>
    </cfRule>
    <cfRule type="expression" priority="425">
      <formula>"ISODD(ROW())"</formula>
    </cfRule>
    <cfRule type="expression" dxfId="1514" priority="427">
      <formula>ISODD(RƠ())</formula>
    </cfRule>
    <cfRule type="expression" dxfId="1513" priority="420">
      <formula>ISODD(ROW())</formula>
    </cfRule>
    <cfRule type="expression" dxfId="1512" priority="419">
      <formula>"IF(A4:A299);ISODD(ROW()))"</formula>
    </cfRule>
  </conditionalFormatting>
  <conditionalFormatting sqref="E300 G300 I300 M300 O300">
    <cfRule type="expression" dxfId="1511" priority="382">
      <formula>ISODD(ROW())</formula>
    </cfRule>
    <cfRule type="expression" dxfId="1510" priority="386">
      <formula>ISODD(ROW())</formula>
    </cfRule>
    <cfRule type="expression" dxfId="1509" priority="381">
      <formula>"IF(A4:A299);ISODD(ROW()))"</formula>
    </cfRule>
    <cfRule type="expression" dxfId="1508" priority="389">
      <formula>ISODD(RƠ())</formula>
    </cfRule>
    <cfRule type="expression" dxfId="1507" priority="383">
      <formula>ISODD(ROW())</formula>
    </cfRule>
    <cfRule type="expression" dxfId="1506" priority="384">
      <formula>ISODD(ROW())</formula>
    </cfRule>
    <cfRule type="expression" priority="385">
      <formula>is(ROW())</formula>
    </cfRule>
    <cfRule type="expression" priority="387">
      <formula>"ISODD(ROW())"</formula>
    </cfRule>
    <cfRule type="expression" priority="388">
      <formula>ISODD(ROW())</formula>
    </cfRule>
  </conditionalFormatting>
  <conditionalFormatting sqref="E330 G330 I330 M330 O330">
    <cfRule type="expression" dxfId="1505" priority="351">
      <formula>ISODD(RƠ())</formula>
    </cfRule>
    <cfRule type="expression" dxfId="1504" priority="343">
      <formula>"IF(A4:A299);ISODD(ROW()))"</formula>
    </cfRule>
    <cfRule type="expression" dxfId="1503" priority="344">
      <formula>ISODD(ROW())</formula>
    </cfRule>
    <cfRule type="expression" dxfId="1502" priority="346">
      <formula>ISODD(ROW())</formula>
    </cfRule>
    <cfRule type="expression" priority="350">
      <formula>ISODD(ROW())</formula>
    </cfRule>
    <cfRule type="expression" dxfId="1501" priority="348">
      <formula>ISODD(ROW())</formula>
    </cfRule>
    <cfRule type="expression" priority="347">
      <formula>is(ROW())</formula>
    </cfRule>
    <cfRule type="expression" priority="349">
      <formula>"ISODD(ROW())"</formula>
    </cfRule>
    <cfRule type="expression" dxfId="1500" priority="345">
      <formula>ISODD(ROW())</formula>
    </cfRule>
  </conditionalFormatting>
  <conditionalFormatting sqref="E360 G360 I360 M360 O360">
    <cfRule type="expression" dxfId="1499" priority="308">
      <formula>ISODD(ROW())</formula>
    </cfRule>
    <cfRule type="expression" dxfId="1498" priority="307">
      <formula>ISODD(ROW())</formula>
    </cfRule>
    <cfRule type="expression" dxfId="1497" priority="306">
      <formula>ISODD(ROW())</formula>
    </cfRule>
    <cfRule type="expression" dxfId="1496" priority="313">
      <formula>ISODD(RƠ())</formula>
    </cfRule>
    <cfRule type="expression" priority="312">
      <formula>ISODD(ROW())</formula>
    </cfRule>
    <cfRule type="expression" dxfId="1495" priority="305">
      <formula>"IF(A4:A299);ISODD(ROW()))"</formula>
    </cfRule>
    <cfRule type="expression" priority="311">
      <formula>"ISODD(ROW())"</formula>
    </cfRule>
    <cfRule type="expression" dxfId="1494" priority="310">
      <formula>ISODD(ROW())</formula>
    </cfRule>
    <cfRule type="expression" priority="309">
      <formula>is(ROW())</formula>
    </cfRule>
  </conditionalFormatting>
  <conditionalFormatting sqref="E390 G390 I390 M390 O390">
    <cfRule type="expression" dxfId="1493" priority="267">
      <formula>"IF(A4:A299);ISODD(ROW()))"</formula>
    </cfRule>
    <cfRule type="expression" dxfId="1492" priority="270">
      <formula>ISODD(ROW())</formula>
    </cfRule>
    <cfRule type="expression" dxfId="1491" priority="275">
      <formula>ISODD(RƠ())</formula>
    </cfRule>
    <cfRule type="expression" dxfId="1490" priority="269">
      <formula>ISODD(ROW())</formula>
    </cfRule>
    <cfRule type="expression" dxfId="1489" priority="272">
      <formula>ISODD(ROW())</formula>
    </cfRule>
    <cfRule type="expression" priority="274">
      <formula>ISODD(ROW())</formula>
    </cfRule>
    <cfRule type="expression" priority="271">
      <formula>is(ROW())</formula>
    </cfRule>
    <cfRule type="expression" dxfId="1488" priority="268">
      <formula>ISODD(ROW())</formula>
    </cfRule>
    <cfRule type="expression" priority="273">
      <formula>"ISODD(ROW())"</formula>
    </cfRule>
  </conditionalFormatting>
  <conditionalFormatting sqref="E420 G420 I420 M420 O420">
    <cfRule type="expression" dxfId="1487" priority="231">
      <formula>ISODD(ROW())</formula>
    </cfRule>
    <cfRule type="expression" dxfId="1486" priority="230">
      <formula>ISODD(ROW())</formula>
    </cfRule>
    <cfRule type="expression" dxfId="1485" priority="229">
      <formula>"IF(A4:A299);ISODD(ROW()))"</formula>
    </cfRule>
    <cfRule type="expression" dxfId="1484" priority="237">
      <formula>ISODD(RƠ())</formula>
    </cfRule>
    <cfRule type="expression" priority="236">
      <formula>ISODD(ROW())</formula>
    </cfRule>
    <cfRule type="expression" priority="235">
      <formula>"ISODD(ROW())"</formula>
    </cfRule>
    <cfRule type="expression" dxfId="1483" priority="234">
      <formula>ISODD(ROW())</formula>
    </cfRule>
    <cfRule type="expression" priority="233">
      <formula>is(ROW())</formula>
    </cfRule>
    <cfRule type="expression" dxfId="1482" priority="232">
      <formula>ISODD(ROW())</formula>
    </cfRule>
  </conditionalFormatting>
  <conditionalFormatting sqref="E450 G450 I450 M450 O450">
    <cfRule type="expression" dxfId="1481" priority="191">
      <formula>"IF(A4:A299);ISODD(ROW()))"</formula>
    </cfRule>
    <cfRule type="expression" dxfId="1480" priority="192">
      <formula>ISODD(ROW())</formula>
    </cfRule>
    <cfRule type="expression" dxfId="1479" priority="193">
      <formula>ISODD(ROW())</formula>
    </cfRule>
    <cfRule type="expression" priority="195">
      <formula>is(ROW())</formula>
    </cfRule>
    <cfRule type="expression" dxfId="1478" priority="196">
      <formula>ISODD(ROW())</formula>
    </cfRule>
    <cfRule type="expression" priority="197">
      <formula>"ISODD(ROW())"</formula>
    </cfRule>
    <cfRule type="expression" dxfId="1477" priority="194">
      <formula>ISODD(ROW())</formula>
    </cfRule>
    <cfRule type="expression" priority="198">
      <formula>ISODD(ROW())</formula>
    </cfRule>
    <cfRule type="expression" dxfId="1476" priority="199">
      <formula>ISODD(RƠ())</formula>
    </cfRule>
  </conditionalFormatting>
  <conditionalFormatting sqref="E480 G480 I480 M480 O480">
    <cfRule type="expression" dxfId="1475" priority="158">
      <formula>ISODD(ROW())</formula>
    </cfRule>
    <cfRule type="expression" dxfId="1474" priority="161">
      <formula>ISODD(RƠ())</formula>
    </cfRule>
    <cfRule type="expression" priority="160">
      <formula>ISODD(ROW())</formula>
    </cfRule>
    <cfRule type="expression" priority="159">
      <formula>"ISODD(ROW())"</formula>
    </cfRule>
    <cfRule type="expression" priority="157">
      <formula>is(ROW())</formula>
    </cfRule>
    <cfRule type="expression" dxfId="1473" priority="156">
      <formula>ISODD(ROW())</formula>
    </cfRule>
    <cfRule type="expression" dxfId="1472" priority="155">
      <formula>ISODD(ROW())</formula>
    </cfRule>
    <cfRule type="expression" dxfId="1471" priority="154">
      <formula>ISODD(ROW())</formula>
    </cfRule>
    <cfRule type="expression" dxfId="1470" priority="153">
      <formula>"IF(A4:A299);ISODD(ROW()))"</formula>
    </cfRule>
  </conditionalFormatting>
  <conditionalFormatting sqref="E510 G510 I510 M510 O510">
    <cfRule type="expression" priority="122">
      <formula>ISODD(ROW())</formula>
    </cfRule>
    <cfRule type="expression" priority="121">
      <formula>"ISODD(ROW())"</formula>
    </cfRule>
    <cfRule type="expression" dxfId="1469" priority="120">
      <formula>ISODD(ROW())</formula>
    </cfRule>
    <cfRule type="expression" priority="119">
      <formula>is(ROW())</formula>
    </cfRule>
    <cfRule type="expression" dxfId="1468" priority="118">
      <formula>ISODD(ROW())</formula>
    </cfRule>
    <cfRule type="expression" dxfId="1467" priority="115">
      <formula>"IF(A4:A299);ISODD(ROW()))"</formula>
    </cfRule>
    <cfRule type="expression" dxfId="1466" priority="116">
      <formula>ISODD(ROW())</formula>
    </cfRule>
    <cfRule type="expression" dxfId="1465" priority="117">
      <formula>ISODD(ROW())</formula>
    </cfRule>
    <cfRule type="expression" dxfId="1464" priority="123">
      <formula>ISODD(RƠ())</formula>
    </cfRule>
  </conditionalFormatting>
  <conditionalFormatting sqref="E540 G540 I540 M540 O540">
    <cfRule type="expression" dxfId="1463" priority="79">
      <formula>ISODD(ROW())</formula>
    </cfRule>
    <cfRule type="expression" dxfId="1462" priority="80">
      <formula>ISODD(ROW())</formula>
    </cfRule>
    <cfRule type="expression" dxfId="1461" priority="82">
      <formula>ISODD(ROW())</formula>
    </cfRule>
    <cfRule type="expression" priority="81">
      <formula>is(ROW())</formula>
    </cfRule>
    <cfRule type="expression" priority="83">
      <formula>"ISODD(ROW())"</formula>
    </cfRule>
    <cfRule type="expression" dxfId="1460" priority="85">
      <formula>ISODD(RƠ())</formula>
    </cfRule>
    <cfRule type="expression" dxfId="1459" priority="78">
      <formula>ISODD(ROW())</formula>
    </cfRule>
    <cfRule type="expression" priority="84">
      <formula>ISODD(ROW())</formula>
    </cfRule>
    <cfRule type="expression" dxfId="1458" priority="77">
      <formula>"IF(A4:A299);ISODD(ROW()))"</formula>
    </cfRule>
  </conditionalFormatting>
  <conditionalFormatting sqref="E572 G572 I572 M572 O572">
    <cfRule type="expression" dxfId="1457" priority="39">
      <formula>"IF(A4:A299);ISODD(ROW()))"</formula>
    </cfRule>
    <cfRule type="expression" priority="43">
      <formula>is(ROW())</formula>
    </cfRule>
    <cfRule type="expression" dxfId="1456" priority="47">
      <formula>ISODD(RƠ())</formula>
    </cfRule>
    <cfRule type="expression" priority="46">
      <formula>ISODD(ROW())</formula>
    </cfRule>
    <cfRule type="expression" priority="45">
      <formula>"ISODD(ROW())"</formula>
    </cfRule>
    <cfRule type="expression" dxfId="1455" priority="44">
      <formula>ISODD(ROW())</formula>
    </cfRule>
    <cfRule type="expression" dxfId="1454" priority="42">
      <formula>ISODD(ROW())</formula>
    </cfRule>
    <cfRule type="expression" dxfId="1453" priority="41">
      <formula>ISODD(ROW())</formula>
    </cfRule>
    <cfRule type="expression" dxfId="1452" priority="40">
      <formula>ISODD(ROW())</formula>
    </cfRule>
  </conditionalFormatting>
  <conditionalFormatting sqref="E5:P20 A3:P4 Q4 A5:A20 A21:P29 A30:D30 F30 H30 J30:L30 N30 P30">
    <cfRule type="expression" dxfId="1451" priority="726">
      <formula>ISODD(ROW())</formula>
    </cfRule>
  </conditionalFormatting>
  <conditionalFormatting sqref="E35:P55 A33:P34 A35:A55 A56:P59 A60:D60 F60 H60 J60:L60 N60 P60">
    <cfRule type="expression" dxfId="1450" priority="683">
      <formula>ISODD(ROW())</formula>
    </cfRule>
  </conditionalFormatting>
  <conditionalFormatting sqref="E65:P84 A63:P64 A65:A84 A85:P89 A90:D90 F90 H90 J90:L90 N90 P90">
    <cfRule type="expression" dxfId="1449" priority="636">
      <formula>ISODD(ROW())</formula>
    </cfRule>
  </conditionalFormatting>
  <conditionalFormatting sqref="E95:P110 A93:P94 A95:A110 A111:P119 A120:D120 F120 H120 J120:L120 N120 P120">
    <cfRule type="expression" dxfId="1448" priority="598">
      <formula>ISODD(ROW())</formula>
    </cfRule>
  </conditionalFormatting>
  <conditionalFormatting sqref="E125:P138 A123:P124 A125:A138 A139:P149 A150:D150 F150 H150 J150:L150 N150 P150">
    <cfRule type="expression" dxfId="1447" priority="560">
      <formula>ISODD(ROW())</formula>
    </cfRule>
  </conditionalFormatting>
  <conditionalFormatting sqref="E155:P176 A153:P154 A155:A176 A177:P179 A180:D180 F180 H180 J180:L180 N180 P180">
    <cfRule type="expression" dxfId="1446" priority="521">
      <formula>ISODD(ROW())</formula>
    </cfRule>
  </conditionalFormatting>
  <conditionalFormatting sqref="E185:P202 A183:P184 A185:A202 A203:P209 A210:D210 F210 H210 J210:L210 N210 P210">
    <cfRule type="expression" dxfId="1445" priority="27">
      <formula>ISODD(ROW())</formula>
    </cfRule>
  </conditionalFormatting>
  <conditionalFormatting sqref="E215:P228 A213:P214 A215:A228 A229:P239 A240:D240 F240 H240 J240:L240 N240 P240">
    <cfRule type="expression" dxfId="1444" priority="483">
      <formula>ISODD(ROW())</formula>
    </cfRule>
  </conditionalFormatting>
  <conditionalFormatting sqref="E245:P257 A243:P244 A245:A257 A258:P269 A270:D270 F270 H270 J270:L270 N270 P270">
    <cfRule type="expression" dxfId="1443" priority="445">
      <formula>ISODD(ROW())</formula>
    </cfRule>
  </conditionalFormatting>
  <conditionalFormatting sqref="E275:P296 A273:P274 A275:A296 A297:P299 A300:D300 F300 H300 J300:L300 N300 P300">
    <cfRule type="expression" dxfId="1442" priority="407">
      <formula>ISODD(ROW())</formula>
    </cfRule>
  </conditionalFormatting>
  <conditionalFormatting sqref="E305:P326 A303:P304 A305:A326 A327:P329 A330:D330 F330 H330 J330:L330 N330 P330">
    <cfRule type="expression" dxfId="1441" priority="369">
      <formula>ISODD(ROW())</formula>
    </cfRule>
  </conditionalFormatting>
  <conditionalFormatting sqref="E335:P345 A333:P334 A335:A345 A346:P359 A360:D360 F360 H360 J360:L360 N360 P360">
    <cfRule type="expression" dxfId="1440" priority="331">
      <formula>ISODD(ROW())</formula>
    </cfRule>
  </conditionalFormatting>
  <conditionalFormatting sqref="E365:P379 A363:P364 A365:A379 A380:P389 A390:D390 F390 H390 J390:L390 N390 P390">
    <cfRule type="expression" dxfId="1439" priority="293">
      <formula>ISODD(ROW())</formula>
    </cfRule>
  </conditionalFormatting>
  <conditionalFormatting sqref="E395:P413 A393:P394 A395:A413 A414:P419 A420:D420 F420 H420 J420:L420 N420 P420">
    <cfRule type="expression" dxfId="1438" priority="255">
      <formula>ISODD(ROW())</formula>
    </cfRule>
  </conditionalFormatting>
  <conditionalFormatting sqref="E425:P446 A423:P424 A425:A446 A447:P449 A450:D450 F450 H450 J450:L450 N450 P450">
    <cfRule type="expression" dxfId="1437" priority="217">
      <formula>ISODD(ROW())</formula>
    </cfRule>
  </conditionalFormatting>
  <conditionalFormatting sqref="E455:P477 A453:P454 A455:A477 A478:P479 A480:D480 F480 H480 J480:L480 N480 P480">
    <cfRule type="expression" dxfId="1436" priority="179">
      <formula>ISODD(ROW())</formula>
    </cfRule>
  </conditionalFormatting>
  <conditionalFormatting sqref="E485:P501 A483:P484 A485:A501 A502:P509 A510:D510 F510 H510 J510:L510 N510 P510">
    <cfRule type="expression" dxfId="1435" priority="141">
      <formula>ISODD(ROW())</formula>
    </cfRule>
  </conditionalFormatting>
  <conditionalFormatting sqref="E515:P529 A513:P514 A515:A529 A530:P539 A540:D540 F540 H540 J540:L540 N540 P540">
    <cfRule type="expression" dxfId="1434" priority="103">
      <formula>ISODD(ROW())</formula>
    </cfRule>
  </conditionalFormatting>
  <conditionalFormatting sqref="E545:P571 A543:P544 A545:A571 A572:D572 F572 H572 J572:L572 N572 P572">
    <cfRule type="expression" dxfId="1433" priority="65">
      <formula>ISODD(ROW())</formula>
    </cfRule>
  </conditionalFormatting>
  <conditionalFormatting sqref="I14">
    <cfRule type="expression" dxfId="1432" priority="725">
      <formula>ISODD(ROW())</formula>
    </cfRule>
  </conditionalFormatting>
  <conditionalFormatting sqref="I44">
    <cfRule type="expression" dxfId="1431" priority="682">
      <formula>ISODD(ROW())</formula>
    </cfRule>
  </conditionalFormatting>
  <conditionalFormatting sqref="I74">
    <cfRule type="expression" dxfId="1430" priority="635">
      <formula>ISODD(ROW())</formula>
    </cfRule>
  </conditionalFormatting>
  <conditionalFormatting sqref="I104">
    <cfRule type="expression" dxfId="1429" priority="597">
      <formula>ISODD(ROW())</formula>
    </cfRule>
  </conditionalFormatting>
  <conditionalFormatting sqref="I134">
    <cfRule type="expression" dxfId="1428" priority="559">
      <formula>ISODD(ROW())</formula>
    </cfRule>
  </conditionalFormatting>
  <conditionalFormatting sqref="I164">
    <cfRule type="expression" dxfId="1427" priority="520">
      <formula>ISODD(ROW())</formula>
    </cfRule>
  </conditionalFormatting>
  <conditionalFormatting sqref="I194">
    <cfRule type="expression" dxfId="1426" priority="26">
      <formula>ISODD(ROW())</formula>
    </cfRule>
  </conditionalFormatting>
  <conditionalFormatting sqref="I224">
    <cfRule type="expression" dxfId="1425" priority="482">
      <formula>ISODD(ROW())</formula>
    </cfRule>
  </conditionalFormatting>
  <conditionalFormatting sqref="I254">
    <cfRule type="expression" dxfId="1424" priority="444">
      <formula>ISODD(ROW())</formula>
    </cfRule>
  </conditionalFormatting>
  <conditionalFormatting sqref="I284">
    <cfRule type="expression" dxfId="1423" priority="406">
      <formula>ISODD(ROW())</formula>
    </cfRule>
  </conditionalFormatting>
  <conditionalFormatting sqref="I314">
    <cfRule type="expression" dxfId="1422" priority="368">
      <formula>ISODD(ROW())</formula>
    </cfRule>
  </conditionalFormatting>
  <conditionalFormatting sqref="I344">
    <cfRule type="expression" dxfId="1421" priority="330">
      <formula>ISODD(ROW())</formula>
    </cfRule>
  </conditionalFormatting>
  <conditionalFormatting sqref="I374">
    <cfRule type="expression" dxfId="1420" priority="292">
      <formula>ISODD(ROW())</formula>
    </cfRule>
  </conditionalFormatting>
  <conditionalFormatting sqref="I404">
    <cfRule type="expression" dxfId="1419" priority="254">
      <formula>ISODD(ROW())</formula>
    </cfRule>
  </conditionalFormatting>
  <conditionalFormatting sqref="I434">
    <cfRule type="expression" dxfId="1418" priority="216">
      <formula>ISODD(ROW())</formula>
    </cfRule>
  </conditionalFormatting>
  <conditionalFormatting sqref="I464">
    <cfRule type="expression" dxfId="1417" priority="178">
      <formula>ISODD(ROW())</formula>
    </cfRule>
  </conditionalFormatting>
  <conditionalFormatting sqref="I494">
    <cfRule type="expression" dxfId="1416" priority="140">
      <formula>ISODD(ROW())</formula>
    </cfRule>
  </conditionalFormatting>
  <conditionalFormatting sqref="I524">
    <cfRule type="expression" dxfId="1415" priority="102">
      <formula>ISODD(ROW())</formula>
    </cfRule>
  </conditionalFormatting>
  <conditionalFormatting sqref="I554">
    <cfRule type="expression" dxfId="1414" priority="64">
      <formula>ISODD(ROW())</formula>
    </cfRule>
  </conditionalFormatting>
  <conditionalFormatting sqref="R2:R7 T2:T7 V2:V7 X2:X7 Z2:Z7">
    <cfRule type="expression" dxfId="1413" priority="648">
      <formula>"IF(A4:A299);ISODD(ROW()))"</formula>
    </cfRule>
    <cfRule type="expression" dxfId="1412" priority="650">
      <formula>ISODD(ROW())</formula>
    </cfRule>
    <cfRule type="expression" dxfId="1411" priority="651">
      <formula>ISODD(ROW())</formula>
    </cfRule>
    <cfRule type="expression" dxfId="1410" priority="656">
      <formula>ISODD(RƠ())</formula>
    </cfRule>
    <cfRule type="expression" priority="655">
      <formula>ISODD(ROW())</formula>
    </cfRule>
    <cfRule type="expression" priority="654">
      <formula>"ISODD(ROW())"</formula>
    </cfRule>
    <cfRule type="expression" dxfId="1409" priority="649">
      <formula>ISODD(ROW())</formula>
    </cfRule>
    <cfRule type="expression" dxfId="1408" priority="653">
      <formula>ISODD(ROW())</formula>
    </cfRule>
    <cfRule type="expression" priority="652">
      <formula>is(ROW())</formula>
    </cfRule>
  </conditionalFormatting>
  <conditionalFormatting sqref="R15:X16 R17 T17:X17">
    <cfRule type="expression" priority="533">
      <formula>"ISODD(RƠ())"</formula>
    </cfRule>
  </conditionalFormatting>
  <conditionalFormatting sqref="R1:AC1">
    <cfRule type="expression" dxfId="1407" priority="695">
      <formula>ISODD(ROW())</formula>
    </cfRule>
    <cfRule type="expression" dxfId="1406" priority="696">
      <formula>-ISODD(ROW())</formula>
    </cfRule>
    <cfRule type="expression" dxfId="1405" priority="697">
      <formula>ISOODD(ROW())</formula>
    </cfRule>
    <cfRule type="expression" dxfId="1404" priority="698">
      <formula>ISODD(ROW())</formula>
    </cfRule>
    <cfRule type="expression" dxfId="1403" priority="699">
      <formula>MOD(ROW(),2)=1</formula>
    </cfRule>
  </conditionalFormatting>
  <pageMargins left="0.7" right="0" top="0.25" bottom="0.2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03EB-A692-4C3A-AEA3-082FBA161E99}">
  <dimension ref="A1:AC1080"/>
  <sheetViews>
    <sheetView topLeftCell="E1" zoomScale="80" zoomScaleNormal="80" workbookViewId="0">
      <selection activeCell="V65" sqref="V65"/>
    </sheetView>
  </sheetViews>
  <sheetFormatPr defaultRowHeight="18.95" customHeight="1" x14ac:dyDescent="0.2"/>
  <cols>
    <col min="1" max="1" width="4.875" customWidth="1"/>
    <col min="2" max="2" width="20.5" customWidth="1"/>
    <col min="3" max="3" width="7.875" customWidth="1"/>
    <col min="4" max="4" width="13.125" customWidth="1"/>
    <col min="5" max="8" width="7.875" customWidth="1"/>
    <col min="9" max="9" width="7.875" style="88" customWidth="1"/>
    <col min="10" max="16" width="7.875" customWidth="1"/>
    <col min="17" max="17" width="11.125" customWidth="1"/>
  </cols>
  <sheetData>
    <row r="1" spans="1:29" ht="18.600000000000001" customHeight="1" x14ac:dyDescent="0.3">
      <c r="A1" s="434" t="s">
        <v>1022</v>
      </c>
      <c r="B1" s="434"/>
      <c r="C1" s="434"/>
      <c r="D1" s="434"/>
      <c r="E1" s="434"/>
      <c r="F1" s="434"/>
      <c r="G1" s="434"/>
      <c r="H1" s="434"/>
      <c r="I1" s="92">
        <v>1</v>
      </c>
      <c r="J1" s="48"/>
      <c r="K1" s="48"/>
      <c r="L1" s="48"/>
      <c r="M1" s="41"/>
      <c r="N1" s="41"/>
      <c r="O1" s="41"/>
      <c r="P1" s="41"/>
      <c r="Q1" s="202"/>
      <c r="R1" s="450" t="s">
        <v>1387</v>
      </c>
      <c r="S1" s="450"/>
      <c r="T1" s="450" t="s">
        <v>1388</v>
      </c>
      <c r="U1" s="450"/>
      <c r="V1" s="450" t="s">
        <v>1389</v>
      </c>
      <c r="W1" s="450"/>
      <c r="X1" s="450" t="s">
        <v>1390</v>
      </c>
      <c r="Y1" s="450"/>
      <c r="Z1" s="450" t="s">
        <v>1390</v>
      </c>
      <c r="AA1" s="450"/>
      <c r="AB1" s="451" t="s">
        <v>748</v>
      </c>
      <c r="AC1" s="451"/>
    </row>
    <row r="2" spans="1:29" ht="18.600000000000001" customHeight="1" x14ac:dyDescent="0.3">
      <c r="A2" s="28"/>
      <c r="B2" s="29"/>
      <c r="C2" s="30"/>
      <c r="D2" s="36"/>
      <c r="E2" s="28"/>
      <c r="F2" s="28"/>
      <c r="G2" s="28"/>
      <c r="H2" s="28"/>
      <c r="I2" s="79"/>
      <c r="J2" s="28"/>
      <c r="K2" s="28"/>
      <c r="L2" s="28"/>
      <c r="M2" s="28"/>
      <c r="N2" s="28"/>
      <c r="O2" s="28"/>
      <c r="P2" s="28"/>
      <c r="Q2" s="210" t="s">
        <v>1040</v>
      </c>
      <c r="R2" s="452">
        <f>SUBTOTAL(9,G5:G870)</f>
        <v>0</v>
      </c>
      <c r="S2" s="452"/>
      <c r="T2" s="452">
        <f>SUBTOTAL(9,I5:I240)</f>
        <v>2</v>
      </c>
      <c r="U2" s="452"/>
      <c r="V2" s="452">
        <f>SUBTOTAL(9,K5:K240)</f>
        <v>0</v>
      </c>
      <c r="W2" s="452"/>
      <c r="X2" s="452">
        <f>SUBTOTAL(9,M5:M1890)</f>
        <v>0</v>
      </c>
      <c r="Y2" s="452"/>
      <c r="Z2" s="452">
        <f>SUBTOTAL(9,O5:O1890)</f>
        <v>0</v>
      </c>
      <c r="AA2" s="452"/>
      <c r="AB2" s="452">
        <f>SUM(R2:Z2)</f>
        <v>2</v>
      </c>
      <c r="AC2" s="452"/>
    </row>
    <row r="3" spans="1:29" ht="18.600000000000001" customHeight="1" x14ac:dyDescent="0.3">
      <c r="A3" s="435" t="s">
        <v>374</v>
      </c>
      <c r="B3" s="435" t="s">
        <v>380</v>
      </c>
      <c r="C3" s="435" t="s">
        <v>383</v>
      </c>
      <c r="D3" s="437" t="s">
        <v>384</v>
      </c>
      <c r="E3" s="438" t="s">
        <v>385</v>
      </c>
      <c r="F3" s="439"/>
      <c r="G3" s="432" t="str">
        <f>$R$1</f>
        <v>Hè 1</v>
      </c>
      <c r="H3" s="433"/>
      <c r="I3" s="432" t="str">
        <f>$T$1</f>
        <v>Hè 2</v>
      </c>
      <c r="J3" s="433"/>
      <c r="K3" s="432" t="str">
        <f>V1</f>
        <v>Hè 3</v>
      </c>
      <c r="L3" s="433"/>
      <c r="M3" s="432" t="str">
        <f>$X$1</f>
        <v>.</v>
      </c>
      <c r="N3" s="433"/>
      <c r="O3" s="432" t="str">
        <f>$Z$1</f>
        <v>.</v>
      </c>
      <c r="P3" s="454"/>
      <c r="Q3" s="43" t="s">
        <v>91</v>
      </c>
      <c r="R3" s="447">
        <f t="shared" ref="R3" si="0">G30+G120</f>
        <v>0</v>
      </c>
      <c r="S3" s="447"/>
      <c r="T3" s="447">
        <f t="shared" ref="T3" si="1">I30+I120</f>
        <v>0</v>
      </c>
      <c r="U3" s="447"/>
      <c r="V3" s="447">
        <f t="shared" ref="V3" si="2">K30+K120</f>
        <v>0</v>
      </c>
      <c r="W3" s="447"/>
      <c r="X3" s="447">
        <f t="shared" ref="X3" si="3">M30+M120</f>
        <v>0</v>
      </c>
      <c r="Y3" s="447"/>
      <c r="Z3" s="447">
        <f t="shared" ref="Z3" si="4">O30+O120</f>
        <v>0</v>
      </c>
      <c r="AA3" s="447"/>
      <c r="AB3" s="455">
        <f t="shared" ref="AB3:AB6" si="5">SUM(R3:Z3)</f>
        <v>0</v>
      </c>
      <c r="AC3" s="455"/>
    </row>
    <row r="4" spans="1:29" ht="18.600000000000001" customHeight="1" x14ac:dyDescent="0.3">
      <c r="A4" s="436"/>
      <c r="B4" s="436"/>
      <c r="C4" s="436"/>
      <c r="D4" s="436"/>
      <c r="E4" s="31" t="s">
        <v>381</v>
      </c>
      <c r="F4" s="31" t="s">
        <v>382</v>
      </c>
      <c r="G4" s="31" t="s">
        <v>381</v>
      </c>
      <c r="H4" s="31" t="s">
        <v>382</v>
      </c>
      <c r="I4" s="80" t="s">
        <v>381</v>
      </c>
      <c r="J4" s="31" t="s">
        <v>382</v>
      </c>
      <c r="K4" s="80" t="s">
        <v>381</v>
      </c>
      <c r="L4" s="31" t="s">
        <v>382</v>
      </c>
      <c r="M4" s="31" t="s">
        <v>381</v>
      </c>
      <c r="N4" s="31" t="s">
        <v>382</v>
      </c>
      <c r="O4" s="31" t="s">
        <v>381</v>
      </c>
      <c r="P4" s="207" t="s">
        <v>382</v>
      </c>
      <c r="Q4" s="31" t="s">
        <v>123</v>
      </c>
      <c r="R4" s="447">
        <f>G90+G150+G180+G240</f>
        <v>0</v>
      </c>
      <c r="S4" s="447"/>
      <c r="T4" s="447">
        <f>I90+I150+I180+I240</f>
        <v>0</v>
      </c>
      <c r="U4" s="447"/>
      <c r="V4" s="447">
        <f>K90+K150+K180+K240</f>
        <v>0</v>
      </c>
      <c r="W4" s="447"/>
      <c r="X4" s="447">
        <f>M90+M150+M180+M240</f>
        <v>0</v>
      </c>
      <c r="Y4" s="447"/>
      <c r="Z4" s="447">
        <f>O90+O150+O180+O240</f>
        <v>0</v>
      </c>
      <c r="AA4" s="447"/>
      <c r="AB4" s="455">
        <f t="shared" si="5"/>
        <v>0</v>
      </c>
      <c r="AC4" s="455"/>
    </row>
    <row r="5" spans="1:29" ht="18.600000000000001" customHeight="1" x14ac:dyDescent="0.3">
      <c r="A5" s="32">
        <v>1</v>
      </c>
      <c r="B5" s="143"/>
      <c r="C5" s="143"/>
      <c r="D5" s="143"/>
      <c r="E5" s="32"/>
      <c r="F5" s="34"/>
      <c r="G5" s="32"/>
      <c r="H5" s="34"/>
      <c r="I5" s="81"/>
      <c r="J5" s="34"/>
      <c r="K5" s="34"/>
      <c r="L5" s="34"/>
      <c r="M5" s="32"/>
      <c r="N5" s="34"/>
      <c r="O5" s="32"/>
      <c r="P5" s="208"/>
      <c r="Q5" s="43" t="s">
        <v>34</v>
      </c>
      <c r="R5" s="447">
        <f>G270+G300+G330+G390+G420+G450+G480+G510+G540+G570+G600+G630+G660+G690</f>
        <v>0</v>
      </c>
      <c r="S5" s="447"/>
      <c r="T5" s="447">
        <f t="shared" ref="T5" si="6">I270+I300+I330+I390+I420+I450+I480+I510+I540+I570+I600+I630+I660+I690</f>
        <v>0</v>
      </c>
      <c r="U5" s="447"/>
      <c r="V5" s="447">
        <f t="shared" ref="V5" si="7">K270+K300+K330+K390+K420+K450+K480+K510+K540+K570+K600+K630+K660+K690</f>
        <v>0</v>
      </c>
      <c r="W5" s="447"/>
      <c r="X5" s="447">
        <f t="shared" ref="X5" si="8">M270+M300+M330+M390+M420+M450+M480+M510+M540+M570+M600+M630+M660+M690</f>
        <v>0</v>
      </c>
      <c r="Y5" s="447"/>
      <c r="Z5" s="447">
        <f t="shared" ref="Z5" si="9">O270+O300+O330+O390+O420+O450+O480+O510+O540+O570+O600+O630+O660+O690</f>
        <v>0</v>
      </c>
      <c r="AA5" s="447"/>
      <c r="AB5" s="455">
        <f t="shared" si="5"/>
        <v>0</v>
      </c>
      <c r="AC5" s="455"/>
    </row>
    <row r="6" spans="1:29" ht="18.600000000000001" customHeight="1" x14ac:dyDescent="0.3">
      <c r="A6" s="7">
        <f t="shared" ref="A6:A29" si="10">A5+1</f>
        <v>2</v>
      </c>
      <c r="B6" s="143"/>
      <c r="C6" s="143"/>
      <c r="D6" s="143"/>
      <c r="E6" s="7"/>
      <c r="F6" s="7"/>
      <c r="G6" s="7"/>
      <c r="H6" s="7"/>
      <c r="I6" s="82"/>
      <c r="J6" s="7"/>
      <c r="K6" s="7"/>
      <c r="L6" s="7"/>
      <c r="M6" s="7"/>
      <c r="N6" s="7"/>
      <c r="O6" s="7"/>
      <c r="P6" s="209"/>
      <c r="Q6" s="43" t="s">
        <v>108</v>
      </c>
      <c r="R6" s="447">
        <f>G720+G750+G780+G810+G840+G870</f>
        <v>0</v>
      </c>
      <c r="S6" s="447"/>
      <c r="T6" s="447">
        <f t="shared" ref="T6" si="11">I720+I750+I780+I810+I840+I870</f>
        <v>0</v>
      </c>
      <c r="U6" s="447"/>
      <c r="V6" s="447">
        <f t="shared" ref="V6" si="12">K720+K750+K780+K810+K840+K870</f>
        <v>0</v>
      </c>
      <c r="W6" s="447"/>
      <c r="X6" s="447">
        <f t="shared" ref="X6" si="13">M720+M750+M780+M810+M840+M870</f>
        <v>0</v>
      </c>
      <c r="Y6" s="447"/>
      <c r="Z6" s="447">
        <f t="shared" ref="Z6" si="14">O720+O750+O780+O810+O840+O870</f>
        <v>0</v>
      </c>
      <c r="AA6" s="447"/>
      <c r="AB6" s="455">
        <f t="shared" si="5"/>
        <v>0</v>
      </c>
      <c r="AC6" s="455"/>
    </row>
    <row r="7" spans="1:29" ht="18.600000000000001" customHeight="1" x14ac:dyDescent="0.2">
      <c r="A7" s="7">
        <f t="shared" si="10"/>
        <v>3</v>
      </c>
      <c r="B7" s="26"/>
      <c r="C7" s="26"/>
      <c r="D7" s="26"/>
      <c r="E7" s="7"/>
      <c r="F7" s="7"/>
      <c r="G7" s="7"/>
      <c r="H7" s="7"/>
      <c r="I7" s="82"/>
      <c r="J7" s="7"/>
      <c r="K7" s="7"/>
      <c r="L7" s="7"/>
      <c r="M7" s="7"/>
      <c r="N7" s="7"/>
      <c r="O7" s="7"/>
      <c r="P7" s="7"/>
      <c r="R7" s="457">
        <f>SUM9</f>
        <v>0</v>
      </c>
      <c r="S7" s="457"/>
      <c r="T7" s="457">
        <f t="shared" ref="T7" si="15">SUO9</f>
        <v>0</v>
      </c>
      <c r="U7" s="457"/>
      <c r="V7" s="457">
        <f t="shared" ref="V7" si="16">SUQ9</f>
        <v>0</v>
      </c>
      <c r="W7" s="457"/>
      <c r="X7" s="457">
        <f t="shared" ref="X7" si="17">SUS9</f>
        <v>0</v>
      </c>
      <c r="Y7" s="457"/>
      <c r="Z7" s="457">
        <f t="shared" ref="Z7" si="18">SUU9</f>
        <v>0</v>
      </c>
      <c r="AA7" s="457"/>
      <c r="AB7" s="457">
        <f t="shared" ref="AB7" si="19">SUW9</f>
        <v>0</v>
      </c>
      <c r="AC7" s="457"/>
    </row>
    <row r="8" spans="1:29" ht="18.600000000000001" customHeight="1" x14ac:dyDescent="0.3">
      <c r="A8" s="7">
        <f t="shared" si="10"/>
        <v>4</v>
      </c>
      <c r="B8" s="143"/>
      <c r="C8" s="143"/>
      <c r="D8" s="143"/>
      <c r="E8" s="7"/>
      <c r="F8" s="7"/>
      <c r="G8" s="7"/>
      <c r="H8" s="7"/>
      <c r="I8" s="82"/>
      <c r="J8" s="7"/>
      <c r="K8" s="7"/>
      <c r="L8" s="7"/>
      <c r="M8" s="7"/>
      <c r="N8" s="7"/>
      <c r="O8" s="7"/>
      <c r="P8" s="7"/>
      <c r="Z8" s="91"/>
    </row>
    <row r="9" spans="1:29" ht="18.600000000000001" customHeight="1" x14ac:dyDescent="0.3">
      <c r="A9" s="6">
        <f t="shared" si="10"/>
        <v>5</v>
      </c>
      <c r="B9" s="143"/>
      <c r="C9" s="143"/>
      <c r="D9" s="143"/>
      <c r="E9" s="16"/>
      <c r="F9" s="16"/>
      <c r="G9" s="16"/>
      <c r="H9" s="16"/>
      <c r="I9" s="83"/>
      <c r="J9" s="16"/>
      <c r="K9" s="16"/>
      <c r="L9" s="16"/>
      <c r="M9" s="16"/>
      <c r="N9" s="16"/>
      <c r="O9" s="16"/>
      <c r="P9" s="16"/>
      <c r="R9" s="18"/>
      <c r="S9" s="431" t="s">
        <v>403</v>
      </c>
      <c r="T9" s="431"/>
      <c r="U9" s="18"/>
      <c r="V9" s="18"/>
      <c r="W9" s="18"/>
      <c r="X9" s="18"/>
    </row>
    <row r="10" spans="1:29" ht="18.600000000000001" customHeight="1" x14ac:dyDescent="0.3">
      <c r="A10" s="56">
        <f t="shared" si="10"/>
        <v>6</v>
      </c>
      <c r="B10" s="25"/>
      <c r="C10" s="25"/>
      <c r="D10" s="24"/>
      <c r="E10" s="2"/>
      <c r="F10" s="2"/>
      <c r="G10" s="2"/>
      <c r="H10" s="2"/>
      <c r="I10" s="84"/>
      <c r="J10" s="2"/>
      <c r="K10" s="2"/>
      <c r="L10" s="2"/>
      <c r="M10" s="2"/>
      <c r="N10" s="2"/>
      <c r="O10" s="2"/>
      <c r="P10" s="2"/>
      <c r="R10" s="18">
        <v>1</v>
      </c>
      <c r="S10" s="18" t="s">
        <v>404</v>
      </c>
      <c r="T10" s="18"/>
      <c r="U10" s="18"/>
      <c r="V10" s="18"/>
      <c r="W10" s="18"/>
      <c r="X10" s="18"/>
    </row>
    <row r="11" spans="1:29" ht="18.600000000000001" customHeight="1" x14ac:dyDescent="0.3">
      <c r="A11" s="6">
        <f t="shared" si="10"/>
        <v>7</v>
      </c>
      <c r="B11" s="143"/>
      <c r="C11" s="143"/>
      <c r="D11" s="143"/>
      <c r="E11" s="4"/>
      <c r="F11" s="4"/>
      <c r="G11" s="4"/>
      <c r="H11" s="4"/>
      <c r="I11" s="85"/>
      <c r="J11" s="4"/>
      <c r="K11" s="4"/>
      <c r="L11" s="4"/>
      <c r="M11" s="4"/>
      <c r="N11" s="4"/>
      <c r="O11" s="4"/>
      <c r="P11" s="4"/>
      <c r="R11" s="18">
        <v>2</v>
      </c>
      <c r="S11" s="18" t="s">
        <v>405</v>
      </c>
      <c r="T11" s="18"/>
      <c r="U11" s="18"/>
      <c r="V11" s="18"/>
      <c r="W11" s="18"/>
      <c r="X11" s="18"/>
    </row>
    <row r="12" spans="1:29" ht="18.600000000000001" customHeight="1" x14ac:dyDescent="0.3">
      <c r="A12" s="6">
        <f t="shared" si="10"/>
        <v>8</v>
      </c>
      <c r="B12" s="143"/>
      <c r="C12" s="143"/>
      <c r="D12" s="143"/>
      <c r="E12" s="4"/>
      <c r="F12" s="4"/>
      <c r="G12" s="4"/>
      <c r="H12" s="4"/>
      <c r="I12" s="85"/>
      <c r="J12" s="4"/>
      <c r="K12" s="4"/>
      <c r="L12" s="4"/>
      <c r="M12" s="4"/>
      <c r="N12" s="4"/>
      <c r="O12" s="4"/>
      <c r="P12" s="4"/>
      <c r="R12" s="18">
        <v>3</v>
      </c>
      <c r="S12" s="18" t="s">
        <v>406</v>
      </c>
      <c r="T12" s="18"/>
      <c r="U12" s="18"/>
      <c r="V12" s="18"/>
      <c r="W12" s="18"/>
      <c r="X12" s="18"/>
    </row>
    <row r="13" spans="1:29" ht="18.600000000000001" customHeight="1" x14ac:dyDescent="0.3">
      <c r="A13" s="6">
        <f t="shared" si="10"/>
        <v>9</v>
      </c>
      <c r="B13" s="25"/>
      <c r="C13" s="25"/>
      <c r="D13" s="24"/>
      <c r="E13" s="4"/>
      <c r="F13" s="4"/>
      <c r="G13" s="4"/>
      <c r="H13" s="4"/>
      <c r="I13" s="85"/>
      <c r="J13" s="4"/>
      <c r="K13" s="4"/>
      <c r="L13" s="4"/>
      <c r="M13" s="4"/>
      <c r="N13" s="4"/>
      <c r="O13" s="4"/>
      <c r="P13" s="4"/>
      <c r="R13" s="18">
        <v>4</v>
      </c>
      <c r="S13" s="18" t="s">
        <v>407</v>
      </c>
      <c r="T13" s="18"/>
      <c r="U13" s="18"/>
      <c r="V13" s="18"/>
      <c r="W13" s="18"/>
      <c r="X13" s="18"/>
    </row>
    <row r="14" spans="1:29" ht="18.600000000000001" customHeight="1" x14ac:dyDescent="0.3">
      <c r="A14" s="10">
        <f t="shared" si="10"/>
        <v>10</v>
      </c>
      <c r="B14" s="143"/>
      <c r="C14" s="143"/>
      <c r="D14" s="143"/>
      <c r="E14" s="12"/>
      <c r="F14" s="12"/>
      <c r="G14" s="12"/>
      <c r="H14" s="12"/>
      <c r="I14" s="86"/>
      <c r="J14" s="12"/>
      <c r="K14" s="12"/>
      <c r="L14" s="12"/>
      <c r="M14" s="12"/>
      <c r="N14" s="12"/>
      <c r="O14" s="12"/>
      <c r="P14" s="12"/>
      <c r="R14" s="18">
        <v>5</v>
      </c>
      <c r="S14" s="18" t="s">
        <v>408</v>
      </c>
      <c r="T14" s="18"/>
      <c r="U14" s="18"/>
      <c r="V14" s="18"/>
      <c r="W14" s="18"/>
      <c r="X14" s="18"/>
    </row>
    <row r="15" spans="1:29" ht="18.600000000000001" customHeight="1" x14ac:dyDescent="0.2">
      <c r="A15" s="35">
        <f t="shared" si="10"/>
        <v>11</v>
      </c>
      <c r="B15" s="26"/>
      <c r="C15" s="26"/>
      <c r="D15" s="26"/>
      <c r="E15" s="14"/>
      <c r="F15" s="14"/>
      <c r="G15" s="14"/>
      <c r="H15" s="14"/>
      <c r="I15" s="87"/>
      <c r="J15" s="14"/>
      <c r="K15" s="14"/>
      <c r="L15" s="14"/>
      <c r="M15" s="14"/>
      <c r="N15" s="14"/>
      <c r="O15" s="14"/>
      <c r="P15" s="14"/>
    </row>
    <row r="16" spans="1:29" ht="18.600000000000001" customHeight="1" x14ac:dyDescent="0.2">
      <c r="A16" s="7">
        <f t="shared" si="10"/>
        <v>12</v>
      </c>
      <c r="B16" s="25"/>
      <c r="C16" s="25"/>
      <c r="D16" s="24"/>
      <c r="E16" s="4"/>
      <c r="F16" s="4"/>
      <c r="G16" s="4"/>
      <c r="H16" s="4"/>
      <c r="I16" s="85"/>
      <c r="J16" s="4"/>
      <c r="K16" s="4"/>
      <c r="L16" s="4"/>
      <c r="M16" s="4"/>
      <c r="N16" s="4"/>
      <c r="O16" s="4"/>
      <c r="P16" s="4"/>
    </row>
    <row r="17" spans="1:19" ht="18.600000000000001" customHeight="1" x14ac:dyDescent="0.3">
      <c r="A17" s="7">
        <f t="shared" si="10"/>
        <v>13</v>
      </c>
      <c r="B17" s="25"/>
      <c r="C17" s="25"/>
      <c r="D17" s="24"/>
      <c r="E17" s="4"/>
      <c r="F17" s="4"/>
      <c r="G17" s="4"/>
      <c r="H17" s="4"/>
      <c r="I17" s="85"/>
      <c r="J17" s="4"/>
      <c r="K17" s="4"/>
      <c r="L17" s="4"/>
      <c r="M17" s="4"/>
      <c r="N17" s="4"/>
      <c r="O17" s="4"/>
      <c r="P17" s="4"/>
      <c r="S17" s="18" t="s">
        <v>856</v>
      </c>
    </row>
    <row r="18" spans="1:19" ht="18.600000000000001" customHeight="1" x14ac:dyDescent="0.3">
      <c r="A18" s="7">
        <f t="shared" si="10"/>
        <v>14</v>
      </c>
      <c r="B18" s="143"/>
      <c r="C18" s="143"/>
      <c r="D18" s="143"/>
      <c r="E18" s="4"/>
      <c r="F18" s="4"/>
      <c r="G18" s="4"/>
      <c r="H18" s="4"/>
      <c r="I18" s="85"/>
      <c r="J18" s="4"/>
      <c r="K18" s="4"/>
      <c r="L18" s="4"/>
      <c r="M18" s="4"/>
      <c r="N18" s="4"/>
      <c r="O18" s="4"/>
      <c r="P18" s="4"/>
    </row>
    <row r="19" spans="1:19" ht="18.600000000000001" customHeight="1" x14ac:dyDescent="0.2">
      <c r="A19" s="6">
        <f t="shared" si="10"/>
        <v>15</v>
      </c>
      <c r="B19" s="25"/>
      <c r="C19" s="25"/>
      <c r="D19" s="24"/>
      <c r="E19" s="16"/>
      <c r="F19" s="16"/>
      <c r="G19" s="16"/>
      <c r="H19" s="16"/>
      <c r="I19" s="83"/>
      <c r="J19" s="16"/>
      <c r="K19" s="16"/>
      <c r="L19" s="16"/>
      <c r="M19" s="16"/>
      <c r="N19" s="16"/>
      <c r="O19" s="16"/>
      <c r="P19" s="16"/>
    </row>
    <row r="20" spans="1:19" ht="18.600000000000001" customHeight="1" x14ac:dyDescent="0.2">
      <c r="A20" s="32">
        <f t="shared" si="10"/>
        <v>16</v>
      </c>
      <c r="B20" s="25"/>
      <c r="C20" s="25"/>
      <c r="D20" s="24"/>
      <c r="E20" s="2"/>
      <c r="F20" s="2"/>
      <c r="G20" s="2"/>
      <c r="H20" s="2"/>
      <c r="I20" s="84"/>
      <c r="J20" s="2"/>
      <c r="K20" s="2"/>
      <c r="L20" s="2"/>
      <c r="M20" s="2"/>
      <c r="N20" s="2"/>
      <c r="O20" s="2"/>
      <c r="P20" s="2"/>
    </row>
    <row r="21" spans="1:19" ht="18.600000000000001" customHeight="1" x14ac:dyDescent="0.2">
      <c r="A21" s="7">
        <f t="shared" si="10"/>
        <v>17</v>
      </c>
      <c r="B21" s="3"/>
      <c r="C21" s="4"/>
      <c r="D21" s="8"/>
      <c r="E21" s="4"/>
      <c r="F21" s="4"/>
      <c r="G21" s="4"/>
      <c r="H21" s="4"/>
      <c r="I21" s="85"/>
      <c r="J21" s="4"/>
      <c r="K21" s="4"/>
      <c r="L21" s="4"/>
      <c r="M21" s="4"/>
      <c r="N21" s="4"/>
      <c r="O21" s="4"/>
      <c r="P21" s="4"/>
    </row>
    <row r="22" spans="1:19" ht="18.600000000000001" customHeight="1" x14ac:dyDescent="0.2">
      <c r="A22" s="7">
        <f t="shared" si="10"/>
        <v>18</v>
      </c>
      <c r="B22" s="3"/>
      <c r="C22" s="4"/>
      <c r="D22" s="8"/>
      <c r="E22" s="4"/>
      <c r="F22" s="4"/>
      <c r="G22" s="4"/>
      <c r="H22" s="4"/>
      <c r="I22" s="85"/>
      <c r="J22" s="4"/>
      <c r="K22" s="4"/>
      <c r="L22" s="4"/>
      <c r="M22" s="4"/>
      <c r="N22" s="4"/>
      <c r="O22" s="4"/>
      <c r="P22" s="4"/>
    </row>
    <row r="23" spans="1:19" ht="18.600000000000001" customHeight="1" x14ac:dyDescent="0.2">
      <c r="A23" s="7">
        <f t="shared" si="10"/>
        <v>19</v>
      </c>
      <c r="B23" s="3"/>
      <c r="C23" s="4"/>
      <c r="D23" s="8"/>
      <c r="E23" s="4"/>
      <c r="F23" s="4"/>
      <c r="G23" s="4"/>
      <c r="H23" s="4"/>
      <c r="I23" s="85"/>
      <c r="J23" s="4"/>
      <c r="K23" s="4"/>
      <c r="L23" s="4"/>
      <c r="M23" s="4"/>
      <c r="N23" s="4"/>
      <c r="O23" s="4"/>
      <c r="P23" s="4"/>
    </row>
    <row r="24" spans="1:19" ht="18.600000000000001" customHeight="1" x14ac:dyDescent="0.2">
      <c r="A24" s="10">
        <f t="shared" si="10"/>
        <v>20</v>
      </c>
      <c r="B24" s="11"/>
      <c r="C24" s="12"/>
      <c r="D24" s="9"/>
      <c r="E24" s="12"/>
      <c r="F24" s="12"/>
      <c r="G24" s="12"/>
      <c r="H24" s="12"/>
      <c r="I24" s="86"/>
      <c r="J24" s="12"/>
      <c r="K24" s="12"/>
      <c r="L24" s="12"/>
      <c r="M24" s="12"/>
      <c r="N24" s="12"/>
      <c r="O24" s="12"/>
      <c r="P24" s="12"/>
    </row>
    <row r="25" spans="1:19" ht="18.600000000000001" customHeight="1" x14ac:dyDescent="0.2">
      <c r="A25" s="35">
        <f t="shared" si="10"/>
        <v>21</v>
      </c>
      <c r="B25" s="13"/>
      <c r="C25" s="14"/>
      <c r="D25" s="37"/>
      <c r="E25" s="14"/>
      <c r="F25" s="14"/>
      <c r="G25" s="14"/>
      <c r="H25" s="14"/>
      <c r="I25" s="87"/>
      <c r="J25" s="14"/>
      <c r="K25" s="14"/>
      <c r="L25" s="14"/>
      <c r="M25" s="14"/>
      <c r="N25" s="14"/>
      <c r="O25" s="14"/>
      <c r="P25" s="14"/>
    </row>
    <row r="26" spans="1:19" ht="18.600000000000001" customHeight="1" x14ac:dyDescent="0.2">
      <c r="A26" s="7">
        <f t="shared" si="10"/>
        <v>22</v>
      </c>
      <c r="B26" s="3"/>
      <c r="C26" s="4"/>
      <c r="D26" s="8"/>
      <c r="E26" s="4"/>
      <c r="F26" s="4"/>
      <c r="G26" s="4"/>
      <c r="H26" s="4"/>
      <c r="I26" s="85"/>
      <c r="J26" s="4"/>
      <c r="K26" s="4"/>
      <c r="L26" s="4"/>
      <c r="M26" s="4"/>
      <c r="N26" s="4"/>
      <c r="O26" s="4"/>
      <c r="P26" s="4"/>
    </row>
    <row r="27" spans="1:19" ht="18.600000000000001" customHeight="1" x14ac:dyDescent="0.2">
      <c r="A27" s="35">
        <f t="shared" si="10"/>
        <v>23</v>
      </c>
      <c r="B27" s="3"/>
      <c r="C27" s="4"/>
      <c r="D27" s="8"/>
      <c r="E27" s="4"/>
      <c r="F27" s="4"/>
      <c r="G27" s="4"/>
      <c r="H27" s="4"/>
      <c r="I27" s="85"/>
      <c r="J27" s="4"/>
      <c r="K27" s="4"/>
      <c r="L27" s="4"/>
      <c r="M27" s="4"/>
      <c r="N27" s="4"/>
      <c r="O27" s="4"/>
      <c r="P27" s="4"/>
    </row>
    <row r="28" spans="1:19" ht="18.600000000000001" customHeight="1" x14ac:dyDescent="0.2">
      <c r="A28" s="7">
        <f t="shared" si="10"/>
        <v>24</v>
      </c>
      <c r="B28" s="3"/>
      <c r="C28" s="4"/>
      <c r="D28" s="8"/>
      <c r="E28" s="4"/>
      <c r="F28" s="4"/>
      <c r="G28" s="4"/>
      <c r="H28" s="4"/>
      <c r="I28" s="85"/>
      <c r="J28" s="4"/>
      <c r="K28" s="4"/>
      <c r="L28" s="4"/>
      <c r="M28" s="4"/>
      <c r="N28" s="4"/>
      <c r="O28" s="4"/>
      <c r="P28" s="4"/>
    </row>
    <row r="29" spans="1:19" ht="18.600000000000001" customHeight="1" x14ac:dyDescent="0.2">
      <c r="A29" s="35">
        <f t="shared" si="10"/>
        <v>25</v>
      </c>
      <c r="B29" s="11"/>
      <c r="C29" s="12"/>
      <c r="D29" s="9"/>
      <c r="E29" s="12"/>
      <c r="F29" s="12"/>
      <c r="G29" s="12"/>
      <c r="H29" s="12"/>
      <c r="I29" s="86"/>
      <c r="J29" s="12"/>
      <c r="K29" s="12"/>
      <c r="L29" s="12"/>
      <c r="M29" s="12"/>
      <c r="N29" s="12"/>
      <c r="O29" s="12"/>
      <c r="P29" s="12"/>
    </row>
    <row r="30" spans="1:19" ht="18.600000000000001" customHeight="1" x14ac:dyDescent="0.3">
      <c r="A30" s="147"/>
      <c r="B30" s="148"/>
      <c r="C30" s="147"/>
      <c r="D30" s="149"/>
      <c r="E30" s="150">
        <f>SUBTOTAL(9,E5:E29)</f>
        <v>0</v>
      </c>
      <c r="F30" s="151"/>
      <c r="G30" s="150">
        <f t="shared" ref="G30" si="20">SUBTOTAL(9,G5:G29)</f>
        <v>0</v>
      </c>
      <c r="H30" s="151"/>
      <c r="I30" s="150">
        <f t="shared" ref="I30" si="21">SUBTOTAL(9,I5:I29)</f>
        <v>0</v>
      </c>
      <c r="J30" s="151"/>
      <c r="K30" s="151"/>
      <c r="L30" s="151"/>
      <c r="M30" s="150">
        <f t="shared" ref="M30" si="22">SUBTOTAL(9,M5:M29)</f>
        <v>0</v>
      </c>
      <c r="N30" s="151"/>
      <c r="O30" s="150">
        <f t="shared" ref="O30" si="23">SUBTOTAL(9,O5:O29)</f>
        <v>0</v>
      </c>
      <c r="P30" s="151"/>
    </row>
    <row r="31" spans="1:19" ht="18.600000000000001" customHeight="1" x14ac:dyDescent="0.2">
      <c r="A31" s="434" t="s">
        <v>1022</v>
      </c>
      <c r="B31" s="434"/>
      <c r="C31" s="434"/>
      <c r="D31" s="434"/>
      <c r="E31" s="434"/>
      <c r="F31" s="434"/>
      <c r="G31" s="434"/>
      <c r="H31" s="434"/>
      <c r="I31" s="92">
        <v>2</v>
      </c>
      <c r="J31" s="48"/>
      <c r="K31" s="48"/>
      <c r="L31" s="48"/>
      <c r="M31" s="41"/>
      <c r="N31" s="41"/>
      <c r="O31" s="41"/>
      <c r="P31" s="41"/>
    </row>
    <row r="32" spans="1:19" ht="18.600000000000001" customHeight="1" x14ac:dyDescent="0.2">
      <c r="A32" s="28"/>
      <c r="B32" s="29"/>
      <c r="C32" s="30"/>
      <c r="D32" s="36"/>
      <c r="E32" s="28"/>
      <c r="F32" s="28"/>
      <c r="G32" s="28"/>
      <c r="H32" s="28"/>
      <c r="I32" s="79"/>
      <c r="J32" s="28"/>
      <c r="K32" s="28"/>
      <c r="L32" s="28"/>
      <c r="M32" s="28"/>
      <c r="N32" s="28"/>
      <c r="O32" s="28"/>
      <c r="P32" s="28"/>
    </row>
    <row r="33" spans="1:16" ht="18.600000000000001" customHeight="1" x14ac:dyDescent="0.2">
      <c r="A33" s="435" t="s">
        <v>374</v>
      </c>
      <c r="B33" s="435" t="s">
        <v>380</v>
      </c>
      <c r="C33" s="435" t="s">
        <v>383</v>
      </c>
      <c r="D33" s="437" t="s">
        <v>384</v>
      </c>
      <c r="E33" s="438" t="s">
        <v>385</v>
      </c>
      <c r="F33" s="439"/>
      <c r="G33" s="432" t="str">
        <f>$R$1</f>
        <v>Hè 1</v>
      </c>
      <c r="H33" s="433"/>
      <c r="I33" s="432" t="str">
        <f>$T$1</f>
        <v>Hè 2</v>
      </c>
      <c r="J33" s="433"/>
      <c r="K33" s="432" t="str">
        <f>V1</f>
        <v>Hè 3</v>
      </c>
      <c r="L33" s="433"/>
      <c r="M33" s="432" t="str">
        <f>$X$1</f>
        <v>.</v>
      </c>
      <c r="N33" s="433"/>
      <c r="O33" s="432" t="str">
        <f>$Z$1</f>
        <v>.</v>
      </c>
      <c r="P33" s="454"/>
    </row>
    <row r="34" spans="1:16" ht="18.600000000000001" customHeight="1" x14ac:dyDescent="0.2">
      <c r="A34" s="436"/>
      <c r="B34" s="436"/>
      <c r="C34" s="436"/>
      <c r="D34" s="436"/>
      <c r="E34" s="31" t="s">
        <v>381</v>
      </c>
      <c r="F34" s="31" t="s">
        <v>382</v>
      </c>
      <c r="G34" s="31" t="s">
        <v>381</v>
      </c>
      <c r="H34" s="31" t="s">
        <v>382</v>
      </c>
      <c r="I34" s="80" t="s">
        <v>381</v>
      </c>
      <c r="J34" s="31" t="s">
        <v>382</v>
      </c>
      <c r="K34" s="80" t="s">
        <v>381</v>
      </c>
      <c r="L34" s="31" t="s">
        <v>382</v>
      </c>
      <c r="M34" s="31" t="s">
        <v>381</v>
      </c>
      <c r="N34" s="31" t="s">
        <v>382</v>
      </c>
      <c r="O34" s="31" t="s">
        <v>381</v>
      </c>
      <c r="P34" s="207" t="s">
        <v>382</v>
      </c>
    </row>
    <row r="35" spans="1:16" ht="18.600000000000001" customHeight="1" x14ac:dyDescent="0.3">
      <c r="A35" s="32">
        <v>1</v>
      </c>
      <c r="B35" s="39"/>
      <c r="C35" s="24"/>
      <c r="D35" s="163"/>
      <c r="E35" s="32"/>
      <c r="F35" s="34"/>
      <c r="G35" s="32"/>
      <c r="H35" s="34"/>
      <c r="I35" s="81"/>
      <c r="J35" s="34"/>
      <c r="K35" s="34"/>
      <c r="L35" s="34"/>
      <c r="M35" s="32"/>
      <c r="N35" s="34"/>
      <c r="O35" s="32"/>
      <c r="P35" s="208"/>
    </row>
    <row r="36" spans="1:16" ht="18.600000000000001" customHeight="1" x14ac:dyDescent="0.3">
      <c r="A36" s="7">
        <f t="shared" ref="A36:A59" si="24">A35+1</f>
        <v>2</v>
      </c>
      <c r="B36" s="39"/>
      <c r="C36" s="24"/>
      <c r="D36" s="163"/>
      <c r="E36" s="7"/>
      <c r="F36" s="7"/>
      <c r="G36" s="7"/>
      <c r="H36" s="7"/>
      <c r="I36" s="82"/>
      <c r="J36" s="7"/>
      <c r="K36" s="7"/>
      <c r="L36" s="7"/>
      <c r="M36" s="7"/>
      <c r="N36" s="7"/>
      <c r="O36" s="7"/>
      <c r="P36" s="209"/>
    </row>
    <row r="37" spans="1:16" ht="18.600000000000001" customHeight="1" x14ac:dyDescent="0.3">
      <c r="A37" s="7">
        <f t="shared" si="24"/>
        <v>3</v>
      </c>
      <c r="B37" s="39"/>
      <c r="C37" s="24"/>
      <c r="D37" s="163"/>
      <c r="E37" s="7"/>
      <c r="F37" s="7"/>
      <c r="G37" s="7"/>
      <c r="H37" s="7"/>
      <c r="I37" s="82"/>
      <c r="J37" s="7"/>
      <c r="K37" s="7"/>
      <c r="L37" s="7"/>
      <c r="M37" s="7"/>
      <c r="N37" s="7"/>
      <c r="O37" s="7"/>
      <c r="P37" s="7"/>
    </row>
    <row r="38" spans="1:16" ht="18.600000000000001" customHeight="1" x14ac:dyDescent="0.3">
      <c r="A38" s="7">
        <f t="shared" si="24"/>
        <v>4</v>
      </c>
      <c r="B38" s="39"/>
      <c r="C38" s="24"/>
      <c r="D38" s="163"/>
      <c r="E38" s="7"/>
      <c r="F38" s="7"/>
      <c r="G38" s="7"/>
      <c r="H38" s="7"/>
      <c r="I38" s="82"/>
      <c r="J38" s="7"/>
      <c r="K38" s="7"/>
      <c r="L38" s="7"/>
      <c r="M38" s="7"/>
      <c r="N38" s="7"/>
      <c r="O38" s="7"/>
      <c r="P38" s="7"/>
    </row>
    <row r="39" spans="1:16" ht="18.600000000000001" customHeight="1" x14ac:dyDescent="0.3">
      <c r="A39" s="6">
        <f t="shared" si="24"/>
        <v>5</v>
      </c>
      <c r="B39" s="39"/>
      <c r="C39" s="24"/>
      <c r="D39" s="163"/>
      <c r="E39" s="16"/>
      <c r="F39" s="16"/>
      <c r="G39" s="16"/>
      <c r="H39" s="16"/>
      <c r="I39" s="83"/>
      <c r="J39" s="16"/>
      <c r="K39" s="16"/>
      <c r="L39" s="16"/>
      <c r="M39" s="16"/>
      <c r="N39" s="16"/>
      <c r="O39" s="16"/>
      <c r="P39" s="16"/>
    </row>
    <row r="40" spans="1:16" ht="18.600000000000001" customHeight="1" x14ac:dyDescent="0.3">
      <c r="A40" s="56">
        <f t="shared" si="24"/>
        <v>6</v>
      </c>
      <c r="B40" s="39"/>
      <c r="C40" s="24"/>
      <c r="D40" s="163"/>
      <c r="E40" s="2"/>
      <c r="F40" s="2"/>
      <c r="G40" s="2"/>
      <c r="H40" s="2"/>
      <c r="I40" s="84"/>
      <c r="J40" s="2"/>
      <c r="K40" s="2"/>
      <c r="L40" s="2"/>
      <c r="M40" s="2"/>
      <c r="N40" s="2"/>
      <c r="O40" s="2"/>
      <c r="P40" s="2"/>
    </row>
    <row r="41" spans="1:16" ht="18.600000000000001" customHeight="1" x14ac:dyDescent="0.3">
      <c r="A41" s="6">
        <f t="shared" si="24"/>
        <v>7</v>
      </c>
      <c r="B41" s="39"/>
      <c r="C41" s="24"/>
      <c r="D41" s="163"/>
      <c r="E41" s="4"/>
      <c r="F41" s="4"/>
      <c r="G41" s="4"/>
      <c r="H41" s="4"/>
      <c r="I41" s="85"/>
      <c r="J41" s="4"/>
      <c r="K41" s="4"/>
      <c r="L41" s="4"/>
      <c r="M41" s="4"/>
      <c r="N41" s="4"/>
      <c r="O41" s="4"/>
      <c r="P41" s="4"/>
    </row>
    <row r="42" spans="1:16" ht="18.600000000000001" customHeight="1" x14ac:dyDescent="0.2">
      <c r="A42" s="6">
        <f t="shared" si="24"/>
        <v>8</v>
      </c>
      <c r="B42" s="25"/>
      <c r="C42" s="25"/>
      <c r="D42" s="24"/>
      <c r="E42" s="4"/>
      <c r="F42" s="4"/>
      <c r="G42" s="4"/>
      <c r="H42" s="4"/>
      <c r="I42" s="85"/>
      <c r="J42" s="4"/>
      <c r="K42" s="4"/>
      <c r="L42" s="4"/>
      <c r="M42" s="4"/>
      <c r="N42" s="4"/>
      <c r="O42" s="4"/>
      <c r="P42" s="4"/>
    </row>
    <row r="43" spans="1:16" ht="18.600000000000001" customHeight="1" x14ac:dyDescent="0.3">
      <c r="A43" s="6">
        <f t="shared" si="24"/>
        <v>9</v>
      </c>
      <c r="B43" s="143"/>
      <c r="C43" s="143"/>
      <c r="D43" s="143"/>
      <c r="E43" s="4"/>
      <c r="F43" s="4"/>
      <c r="G43" s="4"/>
      <c r="H43" s="4"/>
      <c r="I43" s="85"/>
      <c r="J43" s="4"/>
      <c r="K43" s="4"/>
      <c r="L43" s="4"/>
      <c r="M43" s="4"/>
      <c r="N43" s="4"/>
      <c r="O43" s="4"/>
      <c r="P43" s="4"/>
    </row>
    <row r="44" spans="1:16" ht="18.600000000000001" customHeight="1" x14ac:dyDescent="0.2">
      <c r="A44" s="10">
        <f t="shared" si="24"/>
        <v>10</v>
      </c>
      <c r="B44" s="25"/>
      <c r="C44" s="25"/>
      <c r="D44" s="24"/>
      <c r="E44" s="12"/>
      <c r="F44" s="12"/>
      <c r="G44" s="12"/>
      <c r="H44" s="12"/>
      <c r="I44" s="86"/>
      <c r="J44" s="12"/>
      <c r="K44" s="12"/>
      <c r="L44" s="12"/>
      <c r="M44" s="12"/>
      <c r="N44" s="12"/>
      <c r="O44" s="12"/>
      <c r="P44" s="12"/>
    </row>
    <row r="45" spans="1:16" ht="18.600000000000001" customHeight="1" x14ac:dyDescent="0.3">
      <c r="A45" s="35">
        <f t="shared" si="24"/>
        <v>11</v>
      </c>
      <c r="B45" s="143"/>
      <c r="C45" s="143"/>
      <c r="D45" s="143"/>
      <c r="E45" s="14"/>
      <c r="F45" s="14"/>
      <c r="G45" s="14"/>
      <c r="H45" s="14"/>
      <c r="I45" s="87"/>
      <c r="J45" s="14"/>
      <c r="K45" s="14"/>
      <c r="L45" s="14"/>
      <c r="M45" s="14"/>
      <c r="N45" s="14"/>
      <c r="O45" s="14"/>
      <c r="P45" s="14"/>
    </row>
    <row r="46" spans="1:16" ht="18.600000000000001" customHeight="1" x14ac:dyDescent="0.3">
      <c r="A46" s="7">
        <f t="shared" si="24"/>
        <v>12</v>
      </c>
      <c r="B46" s="143"/>
      <c r="C46" s="143"/>
      <c r="D46" s="143"/>
      <c r="E46" s="4"/>
      <c r="F46" s="4"/>
      <c r="G46" s="4"/>
      <c r="H46" s="4"/>
      <c r="I46" s="85"/>
      <c r="J46" s="4"/>
      <c r="K46" s="4"/>
      <c r="L46" s="4"/>
      <c r="M46" s="4"/>
      <c r="N46" s="4"/>
      <c r="O46" s="4"/>
      <c r="P46" s="4"/>
    </row>
    <row r="47" spans="1:16" ht="18.600000000000001" customHeight="1" x14ac:dyDescent="0.2">
      <c r="A47" s="7">
        <f t="shared" si="24"/>
        <v>13</v>
      </c>
      <c r="B47" s="26"/>
      <c r="C47" s="26"/>
      <c r="D47" s="26"/>
      <c r="E47" s="4"/>
      <c r="F47" s="4"/>
      <c r="G47" s="4"/>
      <c r="H47" s="4"/>
      <c r="I47" s="85"/>
      <c r="J47" s="4"/>
      <c r="K47" s="4"/>
      <c r="L47" s="4"/>
      <c r="M47" s="4"/>
      <c r="N47" s="4"/>
      <c r="O47" s="4"/>
      <c r="P47" s="4"/>
    </row>
    <row r="48" spans="1:16" ht="18.600000000000001" customHeight="1" x14ac:dyDescent="0.2">
      <c r="A48" s="7">
        <f t="shared" si="24"/>
        <v>14</v>
      </c>
      <c r="B48" s="25"/>
      <c r="C48" s="25"/>
      <c r="D48" s="24"/>
      <c r="E48" s="4"/>
      <c r="F48" s="4"/>
      <c r="G48" s="4"/>
      <c r="H48" s="4"/>
      <c r="I48" s="85"/>
      <c r="J48" s="4"/>
      <c r="K48" s="4"/>
      <c r="L48" s="4"/>
      <c r="M48" s="4"/>
      <c r="N48" s="4"/>
      <c r="O48" s="4"/>
      <c r="P48" s="4"/>
    </row>
    <row r="49" spans="1:16" ht="18.600000000000001" customHeight="1" x14ac:dyDescent="0.2">
      <c r="A49" s="6">
        <f t="shared" si="24"/>
        <v>15</v>
      </c>
      <c r="B49" s="25"/>
      <c r="C49" s="25"/>
      <c r="D49" s="24"/>
      <c r="E49" s="16"/>
      <c r="F49" s="16"/>
      <c r="G49" s="16"/>
      <c r="H49" s="16"/>
      <c r="I49" s="83"/>
      <c r="J49" s="16"/>
      <c r="K49" s="16"/>
      <c r="L49" s="16"/>
      <c r="M49" s="16"/>
      <c r="N49" s="16"/>
      <c r="O49" s="16"/>
      <c r="P49" s="16"/>
    </row>
    <row r="50" spans="1:16" ht="18.600000000000001" customHeight="1" x14ac:dyDescent="0.2">
      <c r="A50" s="32">
        <f t="shared" si="24"/>
        <v>16</v>
      </c>
      <c r="B50" s="25"/>
      <c r="C50" s="25"/>
      <c r="D50" s="24"/>
      <c r="E50" s="2"/>
      <c r="F50" s="2"/>
      <c r="G50" s="2"/>
      <c r="H50" s="2"/>
      <c r="I50" s="84"/>
      <c r="J50" s="2"/>
      <c r="K50" s="2"/>
      <c r="L50" s="2"/>
      <c r="M50" s="2"/>
      <c r="N50" s="2"/>
      <c r="O50" s="2"/>
      <c r="P50" s="2"/>
    </row>
    <row r="51" spans="1:16" ht="18.600000000000001" customHeight="1" x14ac:dyDescent="0.2">
      <c r="A51" s="7">
        <f t="shared" si="24"/>
        <v>17</v>
      </c>
      <c r="B51" s="3"/>
      <c r="C51" s="4"/>
      <c r="D51" s="8"/>
      <c r="E51" s="4"/>
      <c r="F51" s="4"/>
      <c r="G51" s="4"/>
      <c r="H51" s="4"/>
      <c r="I51" s="85"/>
      <c r="J51" s="4"/>
      <c r="K51" s="4"/>
      <c r="L51" s="4"/>
      <c r="M51" s="4"/>
      <c r="N51" s="4"/>
      <c r="O51" s="4"/>
      <c r="P51" s="4"/>
    </row>
    <row r="52" spans="1:16" ht="18.600000000000001" customHeight="1" x14ac:dyDescent="0.2">
      <c r="A52" s="7">
        <f t="shared" si="24"/>
        <v>18</v>
      </c>
      <c r="B52" s="3"/>
      <c r="C52" s="4"/>
      <c r="D52" s="8"/>
      <c r="E52" s="4"/>
      <c r="F52" s="4"/>
      <c r="G52" s="4"/>
      <c r="H52" s="4"/>
      <c r="I52" s="85"/>
      <c r="J52" s="4"/>
      <c r="K52" s="4"/>
      <c r="L52" s="4"/>
      <c r="M52" s="4"/>
      <c r="N52" s="4"/>
      <c r="O52" s="4"/>
      <c r="P52" s="4"/>
    </row>
    <row r="53" spans="1:16" ht="18.600000000000001" customHeight="1" x14ac:dyDescent="0.2">
      <c r="A53" s="7">
        <f t="shared" si="24"/>
        <v>19</v>
      </c>
      <c r="B53" s="3"/>
      <c r="C53" s="4"/>
      <c r="D53" s="8"/>
      <c r="E53" s="4"/>
      <c r="F53" s="4"/>
      <c r="G53" s="4"/>
      <c r="H53" s="4"/>
      <c r="I53" s="85"/>
      <c r="J53" s="4"/>
      <c r="K53" s="4"/>
      <c r="L53" s="4"/>
      <c r="M53" s="4"/>
      <c r="N53" s="4"/>
      <c r="O53" s="4"/>
      <c r="P53" s="4"/>
    </row>
    <row r="54" spans="1:16" ht="18.600000000000001" customHeight="1" x14ac:dyDescent="0.2">
      <c r="A54" s="10">
        <f t="shared" si="24"/>
        <v>20</v>
      </c>
      <c r="B54" s="11"/>
      <c r="C54" s="12"/>
      <c r="D54" s="9"/>
      <c r="E54" s="12"/>
      <c r="F54" s="12"/>
      <c r="G54" s="12"/>
      <c r="H54" s="12"/>
      <c r="I54" s="86"/>
      <c r="J54" s="12"/>
      <c r="K54" s="12"/>
      <c r="L54" s="12"/>
      <c r="M54" s="12"/>
      <c r="N54" s="12"/>
      <c r="O54" s="12"/>
      <c r="P54" s="12"/>
    </row>
    <row r="55" spans="1:16" ht="18.600000000000001" customHeight="1" x14ac:dyDescent="0.2">
      <c r="A55" s="35">
        <f t="shared" si="24"/>
        <v>21</v>
      </c>
      <c r="B55" s="13"/>
      <c r="C55" s="14"/>
      <c r="D55" s="37"/>
      <c r="E55" s="14"/>
      <c r="F55" s="14"/>
      <c r="G55" s="14"/>
      <c r="H55" s="14"/>
      <c r="I55" s="87"/>
      <c r="J55" s="14"/>
      <c r="K55" s="14"/>
      <c r="L55" s="14"/>
      <c r="M55" s="14"/>
      <c r="N55" s="14"/>
      <c r="O55" s="14"/>
      <c r="P55" s="14"/>
    </row>
    <row r="56" spans="1:16" ht="18.600000000000001" customHeight="1" x14ac:dyDescent="0.2">
      <c r="A56" s="7">
        <f t="shared" si="24"/>
        <v>22</v>
      </c>
      <c r="B56" s="3"/>
      <c r="C56" s="4"/>
      <c r="D56" s="8"/>
      <c r="E56" s="4"/>
      <c r="F56" s="4"/>
      <c r="G56" s="4"/>
      <c r="H56" s="4"/>
      <c r="I56" s="85"/>
      <c r="J56" s="4"/>
      <c r="K56" s="4"/>
      <c r="L56" s="4"/>
      <c r="M56" s="4"/>
      <c r="N56" s="4"/>
      <c r="O56" s="4"/>
      <c r="P56" s="4"/>
    </row>
    <row r="57" spans="1:16" ht="18.600000000000001" customHeight="1" x14ac:dyDescent="0.2">
      <c r="A57" s="35">
        <f t="shared" si="24"/>
        <v>23</v>
      </c>
      <c r="B57" s="3"/>
      <c r="C57" s="4"/>
      <c r="D57" s="8"/>
      <c r="E57" s="4"/>
      <c r="F57" s="4"/>
      <c r="G57" s="4"/>
      <c r="H57" s="4"/>
      <c r="I57" s="85"/>
      <c r="J57" s="4"/>
      <c r="K57" s="4"/>
      <c r="L57" s="4"/>
      <c r="M57" s="4"/>
      <c r="N57" s="4"/>
      <c r="O57" s="4"/>
      <c r="P57" s="4"/>
    </row>
    <row r="58" spans="1:16" ht="18.600000000000001" customHeight="1" x14ac:dyDescent="0.2">
      <c r="A58" s="7">
        <f t="shared" si="24"/>
        <v>24</v>
      </c>
      <c r="B58" s="3"/>
      <c r="C58" s="4"/>
      <c r="D58" s="8"/>
      <c r="E58" s="4"/>
      <c r="F58" s="4"/>
      <c r="G58" s="4"/>
      <c r="H58" s="4"/>
      <c r="I58" s="85"/>
      <c r="J58" s="4"/>
      <c r="K58" s="4"/>
      <c r="L58" s="4"/>
      <c r="M58" s="4"/>
      <c r="N58" s="4"/>
      <c r="O58" s="4"/>
      <c r="P58" s="4"/>
    </row>
    <row r="59" spans="1:16" ht="18.600000000000001" customHeight="1" x14ac:dyDescent="0.2">
      <c r="A59" s="35">
        <f t="shared" si="24"/>
        <v>25</v>
      </c>
      <c r="B59" s="11"/>
      <c r="C59" s="12"/>
      <c r="D59" s="9"/>
      <c r="E59" s="12"/>
      <c r="F59" s="12"/>
      <c r="G59" s="12"/>
      <c r="H59" s="12"/>
      <c r="I59" s="86"/>
      <c r="J59" s="12"/>
      <c r="K59" s="12"/>
      <c r="L59" s="12"/>
      <c r="M59" s="12"/>
      <c r="N59" s="12"/>
      <c r="O59" s="12"/>
      <c r="P59" s="12"/>
    </row>
    <row r="60" spans="1:16" ht="18.600000000000001" customHeight="1" x14ac:dyDescent="0.3">
      <c r="A60" s="147"/>
      <c r="B60" s="148"/>
      <c r="C60" s="147"/>
      <c r="D60" s="149"/>
      <c r="E60" s="150">
        <f>SUBTOTAL(9,E35:E59)</f>
        <v>0</v>
      </c>
      <c r="F60" s="151"/>
      <c r="G60" s="150">
        <f t="shared" ref="G60" si="25">SUBTOTAL(9,G35:G59)</f>
        <v>0</v>
      </c>
      <c r="H60" s="151"/>
      <c r="I60" s="150">
        <f t="shared" ref="I60" si="26">SUBTOTAL(9,I35:I59)</f>
        <v>0</v>
      </c>
      <c r="J60" s="151"/>
      <c r="K60" s="151"/>
      <c r="L60" s="151"/>
      <c r="M60" s="150">
        <f t="shared" ref="M60" si="27">SUBTOTAL(9,M35:M59)</f>
        <v>0</v>
      </c>
      <c r="N60" s="151"/>
      <c r="O60" s="150">
        <f t="shared" ref="O60" si="28">SUBTOTAL(9,O35:O59)</f>
        <v>0</v>
      </c>
      <c r="P60" s="151"/>
    </row>
    <row r="61" spans="1:16" ht="18.600000000000001" customHeight="1" x14ac:dyDescent="0.2">
      <c r="A61" s="434" t="str">
        <f>A1</f>
        <v>DANH SÁCH LỚP STARTER</v>
      </c>
      <c r="B61" s="434"/>
      <c r="C61" s="434"/>
      <c r="D61" s="434"/>
      <c r="E61" s="434"/>
      <c r="F61" s="434"/>
      <c r="G61" s="434"/>
      <c r="H61" s="434"/>
      <c r="I61" s="92" t="s">
        <v>1023</v>
      </c>
      <c r="J61" s="48"/>
      <c r="K61" s="48"/>
      <c r="L61" s="48"/>
      <c r="M61" s="41"/>
      <c r="N61" s="41"/>
      <c r="O61" s="41"/>
      <c r="P61" s="41"/>
    </row>
    <row r="62" spans="1:16" ht="18.600000000000001" customHeight="1" x14ac:dyDescent="0.2">
      <c r="A62" s="28"/>
      <c r="B62" s="29"/>
      <c r="C62" s="30"/>
      <c r="D62" s="36"/>
      <c r="E62" s="28"/>
      <c r="F62" s="28"/>
      <c r="G62" s="28"/>
      <c r="H62" s="28"/>
      <c r="I62" s="79"/>
      <c r="J62" s="28"/>
      <c r="K62" s="28"/>
      <c r="L62" s="28"/>
      <c r="M62" s="28"/>
      <c r="N62" s="28"/>
      <c r="O62" s="28"/>
      <c r="P62" s="28"/>
    </row>
    <row r="63" spans="1:16" ht="18.600000000000001" customHeight="1" x14ac:dyDescent="0.2">
      <c r="A63" s="435" t="s">
        <v>374</v>
      </c>
      <c r="B63" s="435" t="s">
        <v>380</v>
      </c>
      <c r="C63" s="435" t="s">
        <v>383</v>
      </c>
      <c r="D63" s="437" t="s">
        <v>384</v>
      </c>
      <c r="E63" s="438" t="s">
        <v>385</v>
      </c>
      <c r="F63" s="439"/>
      <c r="G63" s="432" t="str">
        <f>$R$1</f>
        <v>Hè 1</v>
      </c>
      <c r="H63" s="433"/>
      <c r="I63" s="432" t="str">
        <f>$T$1</f>
        <v>Hè 2</v>
      </c>
      <c r="J63" s="433"/>
      <c r="K63" s="432" t="str">
        <f>$V$1</f>
        <v>Hè 3</v>
      </c>
      <c r="L63" s="433"/>
      <c r="M63" s="432" t="str">
        <f>$X$1</f>
        <v>.</v>
      </c>
      <c r="N63" s="433"/>
      <c r="O63" s="432" t="str">
        <f>$Z$1</f>
        <v>.</v>
      </c>
      <c r="P63" s="433"/>
    </row>
    <row r="64" spans="1:16" ht="18.600000000000001" customHeight="1" x14ac:dyDescent="0.2">
      <c r="A64" s="436"/>
      <c r="B64" s="436"/>
      <c r="C64" s="436"/>
      <c r="D64" s="436"/>
      <c r="E64" s="31" t="s">
        <v>381</v>
      </c>
      <c r="F64" s="31" t="s">
        <v>382</v>
      </c>
      <c r="G64" s="31" t="s">
        <v>381</v>
      </c>
      <c r="H64" s="31" t="s">
        <v>382</v>
      </c>
      <c r="I64" s="80" t="s">
        <v>381</v>
      </c>
      <c r="J64" s="31" t="s">
        <v>382</v>
      </c>
      <c r="K64" s="80" t="s">
        <v>381</v>
      </c>
      <c r="L64" s="31" t="s">
        <v>382</v>
      </c>
      <c r="M64" s="31" t="s">
        <v>381</v>
      </c>
      <c r="N64" s="31" t="s">
        <v>382</v>
      </c>
      <c r="O64" s="31" t="s">
        <v>381</v>
      </c>
      <c r="P64" s="31" t="s">
        <v>382</v>
      </c>
    </row>
    <row r="65" spans="1:16" ht="18.600000000000001" customHeight="1" x14ac:dyDescent="0.2">
      <c r="A65" s="32">
        <v>1</v>
      </c>
      <c r="B65" s="26"/>
      <c r="C65" s="26"/>
      <c r="D65" s="26"/>
      <c r="E65" s="32"/>
      <c r="F65" s="34"/>
      <c r="G65" s="32"/>
      <c r="H65" s="93"/>
      <c r="I65" s="81"/>
      <c r="J65" s="34"/>
      <c r="K65" s="34"/>
      <c r="L65" s="34"/>
      <c r="M65" s="32"/>
      <c r="N65" s="34"/>
      <c r="O65" s="32"/>
      <c r="P65" s="34"/>
    </row>
    <row r="66" spans="1:16" ht="18.600000000000001" customHeight="1" x14ac:dyDescent="0.2">
      <c r="A66" s="7">
        <f t="shared" ref="A66:A89" si="29">A65+1</f>
        <v>2</v>
      </c>
      <c r="B66" s="26"/>
      <c r="C66" s="26"/>
      <c r="D66" s="26"/>
      <c r="E66" s="7"/>
      <c r="F66" s="7"/>
      <c r="G66" s="7"/>
      <c r="H66" s="7"/>
      <c r="I66" s="82"/>
      <c r="J66" s="7"/>
      <c r="K66" s="7"/>
      <c r="L66" s="7"/>
      <c r="M66" s="7"/>
      <c r="N66" s="7"/>
      <c r="O66" s="7"/>
      <c r="P66" s="7"/>
    </row>
    <row r="67" spans="1:16" ht="18.600000000000001" customHeight="1" x14ac:dyDescent="0.2">
      <c r="A67" s="7">
        <f t="shared" si="29"/>
        <v>3</v>
      </c>
      <c r="B67" s="26"/>
      <c r="C67" s="26"/>
      <c r="D67" s="163"/>
      <c r="E67" s="7"/>
      <c r="F67" s="7"/>
      <c r="G67" s="7"/>
      <c r="H67" s="7"/>
      <c r="I67" s="82"/>
      <c r="J67" s="7"/>
      <c r="K67" s="7"/>
      <c r="L67" s="7"/>
      <c r="M67" s="7"/>
      <c r="N67" s="7"/>
      <c r="O67" s="7"/>
      <c r="P67" s="7"/>
    </row>
    <row r="68" spans="1:16" ht="18.600000000000001" customHeight="1" x14ac:dyDescent="0.2">
      <c r="A68" s="7">
        <f t="shared" si="29"/>
        <v>4</v>
      </c>
      <c r="B68" s="24"/>
      <c r="C68" s="24"/>
      <c r="D68" s="163"/>
      <c r="E68" s="7"/>
      <c r="F68" s="7"/>
      <c r="G68" s="7"/>
      <c r="H68" s="7"/>
      <c r="I68" s="82"/>
      <c r="J68" s="7"/>
      <c r="K68" s="7"/>
      <c r="L68" s="7"/>
      <c r="M68" s="7"/>
      <c r="N68" s="7"/>
      <c r="O68" s="7"/>
      <c r="P68" s="7"/>
    </row>
    <row r="69" spans="1:16" ht="18.600000000000001" customHeight="1" x14ac:dyDescent="0.2">
      <c r="A69" s="6">
        <f t="shared" si="29"/>
        <v>5</v>
      </c>
      <c r="B69" s="26"/>
      <c r="C69" s="26"/>
      <c r="D69" s="163"/>
      <c r="E69" s="16"/>
      <c r="F69" s="16"/>
      <c r="G69" s="16"/>
      <c r="H69" s="16"/>
      <c r="I69" s="83"/>
      <c r="J69" s="16"/>
      <c r="K69" s="16"/>
      <c r="L69" s="16"/>
      <c r="M69" s="16"/>
      <c r="N69" s="16"/>
      <c r="O69" s="16"/>
      <c r="P69" s="16"/>
    </row>
    <row r="70" spans="1:16" ht="18.600000000000001" customHeight="1" x14ac:dyDescent="0.3">
      <c r="A70" s="56">
        <f t="shared" si="29"/>
        <v>6</v>
      </c>
      <c r="B70" s="143"/>
      <c r="C70" s="143"/>
      <c r="D70" s="143"/>
      <c r="E70" s="2"/>
      <c r="F70" s="2"/>
      <c r="G70" s="2"/>
      <c r="H70" s="2"/>
      <c r="I70" s="84"/>
      <c r="J70" s="2"/>
      <c r="K70" s="2"/>
      <c r="L70" s="2"/>
      <c r="M70" s="2"/>
      <c r="N70" s="2"/>
      <c r="O70" s="2"/>
      <c r="P70" s="2"/>
    </row>
    <row r="71" spans="1:16" ht="18.600000000000001" customHeight="1" x14ac:dyDescent="0.2">
      <c r="A71" s="6">
        <f t="shared" si="29"/>
        <v>7</v>
      </c>
      <c r="B71" s="26"/>
      <c r="C71" s="26"/>
      <c r="D71" s="163"/>
      <c r="E71" s="4"/>
      <c r="F71" s="4"/>
      <c r="G71" s="4"/>
      <c r="H71" s="4"/>
      <c r="I71" s="85"/>
      <c r="J71" s="4"/>
      <c r="K71" s="4"/>
      <c r="L71" s="4"/>
      <c r="M71" s="4"/>
      <c r="N71" s="4"/>
      <c r="O71" s="4"/>
      <c r="P71" s="4"/>
    </row>
    <row r="72" spans="1:16" ht="18.600000000000001" customHeight="1" x14ac:dyDescent="0.2">
      <c r="A72" s="6">
        <f t="shared" si="29"/>
        <v>8</v>
      </c>
      <c r="B72" s="26"/>
      <c r="C72" s="26"/>
      <c r="D72" s="26"/>
      <c r="E72" s="4"/>
      <c r="F72" s="4"/>
      <c r="G72" s="4"/>
      <c r="H72" s="4"/>
      <c r="I72" s="85"/>
      <c r="J72" s="4"/>
      <c r="K72" s="4"/>
      <c r="L72" s="4"/>
      <c r="M72" s="4"/>
      <c r="N72" s="4"/>
      <c r="O72" s="4"/>
      <c r="P72" s="4"/>
    </row>
    <row r="73" spans="1:16" ht="18.600000000000001" customHeight="1" x14ac:dyDescent="0.2">
      <c r="A73" s="6">
        <f t="shared" si="29"/>
        <v>9</v>
      </c>
      <c r="B73" s="26"/>
      <c r="C73" s="26"/>
      <c r="D73" s="163"/>
      <c r="E73" s="4"/>
      <c r="F73" s="4"/>
      <c r="G73" s="4"/>
      <c r="H73" s="4"/>
      <c r="I73" s="85"/>
      <c r="J73" s="4"/>
      <c r="K73" s="4"/>
      <c r="L73" s="4"/>
      <c r="M73" s="4"/>
      <c r="N73" s="4"/>
      <c r="O73" s="4"/>
      <c r="P73" s="4"/>
    </row>
    <row r="74" spans="1:16" ht="18.600000000000001" customHeight="1" x14ac:dyDescent="0.2">
      <c r="A74" s="10">
        <f t="shared" si="29"/>
        <v>10</v>
      </c>
      <c r="B74" s="26"/>
      <c r="C74" s="26"/>
      <c r="D74" s="163"/>
      <c r="E74" s="12"/>
      <c r="F74" s="12"/>
      <c r="G74" s="12"/>
      <c r="H74" s="12"/>
      <c r="I74" s="86"/>
      <c r="J74" s="12"/>
      <c r="K74" s="12"/>
      <c r="L74" s="12"/>
      <c r="M74" s="12"/>
      <c r="N74" s="12"/>
      <c r="O74" s="12"/>
      <c r="P74" s="12"/>
    </row>
    <row r="75" spans="1:16" ht="18.600000000000001" customHeight="1" x14ac:dyDescent="0.2">
      <c r="A75" s="35">
        <f t="shared" si="29"/>
        <v>11</v>
      </c>
      <c r="B75" s="26"/>
      <c r="C75" s="26"/>
      <c r="D75" s="26"/>
      <c r="E75" s="14"/>
      <c r="F75" s="14"/>
      <c r="G75" s="14"/>
      <c r="H75" s="14"/>
      <c r="I75" s="87"/>
      <c r="J75" s="14"/>
      <c r="K75" s="14"/>
      <c r="L75" s="14"/>
      <c r="M75" s="14"/>
      <c r="N75" s="14"/>
      <c r="O75" s="14"/>
      <c r="P75" s="14"/>
    </row>
    <row r="76" spans="1:16" ht="18.600000000000001" customHeight="1" x14ac:dyDescent="0.2">
      <c r="A76" s="7">
        <f t="shared" si="29"/>
        <v>12</v>
      </c>
      <c r="B76" s="24"/>
      <c r="C76" s="24"/>
      <c r="D76" s="163"/>
      <c r="E76" s="4"/>
      <c r="F76" s="4"/>
      <c r="G76" s="4"/>
      <c r="H76" s="4"/>
      <c r="I76" s="85"/>
      <c r="J76" s="4"/>
      <c r="K76" s="4"/>
      <c r="L76" s="4"/>
      <c r="M76" s="4"/>
      <c r="N76" s="4"/>
      <c r="O76" s="4"/>
      <c r="P76" s="4"/>
    </row>
    <row r="77" spans="1:16" ht="18.600000000000001" customHeight="1" x14ac:dyDescent="0.2">
      <c r="A77" s="7">
        <f t="shared" si="29"/>
        <v>13</v>
      </c>
      <c r="B77" s="24"/>
      <c r="C77" s="24"/>
      <c r="D77" s="163"/>
      <c r="E77" s="4"/>
      <c r="F77" s="4"/>
      <c r="G77" s="4"/>
      <c r="H77" s="4"/>
      <c r="I77" s="85"/>
      <c r="J77" s="4"/>
      <c r="K77" s="4"/>
      <c r="L77" s="4"/>
      <c r="M77" s="4"/>
      <c r="N77" s="4"/>
      <c r="O77" s="4"/>
      <c r="P77" s="4"/>
    </row>
    <row r="78" spans="1:16" ht="18.600000000000001" customHeight="1" x14ac:dyDescent="0.2">
      <c r="A78" s="7">
        <f t="shared" si="29"/>
        <v>14</v>
      </c>
      <c r="B78" s="26"/>
      <c r="C78" s="26"/>
      <c r="D78" s="26"/>
      <c r="E78" s="4"/>
      <c r="F78" s="4"/>
      <c r="G78" s="4"/>
      <c r="H78" s="4"/>
      <c r="I78" s="85"/>
      <c r="J78" s="4"/>
      <c r="K78" s="4"/>
      <c r="L78" s="4"/>
      <c r="M78" s="4"/>
      <c r="N78" s="4"/>
      <c r="O78" s="4"/>
      <c r="P78" s="4"/>
    </row>
    <row r="79" spans="1:16" ht="18.600000000000001" customHeight="1" x14ac:dyDescent="0.2">
      <c r="A79" s="6">
        <f t="shared" si="29"/>
        <v>15</v>
      </c>
      <c r="B79" s="24"/>
      <c r="C79" s="24"/>
      <c r="D79" s="163"/>
      <c r="E79" s="16"/>
      <c r="F79" s="16"/>
      <c r="G79" s="16"/>
      <c r="H79" s="16"/>
      <c r="I79" s="83"/>
      <c r="J79" s="16"/>
      <c r="K79" s="16"/>
      <c r="L79" s="16"/>
      <c r="M79" s="16"/>
      <c r="N79" s="16"/>
      <c r="O79" s="16"/>
      <c r="P79" s="16"/>
    </row>
    <row r="80" spans="1:16" ht="18.600000000000001" customHeight="1" x14ac:dyDescent="0.2">
      <c r="A80" s="32">
        <f t="shared" si="29"/>
        <v>16</v>
      </c>
      <c r="B80" s="1"/>
      <c r="C80" s="2"/>
      <c r="D80" s="33"/>
      <c r="E80" s="2"/>
      <c r="F80" s="2"/>
      <c r="G80" s="2"/>
      <c r="H80" s="2"/>
      <c r="I80" s="84"/>
      <c r="J80" s="2"/>
      <c r="K80" s="2"/>
      <c r="L80" s="2"/>
      <c r="M80" s="2"/>
      <c r="N80" s="2"/>
      <c r="O80" s="2"/>
      <c r="P80" s="2"/>
    </row>
    <row r="81" spans="1:16" ht="18.600000000000001" customHeight="1" x14ac:dyDescent="0.2">
      <c r="A81" s="7">
        <f t="shared" si="29"/>
        <v>17</v>
      </c>
      <c r="B81" s="3"/>
      <c r="C81" s="4"/>
      <c r="D81" s="8"/>
      <c r="E81" s="4"/>
      <c r="F81" s="4"/>
      <c r="G81" s="4"/>
      <c r="H81" s="4"/>
      <c r="I81" s="85"/>
      <c r="J81" s="4"/>
      <c r="K81" s="4"/>
      <c r="L81" s="4"/>
      <c r="M81" s="4"/>
      <c r="N81" s="4"/>
      <c r="O81" s="4"/>
      <c r="P81" s="4"/>
    </row>
    <row r="82" spans="1:16" ht="18.600000000000001" customHeight="1" x14ac:dyDescent="0.2">
      <c r="A82" s="7">
        <f t="shared" si="29"/>
        <v>18</v>
      </c>
      <c r="B82" s="3"/>
      <c r="C82" s="4"/>
      <c r="D82" s="8"/>
      <c r="E82" s="4"/>
      <c r="F82" s="4"/>
      <c r="G82" s="4"/>
      <c r="H82" s="4"/>
      <c r="I82" s="85"/>
      <c r="J82" s="4"/>
      <c r="K82" s="4"/>
      <c r="L82" s="4"/>
      <c r="M82" s="4"/>
      <c r="N82" s="4"/>
      <c r="O82" s="4"/>
      <c r="P82" s="4"/>
    </row>
    <row r="83" spans="1:16" ht="18.600000000000001" customHeight="1" x14ac:dyDescent="0.2">
      <c r="A83" s="7">
        <f t="shared" si="29"/>
        <v>19</v>
      </c>
      <c r="B83" s="3"/>
      <c r="C83" s="4"/>
      <c r="D83" s="8"/>
      <c r="E83" s="4"/>
      <c r="F83" s="4"/>
      <c r="G83" s="4"/>
      <c r="H83" s="4"/>
      <c r="I83" s="85"/>
      <c r="J83" s="4"/>
      <c r="K83" s="4"/>
      <c r="L83" s="4"/>
      <c r="M83" s="4"/>
      <c r="N83" s="4"/>
      <c r="O83" s="4"/>
      <c r="P83" s="4"/>
    </row>
    <row r="84" spans="1:16" ht="18.600000000000001" customHeight="1" x14ac:dyDescent="0.2">
      <c r="A84" s="10">
        <f t="shared" si="29"/>
        <v>20</v>
      </c>
      <c r="B84" s="11"/>
      <c r="C84" s="12"/>
      <c r="D84" s="9"/>
      <c r="E84" s="12"/>
      <c r="F84" s="12"/>
      <c r="G84" s="12"/>
      <c r="H84" s="12"/>
      <c r="I84" s="86"/>
      <c r="J84" s="12"/>
      <c r="K84" s="12"/>
      <c r="L84" s="12"/>
      <c r="M84" s="12"/>
      <c r="N84" s="12"/>
      <c r="O84" s="12"/>
      <c r="P84" s="12"/>
    </row>
    <row r="85" spans="1:16" ht="18.600000000000001" customHeight="1" x14ac:dyDescent="0.2">
      <c r="A85" s="35">
        <f t="shared" si="29"/>
        <v>21</v>
      </c>
      <c r="B85" s="13"/>
      <c r="C85" s="14"/>
      <c r="D85" s="37"/>
      <c r="E85" s="14"/>
      <c r="F85" s="14"/>
      <c r="G85" s="14"/>
      <c r="H85" s="14"/>
      <c r="I85" s="87"/>
      <c r="J85" s="14"/>
      <c r="K85" s="14"/>
      <c r="L85" s="14"/>
      <c r="M85" s="14"/>
      <c r="N85" s="14"/>
      <c r="O85" s="14"/>
      <c r="P85" s="14"/>
    </row>
    <row r="86" spans="1:16" ht="18.600000000000001" customHeight="1" x14ac:dyDescent="0.2">
      <c r="A86" s="7">
        <f t="shared" si="29"/>
        <v>22</v>
      </c>
      <c r="B86" s="3"/>
      <c r="C86" s="4"/>
      <c r="D86" s="8"/>
      <c r="E86" s="4"/>
      <c r="F86" s="4"/>
      <c r="G86" s="4"/>
      <c r="H86" s="4"/>
      <c r="I86" s="85"/>
      <c r="J86" s="4"/>
      <c r="K86" s="4"/>
      <c r="L86" s="4"/>
      <c r="M86" s="4"/>
      <c r="N86" s="4"/>
      <c r="O86" s="4"/>
      <c r="P86" s="4"/>
    </row>
    <row r="87" spans="1:16" ht="18.600000000000001" customHeight="1" x14ac:dyDescent="0.2">
      <c r="A87" s="35">
        <f t="shared" si="29"/>
        <v>23</v>
      </c>
      <c r="B87" s="3"/>
      <c r="C87" s="4"/>
      <c r="D87" s="8"/>
      <c r="E87" s="4"/>
      <c r="F87" s="4"/>
      <c r="G87" s="4"/>
      <c r="H87" s="4"/>
      <c r="I87" s="85"/>
      <c r="J87" s="4"/>
      <c r="K87" s="4"/>
      <c r="L87" s="4"/>
      <c r="M87" s="4"/>
      <c r="N87" s="4"/>
      <c r="O87" s="4"/>
      <c r="P87" s="4"/>
    </row>
    <row r="88" spans="1:16" ht="18.600000000000001" customHeight="1" x14ac:dyDescent="0.2">
      <c r="A88" s="7">
        <f t="shared" si="29"/>
        <v>24</v>
      </c>
      <c r="B88" s="3"/>
      <c r="C88" s="4"/>
      <c r="D88" s="8"/>
      <c r="E88" s="4"/>
      <c r="F88" s="4"/>
      <c r="G88" s="4"/>
      <c r="H88" s="4"/>
      <c r="I88" s="85"/>
      <c r="J88" s="4"/>
      <c r="K88" s="4"/>
      <c r="L88" s="4"/>
      <c r="M88" s="4"/>
      <c r="N88" s="4"/>
      <c r="O88" s="4"/>
      <c r="P88" s="4"/>
    </row>
    <row r="89" spans="1:16" ht="18.600000000000001" customHeight="1" x14ac:dyDescent="0.2">
      <c r="A89" s="35">
        <f t="shared" si="29"/>
        <v>25</v>
      </c>
      <c r="B89" s="11"/>
      <c r="C89" s="12"/>
      <c r="D89" s="9"/>
      <c r="E89" s="12"/>
      <c r="F89" s="12"/>
      <c r="G89" s="12"/>
      <c r="H89" s="12"/>
      <c r="I89" s="86"/>
      <c r="J89" s="12"/>
      <c r="K89" s="12"/>
      <c r="L89" s="12"/>
      <c r="M89" s="12"/>
      <c r="N89" s="12"/>
      <c r="O89" s="12"/>
      <c r="P89" s="12"/>
    </row>
    <row r="90" spans="1:16" ht="18.600000000000001" customHeight="1" x14ac:dyDescent="0.3">
      <c r="A90" s="147"/>
      <c r="B90" s="148"/>
      <c r="C90" s="147"/>
      <c r="D90" s="149"/>
      <c r="E90" s="150">
        <f>SUBTOTAL(9,E65:E89)</f>
        <v>0</v>
      </c>
      <c r="F90" s="152"/>
      <c r="G90" s="150">
        <f t="shared" ref="G90" si="30">SUBTOTAL(9,G65:G89)</f>
        <v>0</v>
      </c>
      <c r="H90" s="152"/>
      <c r="I90" s="150">
        <f t="shared" ref="I90" si="31">SUBTOTAL(9,I65:I89)</f>
        <v>0</v>
      </c>
      <c r="J90" s="152"/>
      <c r="K90" s="152"/>
      <c r="L90" s="152"/>
      <c r="M90" s="150">
        <f t="shared" ref="M90" si="32">SUBTOTAL(9,M65:M89)</f>
        <v>0</v>
      </c>
      <c r="N90" s="152"/>
      <c r="O90" s="150">
        <f t="shared" ref="O90" si="33">SUBTOTAL(9,O65:O89)</f>
        <v>0</v>
      </c>
      <c r="P90" s="152"/>
    </row>
    <row r="91" spans="1:16" ht="18.600000000000001" customHeight="1" x14ac:dyDescent="0.2">
      <c r="A91" s="434" t="str">
        <f>A61</f>
        <v>DANH SÁCH LỚP STARTER</v>
      </c>
      <c r="B91" s="434"/>
      <c r="C91" s="434"/>
      <c r="D91" s="434"/>
      <c r="E91" s="434"/>
      <c r="F91" s="434"/>
      <c r="G91" s="434"/>
      <c r="H91" s="434"/>
      <c r="I91" s="92" t="s">
        <v>1024</v>
      </c>
      <c r="J91" s="48"/>
      <c r="K91" s="48"/>
      <c r="L91" s="48"/>
      <c r="M91" s="41"/>
      <c r="N91" s="41"/>
      <c r="O91" s="41"/>
      <c r="P91" s="41"/>
    </row>
    <row r="92" spans="1:16" ht="18.600000000000001" customHeight="1" x14ac:dyDescent="0.2">
      <c r="A92" s="28"/>
      <c r="B92" s="29"/>
      <c r="C92" s="30"/>
      <c r="D92" s="36"/>
      <c r="E92" s="28"/>
      <c r="F92" s="28"/>
      <c r="G92" s="28"/>
      <c r="H92" s="28"/>
      <c r="I92" s="79"/>
      <c r="J92" s="28"/>
      <c r="K92" s="28"/>
      <c r="L92" s="28"/>
      <c r="M92" s="28"/>
      <c r="N92" s="28"/>
      <c r="O92" s="28"/>
      <c r="P92" s="28"/>
    </row>
    <row r="93" spans="1:16" ht="18.600000000000001" customHeight="1" x14ac:dyDescent="0.2">
      <c r="A93" s="435" t="s">
        <v>374</v>
      </c>
      <c r="B93" s="435" t="s">
        <v>380</v>
      </c>
      <c r="C93" s="435" t="s">
        <v>383</v>
      </c>
      <c r="D93" s="437" t="s">
        <v>384</v>
      </c>
      <c r="E93" s="438" t="s">
        <v>385</v>
      </c>
      <c r="F93" s="439"/>
      <c r="G93" s="432" t="str">
        <f>$R$1</f>
        <v>Hè 1</v>
      </c>
      <c r="H93" s="433"/>
      <c r="I93" s="432" t="str">
        <f>$T$1</f>
        <v>Hè 2</v>
      </c>
      <c r="J93" s="433"/>
      <c r="K93" s="432" t="str">
        <f>$V$1</f>
        <v>Hè 3</v>
      </c>
      <c r="L93" s="433"/>
      <c r="M93" s="432" t="str">
        <f>$X$1</f>
        <v>.</v>
      </c>
      <c r="N93" s="433"/>
      <c r="O93" s="432" t="str">
        <f>$Z$1</f>
        <v>.</v>
      </c>
      <c r="P93" s="433"/>
    </row>
    <row r="94" spans="1:16" ht="18.600000000000001" customHeight="1" x14ac:dyDescent="0.2">
      <c r="A94" s="436"/>
      <c r="B94" s="436"/>
      <c r="C94" s="436"/>
      <c r="D94" s="436"/>
      <c r="E94" s="31" t="s">
        <v>381</v>
      </c>
      <c r="F94" s="31" t="s">
        <v>382</v>
      </c>
      <c r="G94" s="31" t="s">
        <v>381</v>
      </c>
      <c r="H94" s="31" t="s">
        <v>382</v>
      </c>
      <c r="I94" s="80" t="s">
        <v>381</v>
      </c>
      <c r="J94" s="31" t="s">
        <v>382</v>
      </c>
      <c r="K94" s="80" t="s">
        <v>381</v>
      </c>
      <c r="L94" s="31" t="s">
        <v>382</v>
      </c>
      <c r="M94" s="31" t="s">
        <v>381</v>
      </c>
      <c r="N94" s="31" t="s">
        <v>382</v>
      </c>
      <c r="O94" s="31" t="s">
        <v>381</v>
      </c>
      <c r="P94" s="31" t="s">
        <v>382</v>
      </c>
    </row>
    <row r="95" spans="1:16" ht="18.600000000000001" customHeight="1" x14ac:dyDescent="0.2">
      <c r="A95" s="32">
        <v>1</v>
      </c>
      <c r="B95" s="26"/>
      <c r="C95" s="26"/>
      <c r="D95" s="26"/>
      <c r="E95" s="32"/>
      <c r="F95" s="34"/>
      <c r="G95" s="32"/>
      <c r="H95" s="93"/>
      <c r="I95" s="81"/>
      <c r="J95" s="34"/>
      <c r="K95" s="34"/>
      <c r="L95" s="34"/>
      <c r="M95" s="32"/>
      <c r="N95" s="34"/>
      <c r="O95" s="32"/>
      <c r="P95" s="34"/>
    </row>
    <row r="96" spans="1:16" ht="18.600000000000001" customHeight="1" x14ac:dyDescent="0.2">
      <c r="A96" s="7">
        <f t="shared" ref="A96:A119" si="34">A95+1</f>
        <v>2</v>
      </c>
      <c r="B96" s="26"/>
      <c r="C96" s="26"/>
      <c r="D96" s="26"/>
      <c r="E96" s="7"/>
      <c r="F96" s="7"/>
      <c r="G96" s="7"/>
      <c r="H96" s="7"/>
      <c r="I96" s="82"/>
      <c r="J96" s="7"/>
      <c r="K96" s="7"/>
      <c r="L96" s="7"/>
      <c r="M96" s="7"/>
      <c r="N96" s="7"/>
      <c r="O96" s="7"/>
      <c r="P96" s="7"/>
    </row>
    <row r="97" spans="1:16" ht="18.600000000000001" customHeight="1" x14ac:dyDescent="0.2">
      <c r="A97" s="7">
        <f t="shared" si="34"/>
        <v>3</v>
      </c>
      <c r="B97" s="26"/>
      <c r="C97" s="26"/>
      <c r="D97" s="163"/>
      <c r="E97" s="7"/>
      <c r="F97" s="7"/>
      <c r="G97" s="7"/>
      <c r="H97" s="7"/>
      <c r="I97" s="82"/>
      <c r="J97" s="7"/>
      <c r="K97" s="7"/>
      <c r="L97" s="7"/>
      <c r="M97" s="7"/>
      <c r="N97" s="7"/>
      <c r="O97" s="7"/>
      <c r="P97" s="7"/>
    </row>
    <row r="98" spans="1:16" ht="18.600000000000001" customHeight="1" x14ac:dyDescent="0.3">
      <c r="A98" s="7">
        <f t="shared" si="34"/>
        <v>4</v>
      </c>
      <c r="B98" s="143"/>
      <c r="C98" s="143"/>
      <c r="D98" s="143"/>
      <c r="E98" s="7"/>
      <c r="F98" s="7"/>
      <c r="G98" s="7"/>
      <c r="H98" s="7"/>
      <c r="I98" s="82"/>
      <c r="J98" s="7"/>
      <c r="K98" s="7"/>
      <c r="L98" s="7"/>
      <c r="M98" s="7"/>
      <c r="N98" s="7"/>
      <c r="O98" s="7"/>
      <c r="P98" s="7"/>
    </row>
    <row r="99" spans="1:16" ht="18.600000000000001" customHeight="1" x14ac:dyDescent="0.2">
      <c r="A99" s="6">
        <f t="shared" si="34"/>
        <v>5</v>
      </c>
      <c r="B99" s="26"/>
      <c r="C99" s="26"/>
      <c r="D99" s="163"/>
      <c r="E99" s="16"/>
      <c r="F99" s="16"/>
      <c r="G99" s="16"/>
      <c r="H99" s="16"/>
      <c r="I99" s="83"/>
      <c r="J99" s="16"/>
      <c r="K99" s="16"/>
      <c r="L99" s="16"/>
      <c r="M99" s="16"/>
      <c r="N99" s="16"/>
      <c r="O99" s="16"/>
      <c r="P99" s="16"/>
    </row>
    <row r="100" spans="1:16" ht="18.600000000000001" customHeight="1" x14ac:dyDescent="0.2">
      <c r="A100" s="56">
        <f t="shared" si="34"/>
        <v>6</v>
      </c>
      <c r="B100" s="24"/>
      <c r="C100" s="24"/>
      <c r="D100" s="163"/>
      <c r="E100" s="2"/>
      <c r="F100" s="2"/>
      <c r="G100" s="2"/>
      <c r="H100" s="2"/>
      <c r="I100" s="84"/>
      <c r="J100" s="2"/>
      <c r="K100" s="2"/>
      <c r="L100" s="2"/>
      <c r="M100" s="2"/>
      <c r="N100" s="2"/>
      <c r="O100" s="2"/>
      <c r="P100" s="2"/>
    </row>
    <row r="101" spans="1:16" ht="18.600000000000001" customHeight="1" x14ac:dyDescent="0.3">
      <c r="A101" s="6">
        <f t="shared" si="34"/>
        <v>7</v>
      </c>
      <c r="B101" s="143"/>
      <c r="C101" s="143"/>
      <c r="D101" s="143"/>
      <c r="E101" s="4"/>
      <c r="F101" s="4"/>
      <c r="G101" s="4"/>
      <c r="H101" s="4"/>
      <c r="I101" s="85"/>
      <c r="J101" s="4"/>
      <c r="K101" s="4"/>
      <c r="L101" s="4"/>
      <c r="M101" s="4"/>
      <c r="N101" s="4"/>
      <c r="O101" s="4"/>
      <c r="P101" s="4"/>
    </row>
    <row r="102" spans="1:16" ht="18.600000000000001" customHeight="1" x14ac:dyDescent="0.2">
      <c r="A102" s="6">
        <f t="shared" si="34"/>
        <v>8</v>
      </c>
      <c r="B102" s="24"/>
      <c r="C102" s="24"/>
      <c r="D102" s="163"/>
      <c r="E102" s="4"/>
      <c r="F102" s="4"/>
      <c r="G102" s="4"/>
      <c r="H102" s="4"/>
      <c r="I102" s="85"/>
      <c r="J102" s="4"/>
      <c r="K102" s="4"/>
      <c r="L102" s="4"/>
      <c r="M102" s="4"/>
      <c r="N102" s="4"/>
      <c r="O102" s="4"/>
      <c r="P102" s="4"/>
    </row>
    <row r="103" spans="1:16" ht="18.600000000000001" customHeight="1" x14ac:dyDescent="0.3">
      <c r="A103" s="6">
        <f t="shared" si="34"/>
        <v>9</v>
      </c>
      <c r="B103" s="143"/>
      <c r="C103" s="146"/>
      <c r="D103" s="143"/>
      <c r="E103" s="4"/>
      <c r="F103" s="4"/>
      <c r="G103" s="4"/>
      <c r="H103" s="4"/>
      <c r="I103" s="85"/>
      <c r="J103" s="4"/>
      <c r="K103" s="4"/>
      <c r="L103" s="4"/>
      <c r="M103" s="4"/>
      <c r="N103" s="4"/>
      <c r="O103" s="4"/>
      <c r="P103" s="4"/>
    </row>
    <row r="104" spans="1:16" ht="18.600000000000001" customHeight="1" x14ac:dyDescent="0.3">
      <c r="A104" s="10">
        <f t="shared" si="34"/>
        <v>10</v>
      </c>
      <c r="B104" s="143"/>
      <c r="C104" s="143"/>
      <c r="D104" s="143"/>
      <c r="E104" s="12"/>
      <c r="F104" s="12"/>
      <c r="G104" s="12"/>
      <c r="H104" s="12"/>
      <c r="I104" s="86"/>
      <c r="J104" s="12"/>
      <c r="K104" s="12"/>
      <c r="L104" s="12"/>
      <c r="M104" s="12"/>
      <c r="N104" s="12"/>
      <c r="O104" s="12"/>
      <c r="P104" s="12"/>
    </row>
    <row r="105" spans="1:16" ht="18.600000000000001" customHeight="1" x14ac:dyDescent="0.2">
      <c r="A105" s="35">
        <f t="shared" si="34"/>
        <v>11</v>
      </c>
      <c r="B105" s="26"/>
      <c r="C105" s="26"/>
      <c r="D105" s="26"/>
      <c r="E105" s="14"/>
      <c r="F105" s="14"/>
      <c r="G105" s="14"/>
      <c r="H105" s="14"/>
      <c r="I105" s="87"/>
      <c r="J105" s="14"/>
      <c r="K105" s="14"/>
      <c r="L105" s="14"/>
      <c r="M105" s="14"/>
      <c r="N105" s="14"/>
      <c r="O105" s="14"/>
      <c r="P105" s="14"/>
    </row>
    <row r="106" spans="1:16" ht="18.600000000000001" customHeight="1" x14ac:dyDescent="0.2">
      <c r="A106" s="7">
        <f t="shared" si="34"/>
        <v>12</v>
      </c>
      <c r="B106" s="24"/>
      <c r="C106" s="24"/>
      <c r="D106" s="163"/>
      <c r="E106" s="4"/>
      <c r="F106" s="4"/>
      <c r="G106" s="4"/>
      <c r="H106" s="4"/>
      <c r="I106" s="85"/>
      <c r="J106" s="4"/>
      <c r="K106" s="4"/>
      <c r="L106" s="4"/>
      <c r="M106" s="4"/>
      <c r="N106" s="4"/>
      <c r="O106" s="4"/>
      <c r="P106" s="4"/>
    </row>
    <row r="107" spans="1:16" ht="18.600000000000001" customHeight="1" x14ac:dyDescent="0.2">
      <c r="A107" s="7">
        <f t="shared" si="34"/>
        <v>13</v>
      </c>
      <c r="B107" s="24"/>
      <c r="C107" s="24"/>
      <c r="D107" s="163"/>
      <c r="E107" s="4"/>
      <c r="F107" s="4"/>
      <c r="G107" s="4"/>
      <c r="H107" s="4"/>
      <c r="I107" s="85"/>
      <c r="J107" s="4"/>
      <c r="K107" s="4"/>
      <c r="L107" s="4"/>
      <c r="M107" s="4"/>
      <c r="N107" s="4"/>
      <c r="O107" s="4"/>
      <c r="P107" s="4"/>
    </row>
    <row r="108" spans="1:16" ht="18.600000000000001" customHeight="1" x14ac:dyDescent="0.2">
      <c r="A108" s="7">
        <f t="shared" si="34"/>
        <v>14</v>
      </c>
      <c r="B108" s="26"/>
      <c r="C108" s="26"/>
      <c r="D108" s="26"/>
      <c r="E108" s="4"/>
      <c r="F108" s="4"/>
      <c r="G108" s="4"/>
      <c r="H108" s="4"/>
      <c r="I108" s="85"/>
      <c r="J108" s="4"/>
      <c r="K108" s="4"/>
      <c r="L108" s="4"/>
      <c r="M108" s="4"/>
      <c r="N108" s="4"/>
      <c r="O108" s="4"/>
      <c r="P108" s="4"/>
    </row>
    <row r="109" spans="1:16" ht="18.600000000000001" customHeight="1" x14ac:dyDescent="0.2">
      <c r="A109" s="6">
        <f t="shared" si="34"/>
        <v>15</v>
      </c>
      <c r="B109" s="24"/>
      <c r="C109" s="24"/>
      <c r="D109" s="163"/>
      <c r="E109" s="16"/>
      <c r="F109" s="16"/>
      <c r="G109" s="16"/>
      <c r="H109" s="16"/>
      <c r="I109" s="83"/>
      <c r="J109" s="16"/>
      <c r="K109" s="16"/>
      <c r="L109" s="16"/>
      <c r="M109" s="16"/>
      <c r="N109" s="16"/>
      <c r="O109" s="16"/>
      <c r="P109" s="16"/>
    </row>
    <row r="110" spans="1:16" ht="18.600000000000001" customHeight="1" x14ac:dyDescent="0.2">
      <c r="A110" s="32">
        <f t="shared" si="34"/>
        <v>16</v>
      </c>
      <c r="B110" s="1"/>
      <c r="C110" s="2"/>
      <c r="D110" s="33"/>
      <c r="E110" s="2"/>
      <c r="F110" s="2"/>
      <c r="G110" s="2"/>
      <c r="H110" s="2"/>
      <c r="I110" s="84"/>
      <c r="J110" s="2"/>
      <c r="K110" s="2"/>
      <c r="L110" s="2"/>
      <c r="M110" s="2"/>
      <c r="N110" s="2"/>
      <c r="O110" s="2"/>
      <c r="P110" s="2"/>
    </row>
    <row r="111" spans="1:16" ht="18.600000000000001" customHeight="1" x14ac:dyDescent="0.2">
      <c r="A111" s="7">
        <f t="shared" si="34"/>
        <v>17</v>
      </c>
      <c r="B111" s="3"/>
      <c r="C111" s="4"/>
      <c r="D111" s="8"/>
      <c r="E111" s="4"/>
      <c r="F111" s="4"/>
      <c r="G111" s="4"/>
      <c r="H111" s="4"/>
      <c r="I111" s="85"/>
      <c r="J111" s="4"/>
      <c r="K111" s="4"/>
      <c r="L111" s="4"/>
      <c r="M111" s="4"/>
      <c r="N111" s="4"/>
      <c r="O111" s="4"/>
      <c r="P111" s="4"/>
    </row>
    <row r="112" spans="1:16" ht="18.600000000000001" customHeight="1" x14ac:dyDescent="0.2">
      <c r="A112" s="7">
        <f t="shared" si="34"/>
        <v>18</v>
      </c>
      <c r="B112" s="3"/>
      <c r="C112" s="4"/>
      <c r="D112" s="8"/>
      <c r="E112" s="4"/>
      <c r="F112" s="4"/>
      <c r="G112" s="4"/>
      <c r="H112" s="4"/>
      <c r="I112" s="85"/>
      <c r="J112" s="4"/>
      <c r="K112" s="4"/>
      <c r="L112" s="4"/>
      <c r="M112" s="4"/>
      <c r="N112" s="4"/>
      <c r="O112" s="4"/>
      <c r="P112" s="4"/>
    </row>
    <row r="113" spans="1:16" ht="18.600000000000001" customHeight="1" x14ac:dyDescent="0.2">
      <c r="A113" s="7">
        <f t="shared" si="34"/>
        <v>19</v>
      </c>
      <c r="B113" s="3"/>
      <c r="C113" s="4"/>
      <c r="D113" s="8"/>
      <c r="E113" s="4"/>
      <c r="F113" s="4"/>
      <c r="G113" s="4"/>
      <c r="H113" s="4"/>
      <c r="I113" s="85"/>
      <c r="J113" s="4"/>
      <c r="K113" s="4"/>
      <c r="L113" s="4"/>
      <c r="M113" s="4"/>
      <c r="N113" s="4"/>
      <c r="O113" s="4"/>
      <c r="P113" s="4"/>
    </row>
    <row r="114" spans="1:16" ht="18.600000000000001" customHeight="1" x14ac:dyDescent="0.2">
      <c r="A114" s="10">
        <f t="shared" si="34"/>
        <v>20</v>
      </c>
      <c r="B114" s="11"/>
      <c r="C114" s="12"/>
      <c r="D114" s="9"/>
      <c r="E114" s="12"/>
      <c r="F114" s="12"/>
      <c r="G114" s="12"/>
      <c r="H114" s="12"/>
      <c r="I114" s="86"/>
      <c r="J114" s="12"/>
      <c r="K114" s="12"/>
      <c r="L114" s="12"/>
      <c r="M114" s="12"/>
      <c r="N114" s="12"/>
      <c r="O114" s="12"/>
      <c r="P114" s="12"/>
    </row>
    <row r="115" spans="1:16" ht="18.600000000000001" customHeight="1" x14ac:dyDescent="0.2">
      <c r="A115" s="35">
        <f t="shared" si="34"/>
        <v>21</v>
      </c>
      <c r="B115" s="13"/>
      <c r="C115" s="14"/>
      <c r="D115" s="37"/>
      <c r="E115" s="14"/>
      <c r="F115" s="14"/>
      <c r="G115" s="14"/>
      <c r="H115" s="14"/>
      <c r="I115" s="87"/>
      <c r="J115" s="14"/>
      <c r="K115" s="14"/>
      <c r="L115" s="14"/>
      <c r="M115" s="14"/>
      <c r="N115" s="14"/>
      <c r="O115" s="14"/>
      <c r="P115" s="14"/>
    </row>
    <row r="116" spans="1:16" ht="18.600000000000001" customHeight="1" x14ac:dyDescent="0.2">
      <c r="A116" s="7">
        <f t="shared" si="34"/>
        <v>22</v>
      </c>
      <c r="B116" s="3"/>
      <c r="C116" s="4"/>
      <c r="D116" s="8"/>
      <c r="E116" s="4"/>
      <c r="F116" s="4"/>
      <c r="G116" s="4"/>
      <c r="H116" s="4"/>
      <c r="I116" s="85"/>
      <c r="J116" s="4"/>
      <c r="K116" s="4"/>
      <c r="L116" s="4"/>
      <c r="M116" s="4"/>
      <c r="N116" s="4"/>
      <c r="O116" s="4"/>
      <c r="P116" s="4"/>
    </row>
    <row r="117" spans="1:16" ht="18.600000000000001" customHeight="1" x14ac:dyDescent="0.2">
      <c r="A117" s="35">
        <f t="shared" si="34"/>
        <v>23</v>
      </c>
      <c r="B117" s="3"/>
      <c r="C117" s="4"/>
      <c r="D117" s="8"/>
      <c r="E117" s="4"/>
      <c r="F117" s="4"/>
      <c r="G117" s="4"/>
      <c r="H117" s="4"/>
      <c r="I117" s="85"/>
      <c r="J117" s="4"/>
      <c r="K117" s="4"/>
      <c r="L117" s="4"/>
      <c r="M117" s="4"/>
      <c r="N117" s="4"/>
      <c r="O117" s="4"/>
      <c r="P117" s="4"/>
    </row>
    <row r="118" spans="1:16" ht="18.600000000000001" customHeight="1" x14ac:dyDescent="0.2">
      <c r="A118" s="7">
        <f t="shared" si="34"/>
        <v>24</v>
      </c>
      <c r="B118" s="3"/>
      <c r="C118" s="4"/>
      <c r="D118" s="8"/>
      <c r="E118" s="4"/>
      <c r="F118" s="4"/>
      <c r="G118" s="4"/>
      <c r="H118" s="4"/>
      <c r="I118" s="85"/>
      <c r="J118" s="4"/>
      <c r="K118" s="4"/>
      <c r="L118" s="4"/>
      <c r="M118" s="4"/>
      <c r="N118" s="4"/>
      <c r="O118" s="4"/>
      <c r="P118" s="4"/>
    </row>
    <row r="119" spans="1:16" ht="18.600000000000001" customHeight="1" x14ac:dyDescent="0.2">
      <c r="A119" s="35">
        <f t="shared" si="34"/>
        <v>25</v>
      </c>
      <c r="B119" s="11"/>
      <c r="C119" s="12"/>
      <c r="D119" s="9"/>
      <c r="E119" s="12"/>
      <c r="F119" s="12"/>
      <c r="G119" s="12"/>
      <c r="H119" s="12"/>
      <c r="I119" s="86"/>
      <c r="J119" s="12"/>
      <c r="K119" s="12"/>
      <c r="L119" s="12"/>
      <c r="M119" s="12"/>
      <c r="N119" s="12"/>
      <c r="O119" s="12"/>
      <c r="P119" s="12"/>
    </row>
    <row r="120" spans="1:16" ht="18.600000000000001" customHeight="1" x14ac:dyDescent="0.3">
      <c r="A120" s="147"/>
      <c r="B120" s="148"/>
      <c r="C120" s="147"/>
      <c r="D120" s="149"/>
      <c r="E120" s="150">
        <f>SUBTOTAL(9,E95:E119)</f>
        <v>0</v>
      </c>
      <c r="F120" s="152"/>
      <c r="G120" s="150">
        <f t="shared" ref="G120" si="35">SUBTOTAL(9,G95:G119)</f>
        <v>0</v>
      </c>
      <c r="H120" s="152"/>
      <c r="I120" s="150">
        <f t="shared" ref="I120" si="36">SUBTOTAL(9,I95:I119)</f>
        <v>0</v>
      </c>
      <c r="J120" s="152"/>
      <c r="K120" s="152"/>
      <c r="L120" s="152"/>
      <c r="M120" s="150">
        <f t="shared" ref="M120" si="37">SUBTOTAL(9,M95:M119)</f>
        <v>0</v>
      </c>
      <c r="N120" s="152"/>
      <c r="O120" s="150">
        <f t="shared" ref="O120" si="38">SUBTOTAL(9,O95:O119)</f>
        <v>0</v>
      </c>
      <c r="P120" s="152"/>
    </row>
    <row r="121" spans="1:16" ht="18.600000000000001" customHeight="1" x14ac:dyDescent="0.2">
      <c r="A121" s="434" t="str">
        <f>A91</f>
        <v>DANH SÁCH LỚP STARTER</v>
      </c>
      <c r="B121" s="434"/>
      <c r="C121" s="434"/>
      <c r="D121" s="434"/>
      <c r="E121" s="434"/>
      <c r="F121" s="434"/>
      <c r="G121" s="434"/>
      <c r="H121" s="434"/>
      <c r="I121" s="92" t="s">
        <v>1025</v>
      </c>
      <c r="J121" s="48"/>
      <c r="K121" s="48"/>
      <c r="L121" s="48"/>
      <c r="M121" s="41"/>
      <c r="N121" s="41"/>
      <c r="O121" s="41"/>
      <c r="P121" s="41"/>
    </row>
    <row r="122" spans="1:16" ht="18.600000000000001" customHeight="1" x14ac:dyDescent="0.2">
      <c r="A122" s="28"/>
      <c r="B122" s="29"/>
      <c r="C122" s="30"/>
      <c r="D122" s="36"/>
      <c r="E122" s="28"/>
      <c r="F122" s="28"/>
      <c r="G122" s="28"/>
      <c r="H122" s="28"/>
      <c r="I122" s="79"/>
      <c r="J122" s="28"/>
      <c r="K122" s="28"/>
      <c r="L122" s="28"/>
      <c r="M122" s="28"/>
      <c r="N122" s="28"/>
      <c r="O122" s="28"/>
      <c r="P122" s="28"/>
    </row>
    <row r="123" spans="1:16" ht="18.600000000000001" customHeight="1" x14ac:dyDescent="0.2">
      <c r="A123" s="435" t="s">
        <v>374</v>
      </c>
      <c r="B123" s="435" t="s">
        <v>380</v>
      </c>
      <c r="C123" s="435" t="s">
        <v>383</v>
      </c>
      <c r="D123" s="437" t="s">
        <v>384</v>
      </c>
      <c r="E123" s="438" t="s">
        <v>385</v>
      </c>
      <c r="F123" s="439"/>
      <c r="G123" s="432" t="str">
        <f>$R$1</f>
        <v>Hè 1</v>
      </c>
      <c r="H123" s="433"/>
      <c r="I123" s="432" t="str">
        <f>$T$1</f>
        <v>Hè 2</v>
      </c>
      <c r="J123" s="433"/>
      <c r="K123" s="432" t="str">
        <f>$V$1</f>
        <v>Hè 3</v>
      </c>
      <c r="L123" s="433"/>
      <c r="M123" s="432" t="str">
        <f>$X$1</f>
        <v>.</v>
      </c>
      <c r="N123" s="433"/>
      <c r="O123" s="432" t="str">
        <f>$Z$1</f>
        <v>.</v>
      </c>
      <c r="P123" s="433"/>
    </row>
    <row r="124" spans="1:16" ht="18.600000000000001" customHeight="1" x14ac:dyDescent="0.2">
      <c r="A124" s="436"/>
      <c r="B124" s="436"/>
      <c r="C124" s="436"/>
      <c r="D124" s="436"/>
      <c r="E124" s="31" t="s">
        <v>381</v>
      </c>
      <c r="F124" s="31" t="s">
        <v>382</v>
      </c>
      <c r="G124" s="31" t="s">
        <v>381</v>
      </c>
      <c r="H124" s="31" t="s">
        <v>382</v>
      </c>
      <c r="I124" s="80" t="s">
        <v>381</v>
      </c>
      <c r="J124" s="31" t="s">
        <v>382</v>
      </c>
      <c r="K124" s="80" t="s">
        <v>381</v>
      </c>
      <c r="L124" s="31" t="s">
        <v>382</v>
      </c>
      <c r="M124" s="31" t="s">
        <v>381</v>
      </c>
      <c r="N124" s="31" t="s">
        <v>382</v>
      </c>
      <c r="O124" s="31" t="s">
        <v>381</v>
      </c>
      <c r="P124" s="31" t="s">
        <v>382</v>
      </c>
    </row>
    <row r="125" spans="1:16" ht="18.600000000000001" customHeight="1" x14ac:dyDescent="0.2">
      <c r="A125" s="32">
        <v>1</v>
      </c>
      <c r="B125" s="24"/>
      <c r="C125" s="24"/>
      <c r="D125" s="163"/>
      <c r="E125" s="32"/>
      <c r="F125" s="34"/>
      <c r="G125" s="32"/>
      <c r="H125" s="93"/>
      <c r="I125" s="81"/>
      <c r="J125" s="34"/>
      <c r="K125" s="34"/>
      <c r="L125" s="34"/>
      <c r="M125" s="32"/>
      <c r="N125" s="34"/>
      <c r="O125" s="32"/>
      <c r="P125" s="34"/>
    </row>
    <row r="126" spans="1:16" ht="18.600000000000001" customHeight="1" x14ac:dyDescent="0.2">
      <c r="A126" s="7">
        <f t="shared" ref="A126:A149" si="39">A125+1</f>
        <v>2</v>
      </c>
      <c r="B126" s="24"/>
      <c r="C126" s="24"/>
      <c r="D126" s="26"/>
      <c r="E126" s="7"/>
      <c r="F126" s="7"/>
      <c r="G126" s="7"/>
      <c r="H126" s="7"/>
      <c r="I126" s="82"/>
      <c r="J126" s="7"/>
      <c r="K126" s="7"/>
      <c r="L126" s="7"/>
      <c r="M126" s="7"/>
      <c r="N126" s="7"/>
      <c r="O126" s="7"/>
      <c r="P126" s="7"/>
    </row>
    <row r="127" spans="1:16" ht="18.600000000000001" customHeight="1" x14ac:dyDescent="0.2">
      <c r="A127" s="7">
        <f t="shared" si="39"/>
        <v>3</v>
      </c>
      <c r="B127" s="25"/>
      <c r="C127" s="25"/>
      <c r="D127" s="24"/>
      <c r="E127" s="7"/>
      <c r="F127" s="7"/>
      <c r="G127" s="7"/>
      <c r="H127" s="7"/>
      <c r="I127" s="82"/>
      <c r="J127" s="7"/>
      <c r="K127" s="7"/>
      <c r="L127" s="7"/>
      <c r="M127" s="7"/>
      <c r="N127" s="7"/>
      <c r="O127" s="7"/>
      <c r="P127" s="7"/>
    </row>
    <row r="128" spans="1:16" ht="18.600000000000001" customHeight="1" x14ac:dyDescent="0.2">
      <c r="A128" s="7">
        <f t="shared" si="39"/>
        <v>4</v>
      </c>
      <c r="B128" s="26"/>
      <c r="C128" s="26"/>
      <c r="D128" s="163"/>
      <c r="E128" s="7"/>
      <c r="F128" s="7"/>
      <c r="G128" s="7"/>
      <c r="H128" s="7"/>
      <c r="I128" s="82"/>
      <c r="J128" s="7"/>
      <c r="K128" s="7"/>
      <c r="L128" s="7"/>
      <c r="M128" s="7"/>
      <c r="N128" s="7"/>
      <c r="O128" s="7"/>
      <c r="P128" s="7"/>
    </row>
    <row r="129" spans="1:16" ht="18.600000000000001" customHeight="1" x14ac:dyDescent="0.2">
      <c r="A129" s="6">
        <f t="shared" si="39"/>
        <v>5</v>
      </c>
      <c r="B129" s="25"/>
      <c r="C129" s="25"/>
      <c r="D129" s="24"/>
      <c r="E129" s="16"/>
      <c r="F129" s="16"/>
      <c r="G129" s="16"/>
      <c r="H129" s="16"/>
      <c r="I129" s="83"/>
      <c r="J129" s="16"/>
      <c r="K129" s="16"/>
      <c r="L129" s="16"/>
      <c r="M129" s="16"/>
      <c r="N129" s="16"/>
      <c r="O129" s="16"/>
      <c r="P129" s="16"/>
    </row>
    <row r="130" spans="1:16" ht="18.600000000000001" customHeight="1" x14ac:dyDescent="0.2">
      <c r="A130" s="56">
        <f t="shared" si="39"/>
        <v>6</v>
      </c>
      <c r="B130" s="24"/>
      <c r="C130" s="24"/>
      <c r="D130" s="163"/>
      <c r="E130" s="2"/>
      <c r="F130" s="2"/>
      <c r="G130" s="2"/>
      <c r="H130" s="2"/>
      <c r="I130" s="84"/>
      <c r="J130" s="2"/>
      <c r="K130" s="2"/>
      <c r="L130" s="2"/>
      <c r="M130" s="2"/>
      <c r="N130" s="2"/>
      <c r="O130" s="2"/>
      <c r="P130" s="2"/>
    </row>
    <row r="131" spans="1:16" ht="18.600000000000001" customHeight="1" x14ac:dyDescent="0.3">
      <c r="A131" s="6">
        <f t="shared" si="39"/>
        <v>7</v>
      </c>
      <c r="B131" s="143"/>
      <c r="C131" s="143"/>
      <c r="D131" s="143"/>
      <c r="E131" s="4"/>
      <c r="F131" s="4"/>
      <c r="G131" s="4"/>
      <c r="H131" s="4"/>
      <c r="I131" s="85"/>
      <c r="J131" s="4"/>
      <c r="K131" s="4"/>
      <c r="L131" s="4"/>
      <c r="M131" s="4"/>
      <c r="N131" s="4"/>
      <c r="O131" s="4"/>
      <c r="P131" s="4"/>
    </row>
    <row r="132" spans="1:16" ht="18.600000000000001" customHeight="1" x14ac:dyDescent="0.2">
      <c r="A132" s="6">
        <f t="shared" si="39"/>
        <v>8</v>
      </c>
      <c r="B132" s="26"/>
      <c r="C132" s="26"/>
      <c r="D132" s="163"/>
      <c r="E132" s="4"/>
      <c r="F132" s="4"/>
      <c r="G132" s="4"/>
      <c r="H132" s="4"/>
      <c r="I132" s="85"/>
      <c r="J132" s="4"/>
      <c r="K132" s="4"/>
      <c r="L132" s="4"/>
      <c r="M132" s="4"/>
      <c r="N132" s="4"/>
      <c r="O132" s="4"/>
      <c r="P132" s="4"/>
    </row>
    <row r="133" spans="1:16" ht="18.600000000000001" customHeight="1" x14ac:dyDescent="0.2">
      <c r="A133" s="6">
        <f t="shared" si="39"/>
        <v>9</v>
      </c>
      <c r="B133" s="26"/>
      <c r="C133" s="26"/>
      <c r="D133" s="163"/>
      <c r="E133" s="4"/>
      <c r="F133" s="4"/>
      <c r="G133" s="4"/>
      <c r="H133" s="4"/>
      <c r="I133" s="85"/>
      <c r="J133" s="4"/>
      <c r="K133" s="4"/>
      <c r="L133" s="4"/>
      <c r="M133" s="4"/>
      <c r="N133" s="4"/>
      <c r="O133" s="4"/>
      <c r="P133" s="4"/>
    </row>
    <row r="134" spans="1:16" ht="18.600000000000001" customHeight="1" x14ac:dyDescent="0.2">
      <c r="A134" s="10">
        <f t="shared" si="39"/>
        <v>10</v>
      </c>
      <c r="B134" s="25"/>
      <c r="C134" s="25"/>
      <c r="D134" s="24"/>
      <c r="E134" s="12"/>
      <c r="F134" s="12"/>
      <c r="G134" s="12"/>
      <c r="H134" s="12"/>
      <c r="I134" s="86"/>
      <c r="J134" s="12"/>
      <c r="K134" s="12"/>
      <c r="L134" s="12"/>
      <c r="M134" s="12"/>
      <c r="N134" s="12"/>
      <c r="O134" s="12"/>
      <c r="P134" s="12"/>
    </row>
    <row r="135" spans="1:16" ht="18.600000000000001" customHeight="1" x14ac:dyDescent="0.2">
      <c r="A135" s="35">
        <f t="shared" si="39"/>
        <v>11</v>
      </c>
      <c r="B135" s="24"/>
      <c r="C135" s="24"/>
      <c r="D135" s="24"/>
      <c r="E135" s="14"/>
      <c r="F135" s="14"/>
      <c r="G135" s="14"/>
      <c r="H135" s="14"/>
      <c r="I135" s="87"/>
      <c r="J135" s="14"/>
      <c r="K135" s="14"/>
      <c r="L135" s="14"/>
      <c r="M135" s="14"/>
      <c r="N135" s="14"/>
      <c r="O135" s="14"/>
      <c r="P135" s="14"/>
    </row>
    <row r="136" spans="1:16" ht="18.600000000000001" customHeight="1" x14ac:dyDescent="0.3">
      <c r="A136" s="7">
        <f t="shared" si="39"/>
        <v>12</v>
      </c>
      <c r="B136" s="39"/>
      <c r="C136" s="24"/>
      <c r="D136" s="163"/>
      <c r="E136" s="4"/>
      <c r="F136" s="4"/>
      <c r="G136" s="4"/>
      <c r="H136" s="4"/>
      <c r="I136" s="85"/>
      <c r="J136" s="4"/>
      <c r="K136" s="4"/>
      <c r="L136" s="4"/>
      <c r="M136" s="4"/>
      <c r="N136" s="4"/>
      <c r="O136" s="4"/>
      <c r="P136" s="4"/>
    </row>
    <row r="137" spans="1:16" ht="18.600000000000001" customHeight="1" x14ac:dyDescent="0.2">
      <c r="A137" s="7">
        <f t="shared" si="39"/>
        <v>13</v>
      </c>
      <c r="B137" s="26"/>
      <c r="C137" s="26"/>
      <c r="D137" s="163"/>
      <c r="E137" s="4"/>
      <c r="F137" s="4"/>
      <c r="G137" s="4"/>
      <c r="H137" s="4"/>
      <c r="I137" s="85"/>
      <c r="J137" s="4"/>
      <c r="K137" s="4"/>
      <c r="L137" s="4"/>
      <c r="M137" s="4"/>
      <c r="N137" s="4"/>
      <c r="O137" s="4"/>
      <c r="P137" s="4"/>
    </row>
    <row r="138" spans="1:16" ht="18.600000000000001" customHeight="1" x14ac:dyDescent="0.2">
      <c r="A138" s="7">
        <f t="shared" si="39"/>
        <v>14</v>
      </c>
      <c r="B138" s="25"/>
      <c r="C138" s="25"/>
      <c r="D138" s="163"/>
      <c r="E138" s="4"/>
      <c r="F138" s="4"/>
      <c r="G138" s="4"/>
      <c r="H138" s="4"/>
      <c r="I138" s="85"/>
      <c r="J138" s="4"/>
      <c r="K138" s="4"/>
      <c r="L138" s="4"/>
      <c r="M138" s="4"/>
      <c r="N138" s="4"/>
      <c r="O138" s="4"/>
      <c r="P138" s="4"/>
    </row>
    <row r="139" spans="1:16" ht="18.600000000000001" customHeight="1" x14ac:dyDescent="0.2">
      <c r="A139" s="6">
        <f t="shared" si="39"/>
        <v>15</v>
      </c>
      <c r="B139" s="24"/>
      <c r="C139" s="24"/>
      <c r="D139" s="24"/>
      <c r="E139" s="16"/>
      <c r="F139" s="16"/>
      <c r="G139" s="16"/>
      <c r="H139" s="16"/>
      <c r="I139" s="83"/>
      <c r="J139" s="16"/>
      <c r="K139" s="16"/>
      <c r="L139" s="16"/>
      <c r="M139" s="16"/>
      <c r="N139" s="16"/>
      <c r="O139" s="16"/>
      <c r="P139" s="16"/>
    </row>
    <row r="140" spans="1:16" ht="18.600000000000001" customHeight="1" x14ac:dyDescent="0.2">
      <c r="A140" s="32">
        <f t="shared" si="39"/>
        <v>16</v>
      </c>
      <c r="B140" s="24"/>
      <c r="C140" s="24"/>
      <c r="D140" s="27"/>
      <c r="E140" s="2"/>
      <c r="F140" s="2"/>
      <c r="G140" s="2"/>
      <c r="H140" s="2"/>
      <c r="I140" s="84"/>
      <c r="J140" s="2"/>
      <c r="K140" s="2"/>
      <c r="L140" s="2"/>
      <c r="M140" s="2"/>
      <c r="N140" s="2"/>
      <c r="O140" s="2"/>
      <c r="P140" s="2"/>
    </row>
    <row r="141" spans="1:16" ht="18.600000000000001" customHeight="1" x14ac:dyDescent="0.3">
      <c r="A141" s="7">
        <f t="shared" si="39"/>
        <v>17</v>
      </c>
      <c r="B141" s="143"/>
      <c r="C141" s="143"/>
      <c r="D141" s="143"/>
      <c r="E141" s="4"/>
      <c r="F141" s="4"/>
      <c r="G141" s="4"/>
      <c r="H141" s="4"/>
      <c r="I141" s="85"/>
      <c r="J141" s="4"/>
      <c r="K141" s="4"/>
      <c r="L141" s="4"/>
      <c r="M141" s="4"/>
      <c r="N141" s="4"/>
      <c r="O141" s="4"/>
      <c r="P141" s="4"/>
    </row>
    <row r="142" spans="1:16" ht="18.600000000000001" customHeight="1" x14ac:dyDescent="0.2">
      <c r="A142" s="7">
        <f t="shared" si="39"/>
        <v>18</v>
      </c>
      <c r="B142" s="3"/>
      <c r="C142" s="4"/>
      <c r="D142" s="8"/>
      <c r="E142" s="4"/>
      <c r="F142" s="4"/>
      <c r="G142" s="4"/>
      <c r="H142" s="4"/>
      <c r="I142" s="85"/>
      <c r="J142" s="4"/>
      <c r="K142" s="4"/>
      <c r="L142" s="4"/>
      <c r="M142" s="4"/>
      <c r="N142" s="4"/>
      <c r="O142" s="4"/>
      <c r="P142" s="4"/>
    </row>
    <row r="143" spans="1:16" ht="18.600000000000001" customHeight="1" x14ac:dyDescent="0.2">
      <c r="A143" s="7">
        <f t="shared" si="39"/>
        <v>19</v>
      </c>
      <c r="B143" s="3"/>
      <c r="C143" s="4"/>
      <c r="D143" s="8"/>
      <c r="E143" s="4"/>
      <c r="F143" s="4"/>
      <c r="G143" s="4"/>
      <c r="H143" s="4"/>
      <c r="I143" s="85"/>
      <c r="J143" s="4"/>
      <c r="K143" s="4"/>
      <c r="L143" s="4"/>
      <c r="M143" s="4"/>
      <c r="N143" s="4"/>
      <c r="O143" s="4"/>
      <c r="P143" s="4"/>
    </row>
    <row r="144" spans="1:16" ht="18.600000000000001" customHeight="1" x14ac:dyDescent="0.2">
      <c r="A144" s="10">
        <f t="shared" si="39"/>
        <v>20</v>
      </c>
      <c r="B144" s="11"/>
      <c r="C144" s="12"/>
      <c r="D144" s="9"/>
      <c r="E144" s="12"/>
      <c r="F144" s="12"/>
      <c r="G144" s="12"/>
      <c r="H144" s="12"/>
      <c r="I144" s="86"/>
      <c r="J144" s="12"/>
      <c r="K144" s="12"/>
      <c r="L144" s="12"/>
      <c r="M144" s="12"/>
      <c r="N144" s="12"/>
      <c r="O144" s="12"/>
      <c r="P144" s="12"/>
    </row>
    <row r="145" spans="1:16" ht="18.600000000000001" customHeight="1" x14ac:dyDescent="0.2">
      <c r="A145" s="35">
        <f t="shared" si="39"/>
        <v>21</v>
      </c>
      <c r="B145" s="13"/>
      <c r="C145" s="14"/>
      <c r="D145" s="37"/>
      <c r="E145" s="14"/>
      <c r="F145" s="14"/>
      <c r="G145" s="14"/>
      <c r="H145" s="14"/>
      <c r="I145" s="87"/>
      <c r="J145" s="14"/>
      <c r="K145" s="14"/>
      <c r="L145" s="14"/>
      <c r="M145" s="14"/>
      <c r="N145" s="14"/>
      <c r="O145" s="14"/>
      <c r="P145" s="14"/>
    </row>
    <row r="146" spans="1:16" ht="18.600000000000001" customHeight="1" x14ac:dyDescent="0.2">
      <c r="A146" s="7">
        <f t="shared" si="39"/>
        <v>22</v>
      </c>
      <c r="B146" s="3"/>
      <c r="C146" s="4"/>
      <c r="D146" s="8"/>
      <c r="E146" s="4"/>
      <c r="F146" s="4"/>
      <c r="G146" s="4"/>
      <c r="H146" s="4"/>
      <c r="I146" s="85"/>
      <c r="J146" s="4"/>
      <c r="K146" s="4"/>
      <c r="L146" s="4"/>
      <c r="M146" s="4"/>
      <c r="N146" s="4"/>
      <c r="O146" s="4"/>
      <c r="P146" s="4"/>
    </row>
    <row r="147" spans="1:16" ht="18.600000000000001" customHeight="1" x14ac:dyDescent="0.2">
      <c r="A147" s="35">
        <f t="shared" si="39"/>
        <v>23</v>
      </c>
      <c r="B147" s="3"/>
      <c r="C147" s="4"/>
      <c r="D147" s="8"/>
      <c r="E147" s="4"/>
      <c r="F147" s="4"/>
      <c r="G147" s="4"/>
      <c r="H147" s="4"/>
      <c r="I147" s="85"/>
      <c r="J147" s="4"/>
      <c r="K147" s="4"/>
      <c r="L147" s="4"/>
      <c r="M147" s="4"/>
      <c r="N147" s="4"/>
      <c r="O147" s="4"/>
      <c r="P147" s="4"/>
    </row>
    <row r="148" spans="1:16" ht="18.600000000000001" customHeight="1" x14ac:dyDescent="0.2">
      <c r="A148" s="7">
        <f t="shared" si="39"/>
        <v>24</v>
      </c>
      <c r="B148" s="3"/>
      <c r="C148" s="4"/>
      <c r="D148" s="8"/>
      <c r="E148" s="4"/>
      <c r="F148" s="4"/>
      <c r="G148" s="4"/>
      <c r="H148" s="4"/>
      <c r="I148" s="85"/>
      <c r="J148" s="4"/>
      <c r="K148" s="4"/>
      <c r="L148" s="4"/>
      <c r="M148" s="4"/>
      <c r="N148" s="4"/>
      <c r="O148" s="4"/>
      <c r="P148" s="4"/>
    </row>
    <row r="149" spans="1:16" ht="18.600000000000001" customHeight="1" x14ac:dyDescent="0.2">
      <c r="A149" s="35">
        <f t="shared" si="39"/>
        <v>25</v>
      </c>
      <c r="B149" s="11"/>
      <c r="C149" s="12"/>
      <c r="D149" s="9"/>
      <c r="E149" s="12"/>
      <c r="F149" s="12"/>
      <c r="G149" s="12"/>
      <c r="H149" s="12"/>
      <c r="I149" s="86"/>
      <c r="J149" s="12"/>
      <c r="K149" s="12"/>
      <c r="L149" s="12"/>
      <c r="M149" s="12"/>
      <c r="N149" s="12"/>
      <c r="O149" s="12"/>
      <c r="P149" s="12"/>
    </row>
    <row r="150" spans="1:16" ht="18.600000000000001" customHeight="1" x14ac:dyDescent="0.3">
      <c r="A150" s="147"/>
      <c r="B150" s="148"/>
      <c r="C150" s="147"/>
      <c r="D150" s="149"/>
      <c r="E150" s="150">
        <f>SUBTOTAL(9,E125:E149)</f>
        <v>0</v>
      </c>
      <c r="F150" s="152"/>
      <c r="G150" s="150">
        <f t="shared" ref="G150" si="40">SUBTOTAL(9,G125:G149)</f>
        <v>0</v>
      </c>
      <c r="H150" s="152"/>
      <c r="I150" s="150">
        <f t="shared" ref="I150" si="41">SUBTOTAL(9,I125:I149)</f>
        <v>0</v>
      </c>
      <c r="J150" s="152"/>
      <c r="K150" s="152"/>
      <c r="L150" s="152"/>
      <c r="M150" s="150">
        <f t="shared" ref="M150" si="42">SUBTOTAL(9,M125:M149)</f>
        <v>0</v>
      </c>
      <c r="N150" s="152"/>
      <c r="O150" s="150">
        <f t="shared" ref="O150" si="43">SUBTOTAL(9,O125:O149)</f>
        <v>0</v>
      </c>
      <c r="P150" s="152"/>
    </row>
    <row r="151" spans="1:16" ht="18.600000000000001" customHeight="1" x14ac:dyDescent="0.2">
      <c r="A151" s="434" t="str">
        <f>A121</f>
        <v>DANH SÁCH LỚP STARTER</v>
      </c>
      <c r="B151" s="434"/>
      <c r="C151" s="434"/>
      <c r="D151" s="434"/>
      <c r="E151" s="434"/>
      <c r="F151" s="434"/>
      <c r="G151" s="434"/>
      <c r="H151" s="434"/>
      <c r="I151" s="92" t="s">
        <v>1026</v>
      </c>
      <c r="J151" s="48"/>
      <c r="K151" s="48"/>
      <c r="L151" s="48"/>
      <c r="M151" s="41"/>
      <c r="N151" s="41"/>
      <c r="O151" s="41"/>
      <c r="P151" s="41"/>
    </row>
    <row r="152" spans="1:16" ht="18.600000000000001" customHeight="1" x14ac:dyDescent="0.2">
      <c r="A152" s="28"/>
      <c r="B152" s="29"/>
      <c r="C152" s="30"/>
      <c r="D152" s="36"/>
      <c r="E152" s="28"/>
      <c r="F152" s="28"/>
      <c r="G152" s="28"/>
      <c r="H152" s="28"/>
      <c r="I152" s="79"/>
      <c r="J152" s="28"/>
      <c r="K152" s="28"/>
      <c r="L152" s="28"/>
      <c r="M152" s="28"/>
      <c r="N152" s="28"/>
      <c r="O152" s="28"/>
      <c r="P152" s="28"/>
    </row>
    <row r="153" spans="1:16" ht="18.600000000000001" customHeight="1" x14ac:dyDescent="0.2">
      <c r="A153" s="435" t="s">
        <v>374</v>
      </c>
      <c r="B153" s="435" t="s">
        <v>380</v>
      </c>
      <c r="C153" s="435" t="s">
        <v>383</v>
      </c>
      <c r="D153" s="437" t="s">
        <v>384</v>
      </c>
      <c r="E153" s="438" t="s">
        <v>385</v>
      </c>
      <c r="F153" s="439"/>
      <c r="G153" s="432" t="str">
        <f>$R$1</f>
        <v>Hè 1</v>
      </c>
      <c r="H153" s="433"/>
      <c r="I153" s="432" t="str">
        <f>$T$1</f>
        <v>Hè 2</v>
      </c>
      <c r="J153" s="433"/>
      <c r="K153" s="432" t="str">
        <f>$V$1</f>
        <v>Hè 3</v>
      </c>
      <c r="L153" s="433"/>
      <c r="M153" s="432" t="str">
        <f>$X$1</f>
        <v>.</v>
      </c>
      <c r="N153" s="433"/>
      <c r="O153" s="432" t="str">
        <f>$Z$1</f>
        <v>.</v>
      </c>
      <c r="P153" s="433"/>
    </row>
    <row r="154" spans="1:16" ht="18.600000000000001" customHeight="1" x14ac:dyDescent="0.2">
      <c r="A154" s="436"/>
      <c r="B154" s="436"/>
      <c r="C154" s="436"/>
      <c r="D154" s="436"/>
      <c r="E154" s="31" t="s">
        <v>381</v>
      </c>
      <c r="F154" s="31" t="s">
        <v>382</v>
      </c>
      <c r="G154" s="31" t="s">
        <v>381</v>
      </c>
      <c r="H154" s="31" t="s">
        <v>382</v>
      </c>
      <c r="I154" s="80" t="s">
        <v>381</v>
      </c>
      <c r="J154" s="31" t="s">
        <v>382</v>
      </c>
      <c r="K154" s="80" t="s">
        <v>381</v>
      </c>
      <c r="L154" s="31" t="s">
        <v>382</v>
      </c>
      <c r="M154" s="31" t="s">
        <v>381</v>
      </c>
      <c r="N154" s="31" t="s">
        <v>382</v>
      </c>
      <c r="O154" s="31" t="s">
        <v>381</v>
      </c>
      <c r="P154" s="31" t="s">
        <v>382</v>
      </c>
    </row>
    <row r="155" spans="1:16" ht="18.600000000000001" customHeight="1" x14ac:dyDescent="0.2">
      <c r="A155" s="32">
        <v>1</v>
      </c>
      <c r="B155" s="24"/>
      <c r="C155" s="24"/>
      <c r="D155" s="24"/>
      <c r="E155" s="32"/>
      <c r="F155" s="34"/>
      <c r="G155" s="32"/>
      <c r="H155" s="93"/>
      <c r="I155" s="81"/>
      <c r="J155" s="34"/>
      <c r="K155" s="34"/>
      <c r="L155" s="34"/>
      <c r="M155" s="32"/>
      <c r="N155" s="34"/>
      <c r="O155" s="32"/>
      <c r="P155" s="34"/>
    </row>
    <row r="156" spans="1:16" ht="18.600000000000001" customHeight="1" x14ac:dyDescent="0.2">
      <c r="A156" s="7">
        <f t="shared" ref="A156:A179" si="44">A155+1</f>
        <v>2</v>
      </c>
      <c r="B156" s="26"/>
      <c r="C156" s="26"/>
      <c r="D156" s="163"/>
      <c r="E156" s="7"/>
      <c r="F156" s="7"/>
      <c r="G156" s="7"/>
      <c r="H156" s="7"/>
      <c r="I156" s="82"/>
      <c r="J156" s="7"/>
      <c r="K156" s="7"/>
      <c r="L156" s="7"/>
      <c r="M156" s="7"/>
      <c r="N156" s="7"/>
      <c r="O156" s="7"/>
      <c r="P156" s="7"/>
    </row>
    <row r="157" spans="1:16" ht="18.600000000000001" customHeight="1" x14ac:dyDescent="0.3">
      <c r="A157" s="7">
        <f t="shared" si="44"/>
        <v>3</v>
      </c>
      <c r="B157" s="143"/>
      <c r="C157" s="143"/>
      <c r="D157" s="143"/>
      <c r="E157" s="7"/>
      <c r="F157" s="7"/>
      <c r="G157" s="7"/>
      <c r="H157" s="7"/>
      <c r="I157" s="82"/>
      <c r="J157" s="7"/>
      <c r="K157" s="7"/>
      <c r="L157" s="7"/>
      <c r="M157" s="7"/>
      <c r="N157" s="7"/>
      <c r="O157" s="7"/>
      <c r="P157" s="7"/>
    </row>
    <row r="158" spans="1:16" ht="18.600000000000001" customHeight="1" x14ac:dyDescent="0.2">
      <c r="A158" s="7">
        <f t="shared" si="44"/>
        <v>4</v>
      </c>
      <c r="B158" s="24"/>
      <c r="C158" s="24"/>
      <c r="D158" s="26"/>
      <c r="E158" s="7"/>
      <c r="F158" s="7"/>
      <c r="G158" s="7"/>
      <c r="H158" s="7"/>
      <c r="I158" s="82"/>
      <c r="J158" s="7"/>
      <c r="K158" s="7"/>
      <c r="L158" s="7"/>
      <c r="M158" s="7"/>
      <c r="N158" s="7"/>
      <c r="O158" s="7"/>
      <c r="P158" s="7"/>
    </row>
    <row r="159" spans="1:16" ht="18.600000000000001" customHeight="1" x14ac:dyDescent="0.3">
      <c r="A159" s="6">
        <f t="shared" si="44"/>
        <v>5</v>
      </c>
      <c r="B159" s="143"/>
      <c r="C159" s="143"/>
      <c r="D159" s="143"/>
      <c r="E159" s="16"/>
      <c r="F159" s="16"/>
      <c r="G159" s="16"/>
      <c r="H159" s="16"/>
      <c r="I159" s="83"/>
      <c r="J159" s="16"/>
      <c r="K159" s="16"/>
      <c r="L159" s="16"/>
      <c r="M159" s="16"/>
      <c r="N159" s="16"/>
      <c r="O159" s="16"/>
      <c r="P159" s="16"/>
    </row>
    <row r="160" spans="1:16" ht="18.600000000000001" customHeight="1" x14ac:dyDescent="0.3">
      <c r="A160" s="56">
        <f t="shared" si="44"/>
        <v>6</v>
      </c>
      <c r="B160" s="143"/>
      <c r="C160" s="143"/>
      <c r="D160" s="143"/>
      <c r="E160" s="2"/>
      <c r="F160" s="2"/>
      <c r="G160" s="2"/>
      <c r="H160" s="2"/>
      <c r="I160" s="84"/>
      <c r="J160" s="2"/>
      <c r="K160" s="2"/>
      <c r="L160" s="2"/>
      <c r="M160" s="2"/>
      <c r="N160" s="2"/>
      <c r="O160" s="2"/>
      <c r="P160" s="2"/>
    </row>
    <row r="161" spans="1:16" ht="18.600000000000001" customHeight="1" x14ac:dyDescent="0.3">
      <c r="A161" s="6">
        <f t="shared" si="44"/>
        <v>7</v>
      </c>
      <c r="B161" s="143"/>
      <c r="C161" s="143"/>
      <c r="D161" s="143"/>
      <c r="E161" s="4"/>
      <c r="F161" s="4"/>
      <c r="G161" s="4"/>
      <c r="H161" s="4"/>
      <c r="I161" s="85"/>
      <c r="J161" s="4"/>
      <c r="K161" s="4"/>
      <c r="L161" s="4"/>
      <c r="M161" s="4"/>
      <c r="N161" s="4"/>
      <c r="O161" s="4"/>
      <c r="P161" s="4"/>
    </row>
    <row r="162" spans="1:16" ht="18.600000000000001" customHeight="1" x14ac:dyDescent="0.3">
      <c r="A162" s="6">
        <f t="shared" si="44"/>
        <v>8</v>
      </c>
      <c r="B162" s="143"/>
      <c r="C162" s="143"/>
      <c r="D162" s="143"/>
      <c r="E162" s="4"/>
      <c r="F162" s="4"/>
      <c r="G162" s="4"/>
      <c r="H162" s="4"/>
      <c r="I162" s="85"/>
      <c r="J162" s="4"/>
      <c r="K162" s="4"/>
      <c r="L162" s="4"/>
      <c r="M162" s="4"/>
      <c r="N162" s="4"/>
      <c r="O162" s="4"/>
      <c r="P162" s="4"/>
    </row>
    <row r="163" spans="1:16" ht="18.600000000000001" customHeight="1" x14ac:dyDescent="0.2">
      <c r="A163" s="6">
        <f t="shared" si="44"/>
        <v>9</v>
      </c>
      <c r="B163" s="25"/>
      <c r="C163" s="25"/>
      <c r="D163" s="163"/>
      <c r="E163" s="4"/>
      <c r="F163" s="4"/>
      <c r="G163" s="4"/>
      <c r="H163" s="4"/>
      <c r="I163" s="85"/>
      <c r="J163" s="4"/>
      <c r="K163" s="4"/>
      <c r="L163" s="4"/>
      <c r="M163" s="4"/>
      <c r="N163" s="4"/>
      <c r="O163" s="4"/>
      <c r="P163" s="4"/>
    </row>
    <row r="164" spans="1:16" ht="18.600000000000001" customHeight="1" x14ac:dyDescent="0.3">
      <c r="A164" s="10">
        <f t="shared" si="44"/>
        <v>10</v>
      </c>
      <c r="B164" s="39"/>
      <c r="C164" s="24"/>
      <c r="D164" s="163"/>
      <c r="E164" s="12"/>
      <c r="F164" s="12"/>
      <c r="G164" s="12"/>
      <c r="H164" s="12"/>
      <c r="I164" s="86"/>
      <c r="J164" s="12"/>
      <c r="K164" s="12"/>
      <c r="L164" s="12"/>
      <c r="M164" s="12"/>
      <c r="N164" s="12"/>
      <c r="O164" s="12"/>
      <c r="P164" s="12"/>
    </row>
    <row r="165" spans="1:16" ht="18.600000000000001" customHeight="1" x14ac:dyDescent="0.2">
      <c r="A165" s="35">
        <f t="shared" si="44"/>
        <v>11</v>
      </c>
      <c r="B165" s="25"/>
      <c r="C165" s="25"/>
      <c r="D165" s="163"/>
      <c r="E165" s="14"/>
      <c r="F165" s="14"/>
      <c r="G165" s="14"/>
      <c r="H165" s="14"/>
      <c r="I165" s="87"/>
      <c r="J165" s="14"/>
      <c r="K165" s="14"/>
      <c r="L165" s="14"/>
      <c r="M165" s="14"/>
      <c r="N165" s="14"/>
      <c r="O165" s="14"/>
      <c r="P165" s="14"/>
    </row>
    <row r="166" spans="1:16" ht="18.600000000000001" customHeight="1" x14ac:dyDescent="0.3">
      <c r="A166" s="7">
        <f t="shared" si="44"/>
        <v>12</v>
      </c>
      <c r="B166" s="143"/>
      <c r="C166" s="143"/>
      <c r="D166" s="143"/>
      <c r="E166" s="4"/>
      <c r="F166" s="4"/>
      <c r="G166" s="4"/>
      <c r="H166" s="4"/>
      <c r="I166" s="85"/>
      <c r="J166" s="4"/>
      <c r="K166" s="4"/>
      <c r="L166" s="4"/>
      <c r="M166" s="4"/>
      <c r="N166" s="4"/>
      <c r="O166" s="4"/>
      <c r="P166" s="4"/>
    </row>
    <row r="167" spans="1:16" ht="18.600000000000001" customHeight="1" x14ac:dyDescent="0.3">
      <c r="A167" s="7">
        <f t="shared" si="44"/>
        <v>13</v>
      </c>
      <c r="B167" s="143"/>
      <c r="C167" s="143"/>
      <c r="D167" s="143"/>
      <c r="E167" s="4"/>
      <c r="F167" s="4"/>
      <c r="G167" s="4"/>
      <c r="H167" s="4"/>
      <c r="I167" s="85"/>
      <c r="J167" s="4"/>
      <c r="K167" s="4"/>
      <c r="L167" s="4"/>
      <c r="M167" s="4"/>
      <c r="N167" s="4"/>
      <c r="O167" s="4"/>
      <c r="P167" s="4"/>
    </row>
    <row r="168" spans="1:16" ht="18.600000000000001" customHeight="1" x14ac:dyDescent="0.3">
      <c r="A168" s="7">
        <f t="shared" si="44"/>
        <v>14</v>
      </c>
      <c r="B168" s="143"/>
      <c r="C168" s="143"/>
      <c r="D168" s="143"/>
      <c r="E168" s="4"/>
      <c r="F168" s="4"/>
      <c r="G168" s="4"/>
      <c r="H168" s="4"/>
      <c r="I168" s="85"/>
      <c r="J168" s="4"/>
      <c r="K168" s="4"/>
      <c r="L168" s="4"/>
      <c r="M168" s="4"/>
      <c r="N168" s="4"/>
      <c r="O168" s="4"/>
      <c r="P168" s="4"/>
    </row>
    <row r="169" spans="1:16" ht="18.600000000000001" customHeight="1" x14ac:dyDescent="0.2">
      <c r="A169" s="6">
        <f t="shared" si="44"/>
        <v>15</v>
      </c>
      <c r="B169" s="24"/>
      <c r="C169" s="24"/>
      <c r="D169" s="163"/>
      <c r="E169" s="16"/>
      <c r="F169" s="16"/>
      <c r="G169" s="16"/>
      <c r="H169" s="16"/>
      <c r="I169" s="83"/>
      <c r="J169" s="16"/>
      <c r="K169" s="16"/>
      <c r="L169" s="16"/>
      <c r="M169" s="16"/>
      <c r="N169" s="16"/>
      <c r="O169" s="16"/>
      <c r="P169" s="16"/>
    </row>
    <row r="170" spans="1:16" ht="18.600000000000001" customHeight="1" x14ac:dyDescent="0.2">
      <c r="A170" s="32">
        <f t="shared" si="44"/>
        <v>16</v>
      </c>
      <c r="B170" s="25"/>
      <c r="C170" s="25"/>
      <c r="D170" s="163"/>
      <c r="E170" s="2"/>
      <c r="F170" s="2"/>
      <c r="G170" s="2"/>
      <c r="H170" s="2"/>
      <c r="I170" s="84"/>
      <c r="J170" s="2"/>
      <c r="K170" s="2"/>
      <c r="L170" s="2"/>
      <c r="M170" s="2"/>
      <c r="N170" s="2"/>
      <c r="O170" s="2"/>
      <c r="P170" s="2"/>
    </row>
    <row r="171" spans="1:16" ht="18.600000000000001" customHeight="1" x14ac:dyDescent="0.2">
      <c r="A171" s="7">
        <f t="shared" si="44"/>
        <v>17</v>
      </c>
      <c r="B171" s="26"/>
      <c r="C171" s="26"/>
      <c r="D171" s="163"/>
      <c r="E171" s="4"/>
      <c r="F171" s="4"/>
      <c r="G171" s="4"/>
      <c r="H171" s="4"/>
      <c r="I171" s="85"/>
      <c r="J171" s="4"/>
      <c r="K171" s="4"/>
      <c r="L171" s="4"/>
      <c r="M171" s="4"/>
      <c r="N171" s="4"/>
      <c r="O171" s="4"/>
      <c r="P171" s="4"/>
    </row>
    <row r="172" spans="1:16" ht="18.600000000000001" customHeight="1" x14ac:dyDescent="0.2">
      <c r="A172" s="7">
        <f t="shared" si="44"/>
        <v>18</v>
      </c>
      <c r="B172" s="25"/>
      <c r="C172" s="25"/>
      <c r="D172" s="163"/>
      <c r="E172" s="4"/>
      <c r="F172" s="4"/>
      <c r="G172" s="4"/>
      <c r="H172" s="4"/>
      <c r="I172" s="85"/>
      <c r="J172" s="4"/>
      <c r="K172" s="4"/>
      <c r="L172" s="4"/>
      <c r="M172" s="4"/>
      <c r="N172" s="4"/>
      <c r="O172" s="4"/>
      <c r="P172" s="4"/>
    </row>
    <row r="173" spans="1:16" ht="18.600000000000001" customHeight="1" x14ac:dyDescent="0.2">
      <c r="A173" s="7">
        <f t="shared" si="44"/>
        <v>19</v>
      </c>
      <c r="B173" s="26"/>
      <c r="C173" s="26"/>
      <c r="D173" s="163"/>
      <c r="E173" s="4"/>
      <c r="F173" s="4"/>
      <c r="G173" s="4"/>
      <c r="H173" s="4"/>
      <c r="I173" s="85"/>
      <c r="J173" s="4"/>
      <c r="K173" s="4"/>
      <c r="L173" s="4"/>
      <c r="M173" s="4"/>
      <c r="N173" s="4"/>
      <c r="O173" s="4"/>
      <c r="P173" s="4"/>
    </row>
    <row r="174" spans="1:16" ht="18.600000000000001" customHeight="1" x14ac:dyDescent="0.3">
      <c r="A174" s="10">
        <f t="shared" si="44"/>
        <v>20</v>
      </c>
      <c r="B174" s="143"/>
      <c r="C174" s="146"/>
      <c r="D174" s="143"/>
      <c r="E174" s="12"/>
      <c r="F174" s="12"/>
      <c r="G174" s="12"/>
      <c r="H174" s="12"/>
      <c r="I174" s="86"/>
      <c r="J174" s="12"/>
      <c r="K174" s="12"/>
      <c r="L174" s="12"/>
      <c r="M174" s="12"/>
      <c r="N174" s="12"/>
      <c r="O174" s="12"/>
      <c r="P174" s="12"/>
    </row>
    <row r="175" spans="1:16" ht="18.600000000000001" customHeight="1" x14ac:dyDescent="0.2">
      <c r="A175" s="35">
        <f t="shared" si="44"/>
        <v>21</v>
      </c>
      <c r="B175" s="26"/>
      <c r="C175" s="26"/>
      <c r="D175" s="163"/>
      <c r="E175" s="14"/>
      <c r="F175" s="14"/>
      <c r="G175" s="14"/>
      <c r="H175" s="14"/>
      <c r="I175" s="87"/>
      <c r="J175" s="14"/>
      <c r="K175" s="14"/>
      <c r="L175" s="14"/>
      <c r="M175" s="14"/>
      <c r="N175" s="14"/>
      <c r="O175" s="14"/>
      <c r="P175" s="14"/>
    </row>
    <row r="176" spans="1:16" ht="18.600000000000001" customHeight="1" x14ac:dyDescent="0.3">
      <c r="A176" s="7">
        <f t="shared" si="44"/>
        <v>22</v>
      </c>
      <c r="B176" s="143"/>
      <c r="C176" s="143"/>
      <c r="D176" s="143"/>
      <c r="E176" s="4"/>
      <c r="F176" s="4"/>
      <c r="G176" s="4"/>
      <c r="H176" s="4"/>
      <c r="I176" s="85"/>
      <c r="J176" s="4"/>
      <c r="K176" s="4"/>
      <c r="L176" s="4"/>
      <c r="M176" s="4"/>
      <c r="N176" s="4"/>
      <c r="O176" s="4"/>
      <c r="P176" s="4"/>
    </row>
    <row r="177" spans="1:16" ht="18.600000000000001" customHeight="1" x14ac:dyDescent="0.2">
      <c r="A177" s="35">
        <f t="shared" si="44"/>
        <v>23</v>
      </c>
      <c r="B177" s="3"/>
      <c r="C177" s="4"/>
      <c r="D177" s="8"/>
      <c r="E177" s="4"/>
      <c r="F177" s="4"/>
      <c r="G177" s="4"/>
      <c r="H177" s="4"/>
      <c r="I177" s="85"/>
      <c r="J177" s="4"/>
      <c r="K177" s="4"/>
      <c r="L177" s="4"/>
      <c r="M177" s="4"/>
      <c r="N177" s="4"/>
      <c r="O177" s="4"/>
      <c r="P177" s="4"/>
    </row>
    <row r="178" spans="1:16" ht="18.600000000000001" customHeight="1" x14ac:dyDescent="0.2">
      <c r="A178" s="7">
        <f t="shared" si="44"/>
        <v>24</v>
      </c>
      <c r="B178" s="3"/>
      <c r="C178" s="4"/>
      <c r="D178" s="8"/>
      <c r="E178" s="4"/>
      <c r="F178" s="4"/>
      <c r="G178" s="4"/>
      <c r="H178" s="4"/>
      <c r="I178" s="85"/>
      <c r="J178" s="4"/>
      <c r="K178" s="4"/>
      <c r="L178" s="4"/>
      <c r="M178" s="4"/>
      <c r="N178" s="4"/>
      <c r="O178" s="4"/>
      <c r="P178" s="4"/>
    </row>
    <row r="179" spans="1:16" ht="18.600000000000001" customHeight="1" x14ac:dyDescent="0.2">
      <c r="A179" s="35">
        <f t="shared" si="44"/>
        <v>25</v>
      </c>
      <c r="B179" s="11"/>
      <c r="C179" s="12"/>
      <c r="D179" s="9"/>
      <c r="E179" s="12"/>
      <c r="F179" s="12"/>
      <c r="G179" s="12"/>
      <c r="H179" s="12"/>
      <c r="I179" s="86"/>
      <c r="J179" s="12"/>
      <c r="K179" s="12"/>
      <c r="L179" s="12"/>
      <c r="M179" s="12"/>
      <c r="N179" s="12"/>
      <c r="O179" s="12"/>
      <c r="P179" s="12"/>
    </row>
    <row r="180" spans="1:16" ht="18.600000000000001" customHeight="1" x14ac:dyDescent="0.3">
      <c r="A180" s="147"/>
      <c r="B180" s="148"/>
      <c r="C180" s="147"/>
      <c r="D180" s="149"/>
      <c r="E180" s="150">
        <f>SUBTOTAL(9,E155:E179)</f>
        <v>0</v>
      </c>
      <c r="F180" s="152"/>
      <c r="G180" s="150">
        <f t="shared" ref="G180" si="45">SUBTOTAL(9,G155:G179)</f>
        <v>0</v>
      </c>
      <c r="H180" s="152"/>
      <c r="I180" s="150">
        <f t="shared" ref="I180" si="46">SUBTOTAL(9,I155:I179)</f>
        <v>0</v>
      </c>
      <c r="J180" s="152"/>
      <c r="K180" s="152"/>
      <c r="L180" s="152"/>
      <c r="M180" s="150">
        <f t="shared" ref="M180" si="47">SUBTOTAL(9,M155:M179)</f>
        <v>0</v>
      </c>
      <c r="N180" s="152"/>
      <c r="O180" s="150">
        <f t="shared" ref="O180" si="48">SUBTOTAL(9,O155:O179)</f>
        <v>0</v>
      </c>
      <c r="P180" s="152"/>
    </row>
    <row r="181" spans="1:16" ht="18.600000000000001" customHeight="1" x14ac:dyDescent="0.2">
      <c r="A181" s="434" t="str">
        <f>A121</f>
        <v>DANH SÁCH LỚP STARTER</v>
      </c>
      <c r="B181" s="434"/>
      <c r="C181" s="434"/>
      <c r="D181" s="434"/>
      <c r="E181" s="434"/>
      <c r="F181" s="434"/>
      <c r="G181" s="434"/>
      <c r="H181" s="434"/>
      <c r="I181" s="92" t="s">
        <v>1161</v>
      </c>
      <c r="J181" s="48"/>
      <c r="K181" s="48"/>
      <c r="L181" s="48"/>
      <c r="M181" s="41"/>
      <c r="N181" s="41"/>
      <c r="O181" s="41"/>
      <c r="P181" s="41"/>
    </row>
    <row r="182" spans="1:16" ht="18.600000000000001" customHeight="1" x14ac:dyDescent="0.2">
      <c r="A182" s="28"/>
      <c r="B182" s="29"/>
      <c r="C182" s="30"/>
      <c r="D182" s="36"/>
      <c r="E182" s="28"/>
      <c r="F182" s="28"/>
      <c r="G182" s="28"/>
      <c r="H182" s="28"/>
      <c r="I182" s="79"/>
      <c r="J182" s="28"/>
      <c r="K182" s="28"/>
      <c r="L182" s="28"/>
      <c r="M182" s="28"/>
      <c r="N182" s="28"/>
      <c r="O182" s="28"/>
      <c r="P182" s="28"/>
    </row>
    <row r="183" spans="1:16" ht="18.600000000000001" customHeight="1" x14ac:dyDescent="0.2">
      <c r="A183" s="435" t="s">
        <v>374</v>
      </c>
      <c r="B183" s="435" t="s">
        <v>380</v>
      </c>
      <c r="C183" s="435" t="s">
        <v>383</v>
      </c>
      <c r="D183" s="437" t="s">
        <v>384</v>
      </c>
      <c r="E183" s="438" t="s">
        <v>385</v>
      </c>
      <c r="F183" s="439"/>
      <c r="G183" s="432" t="str">
        <f>$R$1</f>
        <v>Hè 1</v>
      </c>
      <c r="H183" s="433"/>
      <c r="I183" s="432" t="str">
        <f>$T$1</f>
        <v>Hè 2</v>
      </c>
      <c r="J183" s="433"/>
      <c r="K183" s="432" t="str">
        <f>$V$1</f>
        <v>Hè 3</v>
      </c>
      <c r="L183" s="433"/>
      <c r="M183" s="432" t="str">
        <f>$X$1</f>
        <v>.</v>
      </c>
      <c r="N183" s="433"/>
      <c r="O183" s="432" t="str">
        <f>$Z$1</f>
        <v>.</v>
      </c>
      <c r="P183" s="433"/>
    </row>
    <row r="184" spans="1:16" ht="18.600000000000001" customHeight="1" x14ac:dyDescent="0.2">
      <c r="A184" s="436"/>
      <c r="B184" s="436"/>
      <c r="C184" s="436"/>
      <c r="D184" s="436"/>
      <c r="E184" s="31" t="s">
        <v>381</v>
      </c>
      <c r="F184" s="31" t="s">
        <v>382</v>
      </c>
      <c r="G184" s="31" t="s">
        <v>381</v>
      </c>
      <c r="H184" s="31" t="s">
        <v>382</v>
      </c>
      <c r="I184" s="80" t="s">
        <v>381</v>
      </c>
      <c r="J184" s="31" t="s">
        <v>382</v>
      </c>
      <c r="K184" s="80" t="s">
        <v>381</v>
      </c>
      <c r="L184" s="31" t="s">
        <v>382</v>
      </c>
      <c r="M184" s="31" t="s">
        <v>381</v>
      </c>
      <c r="N184" s="31" t="s">
        <v>382</v>
      </c>
      <c r="O184" s="31" t="s">
        <v>381</v>
      </c>
      <c r="P184" s="31" t="s">
        <v>382</v>
      </c>
    </row>
    <row r="185" spans="1:16" ht="18.600000000000001" customHeight="1" x14ac:dyDescent="0.3">
      <c r="A185" s="32">
        <v>1</v>
      </c>
      <c r="B185" s="143"/>
      <c r="C185" s="143"/>
      <c r="D185" s="143"/>
      <c r="E185" s="32"/>
      <c r="F185" s="34"/>
      <c r="G185" s="32"/>
      <c r="H185" s="93"/>
      <c r="I185" s="81"/>
      <c r="J185" s="34"/>
      <c r="K185" s="34"/>
      <c r="L185" s="34"/>
      <c r="M185" s="32"/>
      <c r="N185" s="34"/>
      <c r="O185" s="32"/>
      <c r="P185" s="34"/>
    </row>
    <row r="186" spans="1:16" ht="18.600000000000001" customHeight="1" x14ac:dyDescent="0.2">
      <c r="A186" s="7">
        <f t="shared" ref="A186:A209" si="49">A185+1</f>
        <v>2</v>
      </c>
      <c r="B186" s="24"/>
      <c r="C186" s="24"/>
      <c r="D186" s="24"/>
      <c r="E186" s="7"/>
      <c r="F186" s="7"/>
      <c r="G186" s="7"/>
      <c r="H186" s="7"/>
      <c r="I186" s="82"/>
      <c r="J186" s="7"/>
      <c r="K186" s="7"/>
      <c r="L186" s="7"/>
      <c r="M186" s="7"/>
      <c r="N186" s="7"/>
      <c r="O186" s="7"/>
      <c r="P186" s="7"/>
    </row>
    <row r="187" spans="1:16" ht="18.600000000000001" customHeight="1" x14ac:dyDescent="0.3">
      <c r="A187" s="7">
        <f t="shared" si="49"/>
        <v>3</v>
      </c>
      <c r="B187" s="143"/>
      <c r="C187" s="143"/>
      <c r="D187" s="143"/>
      <c r="E187" s="7"/>
      <c r="F187" s="7"/>
      <c r="G187" s="7"/>
      <c r="H187" s="7"/>
      <c r="I187" s="82"/>
      <c r="J187" s="7"/>
      <c r="K187" s="7"/>
      <c r="L187" s="7"/>
      <c r="M187" s="7"/>
      <c r="N187" s="7"/>
      <c r="O187" s="7"/>
      <c r="P187" s="7"/>
    </row>
    <row r="188" spans="1:16" ht="18.600000000000001" customHeight="1" x14ac:dyDescent="0.2">
      <c r="A188" s="7">
        <f t="shared" si="49"/>
        <v>4</v>
      </c>
      <c r="B188" s="26"/>
      <c r="C188" s="26"/>
      <c r="D188" s="163"/>
      <c r="E188" s="7"/>
      <c r="F188" s="7"/>
      <c r="G188" s="7"/>
      <c r="H188" s="7"/>
      <c r="I188" s="82"/>
      <c r="J188" s="7"/>
      <c r="K188" s="7"/>
      <c r="L188" s="7"/>
      <c r="M188" s="7"/>
      <c r="N188" s="7"/>
      <c r="O188" s="7"/>
      <c r="P188" s="7"/>
    </row>
    <row r="189" spans="1:16" ht="18.600000000000001" customHeight="1" x14ac:dyDescent="0.2">
      <c r="A189" s="6">
        <f t="shared" si="49"/>
        <v>5</v>
      </c>
      <c r="B189" s="26"/>
      <c r="C189" s="26"/>
      <c r="D189" s="24"/>
      <c r="E189" s="16"/>
      <c r="F189" s="16"/>
      <c r="G189" s="16"/>
      <c r="H189" s="16"/>
      <c r="I189" s="83"/>
      <c r="J189" s="16"/>
      <c r="K189" s="16"/>
      <c r="L189" s="16"/>
      <c r="M189" s="16"/>
      <c r="N189" s="16"/>
      <c r="O189" s="16"/>
      <c r="P189" s="16"/>
    </row>
    <row r="190" spans="1:16" ht="18.600000000000001" customHeight="1" x14ac:dyDescent="0.2">
      <c r="A190" s="56">
        <f t="shared" si="49"/>
        <v>6</v>
      </c>
      <c r="B190" s="26"/>
      <c r="C190" s="26"/>
      <c r="D190" s="25"/>
      <c r="E190" s="2"/>
      <c r="F190" s="2"/>
      <c r="G190" s="2"/>
      <c r="H190" s="2"/>
      <c r="I190" s="84"/>
      <c r="J190" s="2"/>
      <c r="K190" s="2"/>
      <c r="L190" s="2"/>
      <c r="M190" s="2"/>
      <c r="N190" s="2"/>
      <c r="O190" s="2"/>
      <c r="P190" s="2"/>
    </row>
    <row r="191" spans="1:16" ht="18.600000000000001" customHeight="1" x14ac:dyDescent="0.2">
      <c r="A191" s="6">
        <f t="shared" si="49"/>
        <v>7</v>
      </c>
      <c r="B191" s="26"/>
      <c r="C191" s="26"/>
      <c r="D191" s="26"/>
      <c r="E191" s="4"/>
      <c r="F191" s="4"/>
      <c r="G191" s="4"/>
      <c r="H191" s="4"/>
      <c r="I191" s="85"/>
      <c r="J191" s="4"/>
      <c r="K191" s="4"/>
      <c r="L191" s="4"/>
      <c r="M191" s="4"/>
      <c r="N191" s="4"/>
      <c r="O191" s="4"/>
      <c r="P191" s="4"/>
    </row>
    <row r="192" spans="1:16" ht="18.600000000000001" customHeight="1" x14ac:dyDescent="0.3">
      <c r="A192" s="6">
        <f t="shared" si="49"/>
        <v>8</v>
      </c>
      <c r="B192" s="143"/>
      <c r="C192" s="143"/>
      <c r="D192" s="143"/>
      <c r="E192" s="4"/>
      <c r="F192" s="4"/>
      <c r="G192" s="4"/>
      <c r="H192" s="4"/>
      <c r="I192" s="85"/>
      <c r="J192" s="4"/>
      <c r="K192" s="4"/>
      <c r="L192" s="4"/>
      <c r="M192" s="4"/>
      <c r="N192" s="4"/>
      <c r="O192" s="4"/>
      <c r="P192" s="4"/>
    </row>
    <row r="193" spans="1:16" ht="18.600000000000001" customHeight="1" x14ac:dyDescent="0.3">
      <c r="A193" s="6">
        <f t="shared" si="49"/>
        <v>9</v>
      </c>
      <c r="B193" s="143"/>
      <c r="C193" s="143"/>
      <c r="D193" s="143"/>
      <c r="E193" s="4"/>
      <c r="F193" s="4"/>
      <c r="G193" s="4"/>
      <c r="H193" s="4"/>
      <c r="I193" s="85"/>
      <c r="J193" s="4"/>
      <c r="K193" s="4"/>
      <c r="L193" s="4"/>
      <c r="M193" s="4"/>
      <c r="N193" s="4"/>
      <c r="O193" s="4"/>
      <c r="P193" s="4"/>
    </row>
    <row r="194" spans="1:16" ht="18.600000000000001" customHeight="1" x14ac:dyDescent="0.2">
      <c r="A194" s="10">
        <f t="shared" si="49"/>
        <v>10</v>
      </c>
      <c r="B194" s="26"/>
      <c r="C194" s="26"/>
      <c r="D194" s="164"/>
      <c r="E194" s="12"/>
      <c r="F194" s="12"/>
      <c r="G194" s="12"/>
      <c r="H194" s="12"/>
      <c r="I194" s="86"/>
      <c r="J194" s="12"/>
      <c r="K194" s="12"/>
      <c r="L194" s="12"/>
      <c r="M194" s="12"/>
      <c r="N194" s="12"/>
      <c r="O194" s="12"/>
      <c r="P194" s="12"/>
    </row>
    <row r="195" spans="1:16" ht="18.600000000000001" customHeight="1" x14ac:dyDescent="0.3">
      <c r="A195" s="35">
        <f t="shared" si="49"/>
        <v>11</v>
      </c>
      <c r="B195" s="143"/>
      <c r="C195" s="143"/>
      <c r="D195" s="143"/>
      <c r="E195" s="14"/>
      <c r="F195" s="14"/>
      <c r="G195" s="14"/>
      <c r="H195" s="14"/>
      <c r="I195" s="87"/>
      <c r="J195" s="14"/>
      <c r="K195" s="14"/>
      <c r="L195" s="14"/>
      <c r="M195" s="14"/>
      <c r="N195" s="14"/>
      <c r="O195" s="14"/>
      <c r="P195" s="14"/>
    </row>
    <row r="196" spans="1:16" ht="18.600000000000001" customHeight="1" x14ac:dyDescent="0.2">
      <c r="A196" s="7">
        <f t="shared" si="49"/>
        <v>12</v>
      </c>
      <c r="B196" s="24"/>
      <c r="C196" s="24"/>
      <c r="D196" s="24"/>
      <c r="E196" s="4"/>
      <c r="F196" s="4"/>
      <c r="G196" s="4"/>
      <c r="H196" s="4"/>
      <c r="I196" s="85"/>
      <c r="J196" s="4"/>
      <c r="K196" s="4"/>
      <c r="L196" s="4"/>
      <c r="M196" s="4"/>
      <c r="N196" s="4"/>
      <c r="O196" s="4"/>
      <c r="P196" s="4"/>
    </row>
    <row r="197" spans="1:16" ht="18.600000000000001" customHeight="1" x14ac:dyDescent="0.2">
      <c r="A197" s="7">
        <f t="shared" si="49"/>
        <v>13</v>
      </c>
      <c r="B197" s="26"/>
      <c r="C197" s="26"/>
      <c r="D197" s="163"/>
      <c r="E197" s="4"/>
      <c r="F197" s="4"/>
      <c r="G197" s="4"/>
      <c r="H197" s="4"/>
      <c r="I197" s="85"/>
      <c r="J197" s="4"/>
      <c r="K197" s="4"/>
      <c r="L197" s="4"/>
      <c r="M197" s="4"/>
      <c r="N197" s="4"/>
      <c r="O197" s="4"/>
      <c r="P197" s="4"/>
    </row>
    <row r="198" spans="1:16" ht="18.600000000000001" customHeight="1" x14ac:dyDescent="0.2">
      <c r="A198" s="7">
        <f t="shared" si="49"/>
        <v>14</v>
      </c>
      <c r="B198" s="24"/>
      <c r="C198" s="24"/>
      <c r="D198" s="24"/>
      <c r="E198" s="4"/>
      <c r="F198" s="4"/>
      <c r="G198" s="4"/>
      <c r="H198" s="4"/>
      <c r="I198" s="85"/>
      <c r="J198" s="4"/>
      <c r="K198" s="4"/>
      <c r="L198" s="4"/>
      <c r="M198" s="4"/>
      <c r="N198" s="4"/>
      <c r="O198" s="4"/>
      <c r="P198" s="4"/>
    </row>
    <row r="199" spans="1:16" ht="18.600000000000001" customHeight="1" x14ac:dyDescent="0.2">
      <c r="A199" s="6">
        <f t="shared" si="49"/>
        <v>15</v>
      </c>
      <c r="B199" s="26"/>
      <c r="C199" s="26"/>
      <c r="D199" s="163"/>
      <c r="E199" s="16"/>
      <c r="F199" s="16"/>
      <c r="G199" s="16"/>
      <c r="H199" s="16"/>
      <c r="I199" s="83"/>
      <c r="J199" s="16"/>
      <c r="K199" s="16"/>
      <c r="L199" s="16"/>
      <c r="M199" s="16"/>
      <c r="N199" s="16"/>
      <c r="O199" s="16"/>
      <c r="P199" s="16"/>
    </row>
    <row r="200" spans="1:16" ht="18.600000000000001" customHeight="1" x14ac:dyDescent="0.2">
      <c r="A200" s="32">
        <f t="shared" si="49"/>
        <v>16</v>
      </c>
      <c r="B200" s="26"/>
      <c r="C200" s="26"/>
      <c r="D200" s="164"/>
      <c r="E200" s="2"/>
      <c r="F200" s="2"/>
      <c r="G200" s="2"/>
      <c r="H200" s="2"/>
      <c r="I200" s="84"/>
      <c r="J200" s="2"/>
      <c r="K200" s="2"/>
      <c r="L200" s="2"/>
      <c r="M200" s="2"/>
      <c r="N200" s="2"/>
      <c r="O200" s="2"/>
      <c r="P200" s="2"/>
    </row>
    <row r="201" spans="1:16" ht="18.600000000000001" customHeight="1" x14ac:dyDescent="0.2">
      <c r="A201" s="7">
        <f t="shared" si="49"/>
        <v>17</v>
      </c>
      <c r="B201" s="26"/>
      <c r="C201" s="26"/>
      <c r="D201" s="163"/>
      <c r="E201" s="4"/>
      <c r="F201" s="4"/>
      <c r="G201" s="4"/>
      <c r="H201" s="4"/>
      <c r="I201" s="85"/>
      <c r="J201" s="4"/>
      <c r="K201" s="4"/>
      <c r="L201" s="4"/>
      <c r="M201" s="4"/>
      <c r="N201" s="4"/>
      <c r="O201" s="4"/>
      <c r="P201" s="4"/>
    </row>
    <row r="202" spans="1:16" ht="18.600000000000001" customHeight="1" x14ac:dyDescent="0.2">
      <c r="A202" s="7">
        <f t="shared" si="49"/>
        <v>18</v>
      </c>
      <c r="B202" s="26"/>
      <c r="C202" s="26"/>
      <c r="D202" s="26"/>
      <c r="E202" s="4"/>
      <c r="F202" s="4"/>
      <c r="G202" s="4"/>
      <c r="H202" s="4"/>
      <c r="I202" s="85"/>
      <c r="J202" s="4"/>
      <c r="K202" s="4"/>
      <c r="L202" s="4"/>
      <c r="M202" s="4"/>
      <c r="N202" s="4"/>
      <c r="O202" s="4"/>
      <c r="P202" s="4"/>
    </row>
    <row r="203" spans="1:16" ht="18.600000000000001" customHeight="1" x14ac:dyDescent="0.2">
      <c r="A203" s="7">
        <f t="shared" si="49"/>
        <v>19</v>
      </c>
      <c r="B203" s="3"/>
      <c r="C203" s="4"/>
      <c r="D203" s="8"/>
      <c r="E203" s="4"/>
      <c r="F203" s="4"/>
      <c r="G203" s="4"/>
      <c r="H203" s="4"/>
      <c r="I203" s="85"/>
      <c r="J203" s="4"/>
      <c r="K203" s="4"/>
      <c r="L203" s="4"/>
      <c r="M203" s="4"/>
      <c r="N203" s="4"/>
      <c r="O203" s="4"/>
      <c r="P203" s="4"/>
    </row>
    <row r="204" spans="1:16" ht="18.600000000000001" customHeight="1" x14ac:dyDescent="0.2">
      <c r="A204" s="10">
        <f t="shared" si="49"/>
        <v>20</v>
      </c>
      <c r="B204" s="11"/>
      <c r="C204" s="12"/>
      <c r="D204" s="9"/>
      <c r="E204" s="12"/>
      <c r="F204" s="12"/>
      <c r="G204" s="12"/>
      <c r="H204" s="12"/>
      <c r="I204" s="86"/>
      <c r="J204" s="12"/>
      <c r="K204" s="12"/>
      <c r="L204" s="12"/>
      <c r="M204" s="12"/>
      <c r="N204" s="12"/>
      <c r="O204" s="12"/>
      <c r="P204" s="12"/>
    </row>
    <row r="205" spans="1:16" ht="18.600000000000001" customHeight="1" x14ac:dyDescent="0.2">
      <c r="A205" s="35">
        <f t="shared" si="49"/>
        <v>21</v>
      </c>
      <c r="B205" s="13"/>
      <c r="C205" s="14"/>
      <c r="D205" s="37"/>
      <c r="E205" s="14"/>
      <c r="F205" s="14"/>
      <c r="G205" s="14"/>
      <c r="H205" s="14"/>
      <c r="I205" s="87"/>
      <c r="J205" s="14"/>
      <c r="K205" s="14"/>
      <c r="L205" s="14"/>
      <c r="M205" s="14"/>
      <c r="N205" s="14"/>
      <c r="O205" s="14"/>
      <c r="P205" s="14"/>
    </row>
    <row r="206" spans="1:16" ht="18.600000000000001" customHeight="1" x14ac:dyDescent="0.2">
      <c r="A206" s="7">
        <f t="shared" si="49"/>
        <v>22</v>
      </c>
      <c r="B206" s="3"/>
      <c r="C206" s="4"/>
      <c r="D206" s="8"/>
      <c r="E206" s="4"/>
      <c r="F206" s="4"/>
      <c r="G206" s="4"/>
      <c r="H206" s="4"/>
      <c r="I206" s="85"/>
      <c r="J206" s="4"/>
      <c r="K206" s="4"/>
      <c r="L206" s="4"/>
      <c r="M206" s="4"/>
      <c r="N206" s="4"/>
      <c r="O206" s="4"/>
      <c r="P206" s="4"/>
    </row>
    <row r="207" spans="1:16" ht="18.600000000000001" customHeight="1" x14ac:dyDescent="0.2">
      <c r="A207" s="35">
        <f t="shared" si="49"/>
        <v>23</v>
      </c>
      <c r="B207" s="3"/>
      <c r="C207" s="4"/>
      <c r="D207" s="8"/>
      <c r="E207" s="4"/>
      <c r="F207" s="4"/>
      <c r="G207" s="4"/>
      <c r="H207" s="4"/>
      <c r="I207" s="85"/>
      <c r="J207" s="4"/>
      <c r="K207" s="4"/>
      <c r="L207" s="4"/>
      <c r="M207" s="4"/>
      <c r="N207" s="4"/>
      <c r="O207" s="4"/>
      <c r="P207" s="4"/>
    </row>
    <row r="208" spans="1:16" ht="18.600000000000001" customHeight="1" x14ac:dyDescent="0.2">
      <c r="A208" s="7">
        <f t="shared" si="49"/>
        <v>24</v>
      </c>
      <c r="B208" s="3"/>
      <c r="C208" s="4"/>
      <c r="D208" s="8"/>
      <c r="E208" s="4"/>
      <c r="F208" s="4"/>
      <c r="G208" s="4"/>
      <c r="H208" s="4"/>
      <c r="I208" s="85"/>
      <c r="J208" s="4"/>
      <c r="K208" s="4"/>
      <c r="L208" s="4"/>
      <c r="M208" s="4"/>
      <c r="N208" s="4"/>
      <c r="O208" s="4"/>
      <c r="P208" s="4"/>
    </row>
    <row r="209" spans="1:16" ht="18.600000000000001" customHeight="1" x14ac:dyDescent="0.2">
      <c r="A209" s="35">
        <f t="shared" si="49"/>
        <v>25</v>
      </c>
      <c r="B209" s="11"/>
      <c r="C209" s="12"/>
      <c r="D209" s="9"/>
      <c r="E209" s="12"/>
      <c r="F209" s="12"/>
      <c r="G209" s="12"/>
      <c r="H209" s="12"/>
      <c r="I209" s="86"/>
      <c r="J209" s="12"/>
      <c r="K209" s="12"/>
      <c r="L209" s="12"/>
      <c r="M209" s="12"/>
      <c r="N209" s="12"/>
      <c r="O209" s="12"/>
      <c r="P209" s="12"/>
    </row>
    <row r="210" spans="1:16" ht="18.600000000000001" customHeight="1" x14ac:dyDescent="0.3">
      <c r="A210" s="147"/>
      <c r="B210" s="148"/>
      <c r="C210" s="147"/>
      <c r="D210" s="149"/>
      <c r="E210" s="150">
        <f>SUBTOTAL(9,E185:E209)</f>
        <v>0</v>
      </c>
      <c r="F210" s="152"/>
      <c r="G210" s="150">
        <f t="shared" ref="G210" si="50">SUBTOTAL(9,G185:G209)</f>
        <v>0</v>
      </c>
      <c r="H210" s="152"/>
      <c r="I210" s="150">
        <f t="shared" ref="I210" si="51">SUBTOTAL(9,I185:I209)</f>
        <v>0</v>
      </c>
      <c r="J210" s="152"/>
      <c r="K210" s="152"/>
      <c r="L210" s="152"/>
      <c r="M210" s="150">
        <f t="shared" ref="M210" si="52">SUBTOTAL(9,M185:M209)</f>
        <v>0</v>
      </c>
      <c r="N210" s="152"/>
      <c r="O210" s="150">
        <f t="shared" ref="O210" si="53">SUBTOTAL(9,O185:O209)</f>
        <v>0</v>
      </c>
      <c r="P210" s="152"/>
    </row>
    <row r="211" spans="1:16" ht="18.600000000000001" customHeight="1" x14ac:dyDescent="0.2">
      <c r="A211" s="434" t="str">
        <f>A151</f>
        <v>DANH SÁCH LỚP STARTER</v>
      </c>
      <c r="B211" s="434"/>
      <c r="C211" s="434"/>
      <c r="D211" s="434"/>
      <c r="E211" s="434"/>
      <c r="F211" s="434"/>
      <c r="G211" s="434"/>
      <c r="H211" s="434"/>
      <c r="I211" s="92" t="s">
        <v>1162</v>
      </c>
      <c r="J211" s="48"/>
      <c r="K211" s="48"/>
      <c r="L211" s="48"/>
      <c r="M211" s="41"/>
      <c r="N211" s="41"/>
      <c r="O211" s="41"/>
      <c r="P211" s="41"/>
    </row>
    <row r="212" spans="1:16" ht="18.600000000000001" customHeight="1" x14ac:dyDescent="0.2">
      <c r="A212" s="28"/>
      <c r="B212" s="29"/>
      <c r="C212" s="30"/>
      <c r="D212" s="36"/>
      <c r="E212" s="28"/>
      <c r="F212" s="28"/>
      <c r="G212" s="28"/>
      <c r="H212" s="28"/>
      <c r="I212" s="79"/>
      <c r="J212" s="28"/>
      <c r="K212" s="28"/>
      <c r="L212" s="28"/>
      <c r="M212" s="28"/>
      <c r="N212" s="28"/>
      <c r="O212" s="28"/>
      <c r="P212" s="28"/>
    </row>
    <row r="213" spans="1:16" ht="18.600000000000001" customHeight="1" x14ac:dyDescent="0.2">
      <c r="A213" s="435" t="s">
        <v>374</v>
      </c>
      <c r="B213" s="435" t="s">
        <v>380</v>
      </c>
      <c r="C213" s="435" t="s">
        <v>383</v>
      </c>
      <c r="D213" s="437" t="s">
        <v>384</v>
      </c>
      <c r="E213" s="438" t="s">
        <v>385</v>
      </c>
      <c r="F213" s="439"/>
      <c r="G213" s="432" t="str">
        <f>$R$1</f>
        <v>Hè 1</v>
      </c>
      <c r="H213" s="433"/>
      <c r="I213" s="432" t="str">
        <f>$T$1</f>
        <v>Hè 2</v>
      </c>
      <c r="J213" s="433"/>
      <c r="K213" s="432" t="str">
        <f>$V$1</f>
        <v>Hè 3</v>
      </c>
      <c r="L213" s="433"/>
      <c r="M213" s="432" t="str">
        <f>$X$1</f>
        <v>.</v>
      </c>
      <c r="N213" s="433"/>
      <c r="O213" s="432" t="str">
        <f>$Z$1</f>
        <v>.</v>
      </c>
      <c r="P213" s="433"/>
    </row>
    <row r="214" spans="1:16" ht="18.600000000000001" customHeight="1" x14ac:dyDescent="0.2">
      <c r="A214" s="436"/>
      <c r="B214" s="436"/>
      <c r="C214" s="436"/>
      <c r="D214" s="436"/>
      <c r="E214" s="31" t="s">
        <v>381</v>
      </c>
      <c r="F214" s="31" t="s">
        <v>382</v>
      </c>
      <c r="G214" s="31" t="s">
        <v>381</v>
      </c>
      <c r="H214" s="31" t="s">
        <v>382</v>
      </c>
      <c r="I214" s="80" t="s">
        <v>381</v>
      </c>
      <c r="J214" s="31" t="s">
        <v>382</v>
      </c>
      <c r="K214" s="80" t="s">
        <v>381</v>
      </c>
      <c r="L214" s="31" t="s">
        <v>382</v>
      </c>
      <c r="M214" s="31" t="s">
        <v>381</v>
      </c>
      <c r="N214" s="31" t="s">
        <v>382</v>
      </c>
      <c r="O214" s="31" t="s">
        <v>381</v>
      </c>
      <c r="P214" s="31" t="s">
        <v>382</v>
      </c>
    </row>
    <row r="215" spans="1:16" ht="18.600000000000001" customHeight="1" x14ac:dyDescent="0.2">
      <c r="A215" s="32">
        <v>1</v>
      </c>
      <c r="B215" s="27"/>
      <c r="C215" s="27"/>
      <c r="D215" s="27"/>
      <c r="E215" s="32"/>
      <c r="F215" s="34"/>
      <c r="G215" s="32"/>
      <c r="H215" s="93"/>
      <c r="I215" s="81"/>
      <c r="J215" s="34"/>
      <c r="K215" s="34"/>
      <c r="L215" s="34"/>
      <c r="M215" s="32"/>
      <c r="N215" s="34"/>
      <c r="O215" s="32"/>
      <c r="P215" s="34"/>
    </row>
    <row r="216" spans="1:16" ht="18.600000000000001" customHeight="1" x14ac:dyDescent="0.2">
      <c r="A216" s="7">
        <f t="shared" ref="A216:A239" si="54">A215+1</f>
        <v>2</v>
      </c>
      <c r="B216" s="24"/>
      <c r="C216" s="24"/>
      <c r="D216" s="24"/>
      <c r="E216" s="7"/>
      <c r="F216" s="7"/>
      <c r="G216" s="7"/>
      <c r="H216" s="7"/>
      <c r="I216" s="82"/>
      <c r="J216" s="7"/>
      <c r="K216" s="7"/>
      <c r="L216" s="7"/>
      <c r="M216" s="7"/>
      <c r="N216" s="7"/>
      <c r="O216" s="7"/>
      <c r="P216" s="7"/>
    </row>
    <row r="217" spans="1:16" ht="18.600000000000001" customHeight="1" x14ac:dyDescent="0.2">
      <c r="A217" s="7">
        <f t="shared" si="54"/>
        <v>3</v>
      </c>
      <c r="B217" s="24"/>
      <c r="C217" s="24"/>
      <c r="D217" s="24"/>
      <c r="E217" s="7"/>
      <c r="F217" s="7"/>
      <c r="G217" s="7"/>
      <c r="H217" s="7"/>
      <c r="I217" s="82"/>
      <c r="J217" s="7"/>
      <c r="K217" s="7"/>
      <c r="L217" s="7"/>
      <c r="M217" s="7"/>
      <c r="N217" s="7"/>
      <c r="O217" s="7"/>
      <c r="P217" s="7"/>
    </row>
    <row r="218" spans="1:16" ht="18.600000000000001" customHeight="1" x14ac:dyDescent="0.2">
      <c r="A218" s="7">
        <f t="shared" si="54"/>
        <v>4</v>
      </c>
      <c r="B218" s="24"/>
      <c r="C218" s="24"/>
      <c r="D218" s="24"/>
      <c r="E218" s="7"/>
      <c r="F218" s="7"/>
      <c r="G218" s="7"/>
      <c r="H218" s="7"/>
      <c r="I218" s="82"/>
      <c r="J218" s="7"/>
      <c r="K218" s="7"/>
      <c r="L218" s="7"/>
      <c r="M218" s="7"/>
      <c r="N218" s="7"/>
      <c r="O218" s="7"/>
      <c r="P218" s="7"/>
    </row>
    <row r="219" spans="1:16" ht="18.600000000000001" customHeight="1" x14ac:dyDescent="0.2">
      <c r="A219" s="6">
        <f t="shared" si="54"/>
        <v>5</v>
      </c>
      <c r="B219" s="24"/>
      <c r="C219" s="24"/>
      <c r="D219" s="24"/>
      <c r="E219" s="16"/>
      <c r="F219" s="16"/>
      <c r="G219" s="16"/>
      <c r="H219" s="16"/>
      <c r="I219" s="83"/>
      <c r="J219" s="16"/>
      <c r="K219" s="16"/>
      <c r="L219" s="16"/>
      <c r="M219" s="16"/>
      <c r="N219" s="16"/>
      <c r="O219" s="16"/>
      <c r="P219" s="16"/>
    </row>
    <row r="220" spans="1:16" ht="18.600000000000001" customHeight="1" x14ac:dyDescent="0.2">
      <c r="A220" s="56">
        <f t="shared" si="54"/>
        <v>6</v>
      </c>
      <c r="B220" s="26"/>
      <c r="C220" s="26"/>
      <c r="D220" s="25"/>
      <c r="E220" s="2"/>
      <c r="F220" s="2"/>
      <c r="G220" s="2"/>
      <c r="H220" s="2"/>
      <c r="I220" s="84"/>
      <c r="J220" s="2"/>
      <c r="K220" s="2"/>
      <c r="L220" s="2"/>
      <c r="M220" s="2"/>
      <c r="N220" s="2"/>
      <c r="O220" s="2"/>
      <c r="P220" s="2"/>
    </row>
    <row r="221" spans="1:16" ht="18.600000000000001" customHeight="1" x14ac:dyDescent="0.2">
      <c r="A221" s="6">
        <f t="shared" si="54"/>
        <v>7</v>
      </c>
      <c r="B221" s="24"/>
      <c r="C221" s="24"/>
      <c r="D221" s="24"/>
      <c r="E221" s="4"/>
      <c r="F221" s="4"/>
      <c r="G221" s="4"/>
      <c r="H221" s="4"/>
      <c r="I221" s="85"/>
      <c r="J221" s="4"/>
      <c r="K221" s="4"/>
      <c r="L221" s="4"/>
      <c r="M221" s="4"/>
      <c r="N221" s="4"/>
      <c r="O221" s="4"/>
      <c r="P221" s="4"/>
    </row>
    <row r="222" spans="1:16" ht="18.600000000000001" customHeight="1" x14ac:dyDescent="0.2">
      <c r="A222" s="6">
        <f t="shared" si="54"/>
        <v>8</v>
      </c>
      <c r="B222" s="24"/>
      <c r="C222" s="24"/>
      <c r="D222" s="24"/>
      <c r="E222" s="4"/>
      <c r="F222" s="4"/>
      <c r="G222" s="4"/>
      <c r="H222" s="4"/>
      <c r="I222" s="85"/>
      <c r="J222" s="4"/>
      <c r="K222" s="4"/>
      <c r="L222" s="4"/>
      <c r="M222" s="4"/>
      <c r="N222" s="4"/>
      <c r="O222" s="4"/>
      <c r="P222" s="4"/>
    </row>
    <row r="223" spans="1:16" ht="18.600000000000001" customHeight="1" x14ac:dyDescent="0.2">
      <c r="A223" s="6">
        <f t="shared" si="54"/>
        <v>9</v>
      </c>
      <c r="B223" s="26"/>
      <c r="C223" s="26"/>
      <c r="D223" s="163"/>
      <c r="E223" s="4"/>
      <c r="F223" s="4"/>
      <c r="G223" s="4"/>
      <c r="H223" s="4"/>
      <c r="I223" s="85"/>
      <c r="J223" s="4"/>
      <c r="K223" s="4"/>
      <c r="L223" s="4"/>
      <c r="M223" s="4"/>
      <c r="N223" s="4"/>
      <c r="O223" s="4"/>
      <c r="P223" s="4"/>
    </row>
    <row r="224" spans="1:16" ht="18.600000000000001" customHeight="1" x14ac:dyDescent="0.2">
      <c r="A224" s="10">
        <f t="shared" si="54"/>
        <v>10</v>
      </c>
      <c r="B224" s="24"/>
      <c r="C224" s="24"/>
      <c r="D224" s="24"/>
      <c r="E224" s="12"/>
      <c r="F224" s="12"/>
      <c r="G224" s="12"/>
      <c r="H224" s="12"/>
      <c r="I224" s="86"/>
      <c r="J224" s="12"/>
      <c r="K224" s="12"/>
      <c r="L224" s="12"/>
      <c r="M224" s="12"/>
      <c r="N224" s="12"/>
      <c r="O224" s="12"/>
      <c r="P224" s="12"/>
    </row>
    <row r="225" spans="1:16" ht="18.600000000000001" customHeight="1" x14ac:dyDescent="0.2">
      <c r="A225" s="35">
        <f t="shared" si="54"/>
        <v>11</v>
      </c>
      <c r="B225" s="24"/>
      <c r="C225" s="24"/>
      <c r="D225" s="24"/>
      <c r="E225" s="14"/>
      <c r="F225" s="14"/>
      <c r="G225" s="14"/>
      <c r="H225" s="14"/>
      <c r="I225" s="87"/>
      <c r="J225" s="14"/>
      <c r="K225" s="14"/>
      <c r="L225" s="14"/>
      <c r="M225" s="14"/>
      <c r="N225" s="14"/>
      <c r="O225" s="14"/>
      <c r="P225" s="14"/>
    </row>
    <row r="226" spans="1:16" ht="18.600000000000001" customHeight="1" x14ac:dyDescent="0.2">
      <c r="A226" s="7">
        <f t="shared" si="54"/>
        <v>12</v>
      </c>
      <c r="B226" s="26"/>
      <c r="C226" s="26"/>
      <c r="D226" s="163"/>
      <c r="E226" s="4"/>
      <c r="F226" s="4"/>
      <c r="G226" s="4"/>
      <c r="H226" s="4"/>
      <c r="I226" s="85"/>
      <c r="J226" s="4"/>
      <c r="K226" s="4"/>
      <c r="L226" s="4"/>
      <c r="M226" s="4"/>
      <c r="N226" s="4"/>
      <c r="O226" s="4"/>
      <c r="P226" s="4"/>
    </row>
    <row r="227" spans="1:16" ht="18.600000000000001" customHeight="1" x14ac:dyDescent="0.2">
      <c r="A227" s="7">
        <f t="shared" si="54"/>
        <v>13</v>
      </c>
      <c r="B227" s="24"/>
      <c r="C227" s="24"/>
      <c r="D227" s="24"/>
      <c r="E227" s="4"/>
      <c r="F227" s="4"/>
      <c r="G227" s="4"/>
      <c r="H227" s="4"/>
      <c r="I227" s="85"/>
      <c r="J227" s="4"/>
      <c r="K227" s="4"/>
      <c r="L227" s="4"/>
      <c r="M227" s="4"/>
      <c r="N227" s="4"/>
      <c r="O227" s="4"/>
      <c r="P227" s="4"/>
    </row>
    <row r="228" spans="1:16" ht="18.600000000000001" customHeight="1" x14ac:dyDescent="0.2">
      <c r="A228" s="7">
        <f t="shared" si="54"/>
        <v>14</v>
      </c>
      <c r="B228" s="26"/>
      <c r="C228" s="26"/>
      <c r="D228" s="163"/>
      <c r="E228" s="4"/>
      <c r="F228" s="4"/>
      <c r="G228" s="4"/>
      <c r="H228" s="4"/>
      <c r="I228" s="85"/>
      <c r="J228" s="4"/>
      <c r="K228" s="4"/>
      <c r="L228" s="4"/>
      <c r="M228" s="4"/>
      <c r="N228" s="4"/>
      <c r="O228" s="4"/>
      <c r="P228" s="4"/>
    </row>
    <row r="229" spans="1:16" ht="18.600000000000001" customHeight="1" x14ac:dyDescent="0.2">
      <c r="A229" s="6">
        <f t="shared" si="54"/>
        <v>15</v>
      </c>
      <c r="B229" s="26"/>
      <c r="C229" s="26"/>
      <c r="D229" s="164"/>
      <c r="E229" s="16"/>
      <c r="F229" s="16"/>
      <c r="G229" s="16"/>
      <c r="H229" s="16"/>
      <c r="I229" s="83"/>
      <c r="J229" s="16"/>
      <c r="K229" s="16"/>
      <c r="L229" s="16"/>
      <c r="M229" s="16"/>
      <c r="N229" s="16"/>
      <c r="O229" s="16"/>
      <c r="P229" s="16"/>
    </row>
    <row r="230" spans="1:16" ht="18.600000000000001" customHeight="1" x14ac:dyDescent="0.2">
      <c r="A230" s="32">
        <f t="shared" si="54"/>
        <v>16</v>
      </c>
      <c r="B230" s="26"/>
      <c r="C230" s="26"/>
      <c r="D230" s="26"/>
      <c r="E230" s="2"/>
      <c r="F230" s="2"/>
      <c r="G230" s="2"/>
      <c r="H230" s="2"/>
      <c r="I230" s="84"/>
      <c r="J230" s="2"/>
      <c r="K230" s="2"/>
      <c r="L230" s="2"/>
      <c r="M230" s="2"/>
      <c r="N230" s="2"/>
      <c r="O230" s="2"/>
      <c r="P230" s="2"/>
    </row>
    <row r="231" spans="1:16" ht="18.600000000000001" customHeight="1" x14ac:dyDescent="0.2">
      <c r="A231" s="7">
        <f t="shared" si="54"/>
        <v>17</v>
      </c>
      <c r="B231" s="3"/>
      <c r="C231" s="4"/>
      <c r="D231" s="8"/>
      <c r="E231" s="4"/>
      <c r="F231" s="4"/>
      <c r="G231" s="4"/>
      <c r="H231" s="4"/>
      <c r="I231" s="85"/>
      <c r="J231" s="4"/>
      <c r="K231" s="4"/>
      <c r="L231" s="4"/>
      <c r="M231" s="4"/>
      <c r="N231" s="4"/>
      <c r="O231" s="4"/>
      <c r="P231" s="4"/>
    </row>
    <row r="232" spans="1:16" ht="18.600000000000001" customHeight="1" x14ac:dyDescent="0.2">
      <c r="A232" s="7">
        <f t="shared" si="54"/>
        <v>18</v>
      </c>
      <c r="B232" s="3"/>
      <c r="C232" s="4"/>
      <c r="D232" s="8"/>
      <c r="E232" s="4"/>
      <c r="F232" s="4"/>
      <c r="G232" s="4"/>
      <c r="H232" s="4"/>
      <c r="I232" s="85"/>
      <c r="J232" s="4"/>
      <c r="K232" s="4"/>
      <c r="L232" s="4"/>
      <c r="M232" s="4"/>
      <c r="N232" s="4"/>
      <c r="O232" s="4"/>
      <c r="P232" s="4"/>
    </row>
    <row r="233" spans="1:16" ht="18.600000000000001" customHeight="1" x14ac:dyDescent="0.2">
      <c r="A233" s="7">
        <f t="shared" si="54"/>
        <v>19</v>
      </c>
      <c r="B233" s="3"/>
      <c r="C233" s="4"/>
      <c r="D233" s="8"/>
      <c r="E233" s="4"/>
      <c r="F233" s="4"/>
      <c r="G233" s="4"/>
      <c r="H233" s="4"/>
      <c r="I233" s="85"/>
      <c r="J233" s="4"/>
      <c r="K233" s="4"/>
      <c r="L233" s="4"/>
      <c r="M233" s="4"/>
      <c r="N233" s="4"/>
      <c r="O233" s="4"/>
      <c r="P233" s="4"/>
    </row>
    <row r="234" spans="1:16" ht="18.600000000000001" customHeight="1" x14ac:dyDescent="0.2">
      <c r="A234" s="10">
        <f t="shared" si="54"/>
        <v>20</v>
      </c>
      <c r="B234" s="11"/>
      <c r="C234" s="12"/>
      <c r="D234" s="9"/>
      <c r="E234" s="12"/>
      <c r="F234" s="12"/>
      <c r="G234" s="12"/>
      <c r="H234" s="12"/>
      <c r="I234" s="86"/>
      <c r="J234" s="12"/>
      <c r="K234" s="12"/>
      <c r="L234" s="12"/>
      <c r="M234" s="12"/>
      <c r="N234" s="12"/>
      <c r="O234" s="12"/>
      <c r="P234" s="12"/>
    </row>
    <row r="235" spans="1:16" ht="18.600000000000001" customHeight="1" x14ac:dyDescent="0.2">
      <c r="A235" s="35">
        <f t="shared" si="54"/>
        <v>21</v>
      </c>
      <c r="B235" s="13"/>
      <c r="C235" s="14"/>
      <c r="D235" s="37"/>
      <c r="E235" s="14"/>
      <c r="F235" s="14"/>
      <c r="G235" s="14"/>
      <c r="H235" s="14"/>
      <c r="I235" s="87"/>
      <c r="J235" s="14"/>
      <c r="K235" s="14"/>
      <c r="L235" s="14"/>
      <c r="M235" s="14"/>
      <c r="N235" s="14"/>
      <c r="O235" s="14"/>
      <c r="P235" s="14"/>
    </row>
    <row r="236" spans="1:16" ht="18.600000000000001" customHeight="1" x14ac:dyDescent="0.2">
      <c r="A236" s="7">
        <f t="shared" si="54"/>
        <v>22</v>
      </c>
      <c r="B236" s="3"/>
      <c r="C236" s="4"/>
      <c r="D236" s="8"/>
      <c r="E236" s="4"/>
      <c r="F236" s="4"/>
      <c r="G236" s="4"/>
      <c r="H236" s="4"/>
      <c r="I236" s="85"/>
      <c r="J236" s="4"/>
      <c r="K236" s="4"/>
      <c r="L236" s="4"/>
      <c r="M236" s="4"/>
      <c r="N236" s="4"/>
      <c r="O236" s="4"/>
      <c r="P236" s="4"/>
    </row>
    <row r="237" spans="1:16" ht="18.600000000000001" customHeight="1" x14ac:dyDescent="0.2">
      <c r="A237" s="35">
        <f t="shared" si="54"/>
        <v>23</v>
      </c>
      <c r="B237" s="3"/>
      <c r="C237" s="4"/>
      <c r="D237" s="8"/>
      <c r="E237" s="4"/>
      <c r="F237" s="4"/>
      <c r="G237" s="4"/>
      <c r="H237" s="4"/>
      <c r="I237" s="85"/>
      <c r="J237" s="4"/>
      <c r="K237" s="4"/>
      <c r="L237" s="4"/>
      <c r="M237" s="4"/>
      <c r="N237" s="4"/>
      <c r="O237" s="4"/>
      <c r="P237" s="4"/>
    </row>
    <row r="238" spans="1:16" ht="18.600000000000001" customHeight="1" x14ac:dyDescent="0.2">
      <c r="A238" s="7">
        <f t="shared" si="54"/>
        <v>24</v>
      </c>
      <c r="B238" s="3"/>
      <c r="C238" s="4"/>
      <c r="D238" s="8"/>
      <c r="E238" s="4"/>
      <c r="F238" s="4"/>
      <c r="G238" s="4"/>
      <c r="H238" s="4"/>
      <c r="I238" s="85"/>
      <c r="J238" s="4"/>
      <c r="K238" s="4"/>
      <c r="L238" s="4"/>
      <c r="M238" s="4"/>
      <c r="N238" s="4"/>
      <c r="O238" s="4"/>
      <c r="P238" s="4"/>
    </row>
    <row r="239" spans="1:16" ht="18.600000000000001" customHeight="1" x14ac:dyDescent="0.2">
      <c r="A239" s="35">
        <f t="shared" si="54"/>
        <v>25</v>
      </c>
      <c r="B239" s="11"/>
      <c r="C239" s="12"/>
      <c r="D239" s="9"/>
      <c r="E239" s="12"/>
      <c r="F239" s="12"/>
      <c r="G239" s="12"/>
      <c r="H239" s="12"/>
      <c r="I239" s="86"/>
      <c r="J239" s="12"/>
      <c r="K239" s="12"/>
      <c r="L239" s="12"/>
      <c r="M239" s="12"/>
      <c r="N239" s="12"/>
      <c r="O239" s="12"/>
      <c r="P239" s="12"/>
    </row>
    <row r="240" spans="1:16" ht="18.600000000000001" customHeight="1" x14ac:dyDescent="0.3">
      <c r="A240" s="147"/>
      <c r="B240" s="148"/>
      <c r="C240" s="147"/>
      <c r="D240" s="149"/>
      <c r="E240" s="150">
        <f>SUBTOTAL(9,E215:E239)</f>
        <v>0</v>
      </c>
      <c r="F240" s="152"/>
      <c r="G240" s="150">
        <f t="shared" ref="G240" si="55">SUBTOTAL(9,G215:G239)</f>
        <v>0</v>
      </c>
      <c r="H240" s="152"/>
      <c r="I240" s="150">
        <f t="shared" ref="I240" si="56">SUBTOTAL(9,I215:I239)</f>
        <v>0</v>
      </c>
      <c r="J240" s="152"/>
      <c r="K240" s="152"/>
      <c r="L240" s="152"/>
      <c r="M240" s="150">
        <f t="shared" ref="M240" si="57">SUBTOTAL(9,M215:M239)</f>
        <v>0</v>
      </c>
      <c r="N240" s="152"/>
      <c r="O240" s="150">
        <f t="shared" ref="O240" si="58">SUBTOTAL(9,O215:O239)</f>
        <v>0</v>
      </c>
      <c r="P240" s="152"/>
    </row>
    <row r="241" spans="1:16" ht="18.600000000000001" customHeight="1" x14ac:dyDescent="0.2">
      <c r="A241" s="434" t="s">
        <v>1028</v>
      </c>
      <c r="B241" s="434"/>
      <c r="C241" s="434"/>
      <c r="D241" s="434"/>
      <c r="E241" s="434"/>
      <c r="F241" s="434"/>
      <c r="G241" s="434"/>
      <c r="H241" s="434"/>
      <c r="I241" s="92" t="s">
        <v>1319</v>
      </c>
      <c r="J241" s="48"/>
      <c r="K241" s="48"/>
      <c r="L241" s="48"/>
      <c r="M241" s="41"/>
      <c r="N241" s="41"/>
      <c r="O241" s="41"/>
      <c r="P241" s="41"/>
    </row>
    <row r="242" spans="1:16" ht="18.600000000000001" customHeight="1" x14ac:dyDescent="0.2">
      <c r="A242" s="28"/>
      <c r="B242" s="29"/>
      <c r="C242" s="30"/>
      <c r="D242" s="36"/>
      <c r="E242" s="28"/>
      <c r="F242" s="28"/>
      <c r="G242" s="28"/>
      <c r="H242" s="28"/>
      <c r="I242" s="79"/>
      <c r="J242" s="28"/>
      <c r="K242" s="28"/>
      <c r="L242" s="28"/>
      <c r="M242" s="28"/>
      <c r="N242" s="28"/>
      <c r="O242" s="28"/>
      <c r="P242" s="28"/>
    </row>
    <row r="243" spans="1:16" ht="18.600000000000001" customHeight="1" x14ac:dyDescent="0.2">
      <c r="A243" s="435" t="s">
        <v>374</v>
      </c>
      <c r="B243" s="435" t="s">
        <v>380</v>
      </c>
      <c r="C243" s="435" t="s">
        <v>383</v>
      </c>
      <c r="D243" s="437" t="s">
        <v>384</v>
      </c>
      <c r="E243" s="438" t="s">
        <v>385</v>
      </c>
      <c r="F243" s="439"/>
      <c r="G243" s="432" t="str">
        <f>$R$1</f>
        <v>Hè 1</v>
      </c>
      <c r="H243" s="433"/>
      <c r="I243" s="432" t="str">
        <f>$T$1</f>
        <v>Hè 2</v>
      </c>
      <c r="J243" s="433"/>
      <c r="K243" s="432" t="str">
        <f>$V$1</f>
        <v>Hè 3</v>
      </c>
      <c r="L243" s="433"/>
      <c r="M243" s="432" t="str">
        <f>$X$1</f>
        <v>.</v>
      </c>
      <c r="N243" s="433"/>
      <c r="O243" s="432" t="str">
        <f>$Z$1</f>
        <v>.</v>
      </c>
      <c r="P243" s="433"/>
    </row>
    <row r="244" spans="1:16" ht="18.600000000000001" customHeight="1" x14ac:dyDescent="0.2">
      <c r="A244" s="436"/>
      <c r="B244" s="436"/>
      <c r="C244" s="436"/>
      <c r="D244" s="436"/>
      <c r="E244" s="31" t="s">
        <v>381</v>
      </c>
      <c r="F244" s="31" t="s">
        <v>382</v>
      </c>
      <c r="G244" s="31" t="s">
        <v>381</v>
      </c>
      <c r="H244" s="31" t="s">
        <v>382</v>
      </c>
      <c r="I244" s="80" t="s">
        <v>381</v>
      </c>
      <c r="J244" s="31" t="s">
        <v>382</v>
      </c>
      <c r="K244" s="80" t="s">
        <v>381</v>
      </c>
      <c r="L244" s="31" t="s">
        <v>382</v>
      </c>
      <c r="M244" s="31" t="s">
        <v>381</v>
      </c>
      <c r="N244" s="31" t="s">
        <v>382</v>
      </c>
      <c r="O244" s="31" t="s">
        <v>381</v>
      </c>
      <c r="P244" s="31" t="s">
        <v>382</v>
      </c>
    </row>
    <row r="245" spans="1:16" ht="18.600000000000001" customHeight="1" x14ac:dyDescent="0.2">
      <c r="A245" s="32">
        <v>1</v>
      </c>
      <c r="B245" s="26"/>
      <c r="C245" s="26"/>
      <c r="D245" s="26"/>
      <c r="E245" s="32"/>
      <c r="F245" s="34"/>
      <c r="G245" s="32"/>
      <c r="H245" s="93"/>
      <c r="I245" s="81"/>
      <c r="J245" s="34"/>
      <c r="K245" s="34"/>
      <c r="L245" s="34"/>
      <c r="M245" s="32"/>
      <c r="N245" s="34"/>
      <c r="O245" s="32"/>
      <c r="P245" s="34"/>
    </row>
    <row r="246" spans="1:16" ht="18.600000000000001" customHeight="1" x14ac:dyDescent="0.2">
      <c r="A246" s="7">
        <f t="shared" ref="A246:A269" si="59">A245+1</f>
        <v>2</v>
      </c>
      <c r="B246" s="3"/>
      <c r="C246" s="26"/>
      <c r="D246" s="26"/>
      <c r="E246" s="7"/>
      <c r="F246" s="7"/>
      <c r="G246" s="7"/>
      <c r="H246" s="7"/>
      <c r="I246" s="82"/>
      <c r="J246" s="7"/>
      <c r="K246" s="7"/>
      <c r="L246" s="7"/>
      <c r="M246" s="7"/>
      <c r="N246" s="7"/>
      <c r="O246" s="7"/>
      <c r="P246" s="7"/>
    </row>
    <row r="247" spans="1:16" ht="18.600000000000001" customHeight="1" x14ac:dyDescent="0.2">
      <c r="A247" s="7">
        <f t="shared" si="59"/>
        <v>3</v>
      </c>
      <c r="B247" s="27"/>
      <c r="C247" s="27"/>
      <c r="D247" s="26"/>
      <c r="E247" s="7"/>
      <c r="F247" s="7"/>
      <c r="G247" s="7"/>
      <c r="H247" s="7"/>
      <c r="I247" s="82"/>
      <c r="J247" s="7"/>
      <c r="K247" s="7"/>
      <c r="L247" s="7"/>
      <c r="M247" s="7"/>
      <c r="N247" s="7"/>
      <c r="O247" s="7"/>
      <c r="P247" s="7"/>
    </row>
    <row r="248" spans="1:16" ht="18.600000000000001" customHeight="1" x14ac:dyDescent="0.3">
      <c r="A248" s="7">
        <f t="shared" si="59"/>
        <v>4</v>
      </c>
      <c r="B248" s="160"/>
      <c r="C248" s="143"/>
      <c r="D248" s="143"/>
      <c r="E248" s="7"/>
      <c r="F248" s="7"/>
      <c r="G248" s="7"/>
      <c r="H248" s="7"/>
      <c r="I248" s="82"/>
      <c r="J248" s="7"/>
      <c r="K248" s="7"/>
      <c r="L248" s="7"/>
      <c r="M248" s="7"/>
      <c r="N248" s="7"/>
      <c r="O248" s="7"/>
      <c r="P248" s="7"/>
    </row>
    <row r="249" spans="1:16" ht="18.600000000000001" customHeight="1" x14ac:dyDescent="0.3">
      <c r="A249" s="6">
        <f t="shared" si="59"/>
        <v>5</v>
      </c>
      <c r="B249" s="143"/>
      <c r="C249" s="143"/>
      <c r="D249" s="143"/>
      <c r="E249" s="16"/>
      <c r="F249" s="16"/>
      <c r="G249" s="16"/>
      <c r="H249" s="16"/>
      <c r="I249" s="83"/>
      <c r="J249" s="16"/>
      <c r="K249" s="16"/>
      <c r="L249" s="16"/>
      <c r="M249" s="16"/>
      <c r="N249" s="16"/>
      <c r="O249" s="16"/>
      <c r="P249" s="16"/>
    </row>
    <row r="250" spans="1:16" ht="18.600000000000001" customHeight="1" x14ac:dyDescent="0.3">
      <c r="A250" s="56">
        <f t="shared" si="59"/>
        <v>6</v>
      </c>
      <c r="B250" s="143"/>
      <c r="C250" s="143"/>
      <c r="D250" s="143"/>
      <c r="E250" s="2"/>
      <c r="F250" s="2"/>
      <c r="G250" s="2"/>
      <c r="H250" s="2"/>
      <c r="I250" s="84"/>
      <c r="J250" s="2"/>
      <c r="K250" s="2"/>
      <c r="L250" s="2"/>
      <c r="M250" s="2"/>
      <c r="N250" s="2"/>
      <c r="O250" s="2"/>
      <c r="P250" s="2"/>
    </row>
    <row r="251" spans="1:16" ht="18.600000000000001" customHeight="1" x14ac:dyDescent="0.2">
      <c r="A251" s="6">
        <f t="shared" si="59"/>
        <v>7</v>
      </c>
      <c r="B251" s="26"/>
      <c r="C251" s="26"/>
      <c r="D251" s="26"/>
      <c r="E251" s="4"/>
      <c r="F251" s="4"/>
      <c r="G251" s="4"/>
      <c r="H251" s="4"/>
      <c r="I251" s="85"/>
      <c r="J251" s="4"/>
      <c r="K251" s="4"/>
      <c r="L251" s="4"/>
      <c r="M251" s="4"/>
      <c r="N251" s="4"/>
      <c r="O251" s="4"/>
      <c r="P251" s="4"/>
    </row>
    <row r="252" spans="1:16" ht="18.600000000000001" customHeight="1" x14ac:dyDescent="0.2">
      <c r="A252" s="6">
        <f t="shared" si="59"/>
        <v>8</v>
      </c>
      <c r="B252" s="25"/>
      <c r="C252" s="25"/>
      <c r="D252" s="163"/>
      <c r="E252" s="4"/>
      <c r="F252" s="4"/>
      <c r="G252" s="4"/>
      <c r="H252" s="4"/>
      <c r="I252" s="85"/>
      <c r="J252" s="4"/>
      <c r="K252" s="4"/>
      <c r="L252" s="4"/>
      <c r="M252" s="4"/>
      <c r="N252" s="4"/>
      <c r="O252" s="4"/>
      <c r="P252" s="4"/>
    </row>
    <row r="253" spans="1:16" ht="18.600000000000001" customHeight="1" x14ac:dyDescent="0.3">
      <c r="A253" s="6">
        <f t="shared" si="59"/>
        <v>9</v>
      </c>
      <c r="B253" s="143"/>
      <c r="C253" s="143"/>
      <c r="D253" s="143"/>
      <c r="E253" s="4"/>
      <c r="F253" s="4"/>
      <c r="G253" s="4"/>
      <c r="H253" s="4"/>
      <c r="I253" s="85"/>
      <c r="J253" s="4"/>
      <c r="K253" s="4"/>
      <c r="L253" s="4"/>
      <c r="M253" s="4"/>
      <c r="N253" s="4"/>
      <c r="O253" s="4"/>
      <c r="P253" s="4"/>
    </row>
    <row r="254" spans="1:16" ht="18.600000000000001" customHeight="1" x14ac:dyDescent="0.3">
      <c r="A254" s="10">
        <f t="shared" si="59"/>
        <v>10</v>
      </c>
      <c r="B254" s="143"/>
      <c r="C254" s="143"/>
      <c r="D254" s="143"/>
      <c r="E254" s="12"/>
      <c r="F254" s="12"/>
      <c r="G254" s="12"/>
      <c r="H254" s="12"/>
      <c r="I254" s="86"/>
      <c r="J254" s="12"/>
      <c r="K254" s="12"/>
      <c r="L254" s="12"/>
      <c r="M254" s="12"/>
      <c r="N254" s="12"/>
      <c r="O254" s="12"/>
      <c r="P254" s="12"/>
    </row>
    <row r="255" spans="1:16" ht="18.600000000000001" customHeight="1" x14ac:dyDescent="0.2">
      <c r="A255" s="35">
        <f t="shared" si="59"/>
        <v>11</v>
      </c>
      <c r="B255" s="24"/>
      <c r="C255" s="24"/>
      <c r="D255" s="163"/>
      <c r="E255" s="14"/>
      <c r="F255" s="14"/>
      <c r="G255" s="14"/>
      <c r="H255" s="14"/>
      <c r="I255" s="87"/>
      <c r="J255" s="14"/>
      <c r="K255" s="14"/>
      <c r="L255" s="14"/>
      <c r="M255" s="14"/>
      <c r="N255" s="14"/>
      <c r="O255" s="14"/>
      <c r="P255" s="14"/>
    </row>
    <row r="256" spans="1:16" ht="18.600000000000001" customHeight="1" x14ac:dyDescent="0.2">
      <c r="A256" s="7">
        <f t="shared" si="59"/>
        <v>12</v>
      </c>
      <c r="B256" s="26"/>
      <c r="C256" s="26"/>
      <c r="D256" s="163"/>
      <c r="E256" s="4"/>
      <c r="F256" s="4"/>
      <c r="G256" s="4"/>
      <c r="H256" s="4"/>
      <c r="I256" s="85"/>
      <c r="J256" s="4"/>
      <c r="K256" s="4"/>
      <c r="L256" s="4"/>
      <c r="M256" s="4"/>
      <c r="N256" s="4"/>
      <c r="O256" s="4"/>
      <c r="P256" s="4"/>
    </row>
    <row r="257" spans="1:16" ht="18.600000000000001" customHeight="1" x14ac:dyDescent="0.3">
      <c r="A257" s="7">
        <f t="shared" si="59"/>
        <v>13</v>
      </c>
      <c r="B257" s="143"/>
      <c r="C257" s="143"/>
      <c r="D257" s="143"/>
      <c r="E257" s="4"/>
      <c r="F257" s="4"/>
      <c r="G257" s="4"/>
      <c r="H257" s="4"/>
      <c r="I257" s="85"/>
      <c r="J257" s="4"/>
      <c r="K257" s="4"/>
      <c r="L257" s="4"/>
      <c r="M257" s="4"/>
      <c r="N257" s="4"/>
      <c r="O257" s="4"/>
      <c r="P257" s="4"/>
    </row>
    <row r="258" spans="1:16" ht="18.600000000000001" customHeight="1" x14ac:dyDescent="0.2">
      <c r="A258" s="7">
        <f t="shared" si="59"/>
        <v>14</v>
      </c>
      <c r="B258" s="24"/>
      <c r="C258" s="24"/>
      <c r="D258" s="163"/>
      <c r="E258" s="4"/>
      <c r="F258" s="4"/>
      <c r="G258" s="4"/>
      <c r="H258" s="4"/>
      <c r="I258" s="85"/>
      <c r="J258" s="4"/>
      <c r="K258" s="4"/>
      <c r="L258" s="4"/>
      <c r="M258" s="4"/>
      <c r="N258" s="4"/>
      <c r="O258" s="4"/>
      <c r="P258" s="4"/>
    </row>
    <row r="259" spans="1:16" ht="18.600000000000001" customHeight="1" x14ac:dyDescent="0.2">
      <c r="A259" s="6">
        <f t="shared" si="59"/>
        <v>15</v>
      </c>
      <c r="B259" s="26"/>
      <c r="C259" s="26"/>
      <c r="D259" s="163"/>
      <c r="E259" s="16"/>
      <c r="F259" s="16"/>
      <c r="G259" s="16"/>
      <c r="H259" s="16"/>
      <c r="I259" s="83"/>
      <c r="J259" s="16"/>
      <c r="K259" s="16"/>
      <c r="L259" s="16"/>
      <c r="M259" s="16"/>
      <c r="N259" s="16"/>
      <c r="O259" s="16"/>
      <c r="P259" s="16"/>
    </row>
    <row r="260" spans="1:16" ht="18.600000000000001" customHeight="1" x14ac:dyDescent="0.2">
      <c r="A260" s="32">
        <f t="shared" si="59"/>
        <v>16</v>
      </c>
      <c r="B260" s="27"/>
      <c r="C260" s="27"/>
      <c r="D260" s="24"/>
      <c r="E260" s="2"/>
      <c r="F260" s="2"/>
      <c r="G260" s="2"/>
      <c r="H260" s="2"/>
      <c r="I260" s="84"/>
      <c r="J260" s="2"/>
      <c r="K260" s="2"/>
      <c r="L260" s="2"/>
      <c r="M260" s="2"/>
      <c r="N260" s="2"/>
      <c r="O260" s="2"/>
      <c r="P260" s="2"/>
    </row>
    <row r="261" spans="1:16" ht="18.600000000000001" customHeight="1" x14ac:dyDescent="0.2">
      <c r="A261" s="7">
        <f t="shared" si="59"/>
        <v>17</v>
      </c>
      <c r="B261" s="26"/>
      <c r="C261" s="26"/>
      <c r="D261" s="163"/>
      <c r="E261" s="4"/>
      <c r="F261" s="4"/>
      <c r="G261" s="4"/>
      <c r="H261" s="4"/>
      <c r="I261" s="85"/>
      <c r="J261" s="4"/>
      <c r="K261" s="4"/>
      <c r="L261" s="4"/>
      <c r="M261" s="4"/>
      <c r="N261" s="4"/>
      <c r="O261" s="4"/>
      <c r="P261" s="4"/>
    </row>
    <row r="262" spans="1:16" ht="18.600000000000001" customHeight="1" x14ac:dyDescent="0.2">
      <c r="A262" s="7">
        <f t="shared" si="59"/>
        <v>18</v>
      </c>
      <c r="B262" s="26"/>
      <c r="C262" s="26"/>
      <c r="D262" s="163"/>
      <c r="E262" s="4"/>
      <c r="F262" s="4"/>
      <c r="G262" s="4"/>
      <c r="H262" s="4"/>
      <c r="I262" s="85"/>
      <c r="J262" s="4"/>
      <c r="K262" s="4"/>
      <c r="L262" s="4"/>
      <c r="M262" s="4"/>
      <c r="N262" s="4"/>
      <c r="O262" s="4"/>
      <c r="P262" s="4"/>
    </row>
    <row r="263" spans="1:16" ht="18.600000000000001" customHeight="1" x14ac:dyDescent="0.2">
      <c r="A263" s="7">
        <f t="shared" si="59"/>
        <v>19</v>
      </c>
      <c r="B263" s="26"/>
      <c r="C263" s="26"/>
      <c r="D263" s="163"/>
      <c r="E263" s="4"/>
      <c r="F263" s="4"/>
      <c r="G263" s="4"/>
      <c r="H263" s="4"/>
      <c r="I263" s="85"/>
      <c r="J263" s="4"/>
      <c r="K263" s="4"/>
      <c r="L263" s="4"/>
      <c r="M263" s="4"/>
      <c r="N263" s="4"/>
      <c r="O263" s="4"/>
      <c r="P263" s="4"/>
    </row>
    <row r="264" spans="1:16" ht="18.600000000000001" customHeight="1" x14ac:dyDescent="0.2">
      <c r="A264" s="10">
        <f t="shared" si="59"/>
        <v>20</v>
      </c>
      <c r="B264" s="11"/>
      <c r="C264" s="12"/>
      <c r="D264" s="9"/>
      <c r="E264" s="12"/>
      <c r="F264" s="12"/>
      <c r="G264" s="12"/>
      <c r="H264" s="12"/>
      <c r="I264" s="86"/>
      <c r="J264" s="12"/>
      <c r="K264" s="12"/>
      <c r="L264" s="12"/>
      <c r="M264" s="12"/>
      <c r="N264" s="12"/>
      <c r="O264" s="12"/>
      <c r="P264" s="12"/>
    </row>
    <row r="265" spans="1:16" ht="18.600000000000001" customHeight="1" x14ac:dyDescent="0.2">
      <c r="A265" s="35">
        <f t="shared" si="59"/>
        <v>21</v>
      </c>
      <c r="B265" s="13"/>
      <c r="C265" s="14"/>
      <c r="D265" s="37"/>
      <c r="E265" s="14"/>
      <c r="F265" s="14"/>
      <c r="G265" s="14"/>
      <c r="H265" s="14"/>
      <c r="I265" s="87"/>
      <c r="J265" s="14"/>
      <c r="K265" s="14"/>
      <c r="L265" s="14"/>
      <c r="M265" s="14"/>
      <c r="N265" s="14"/>
      <c r="O265" s="14"/>
      <c r="P265" s="14"/>
    </row>
    <row r="266" spans="1:16" ht="18.600000000000001" customHeight="1" x14ac:dyDescent="0.2">
      <c r="A266" s="7">
        <f t="shared" si="59"/>
        <v>22</v>
      </c>
      <c r="B266" s="3"/>
      <c r="C266" s="4"/>
      <c r="D266" s="8"/>
      <c r="E266" s="4"/>
      <c r="F266" s="4"/>
      <c r="G266" s="4"/>
      <c r="H266" s="4"/>
      <c r="I266" s="85"/>
      <c r="J266" s="4"/>
      <c r="K266" s="4"/>
      <c r="L266" s="4"/>
      <c r="M266" s="4"/>
      <c r="N266" s="4"/>
      <c r="O266" s="4"/>
      <c r="P266" s="4"/>
    </row>
    <row r="267" spans="1:16" ht="18.600000000000001" customHeight="1" x14ac:dyDescent="0.2">
      <c r="A267" s="35">
        <f t="shared" si="59"/>
        <v>23</v>
      </c>
      <c r="B267" s="3"/>
      <c r="C267" s="4"/>
      <c r="D267" s="8"/>
      <c r="E267" s="4"/>
      <c r="F267" s="4"/>
      <c r="G267" s="4"/>
      <c r="H267" s="4"/>
      <c r="I267" s="85"/>
      <c r="J267" s="4"/>
      <c r="K267" s="4"/>
      <c r="L267" s="4"/>
      <c r="M267" s="4"/>
      <c r="N267" s="4"/>
      <c r="O267" s="4"/>
      <c r="P267" s="4"/>
    </row>
    <row r="268" spans="1:16" ht="18.600000000000001" customHeight="1" x14ac:dyDescent="0.2">
      <c r="A268" s="7">
        <f t="shared" si="59"/>
        <v>24</v>
      </c>
      <c r="B268" s="3"/>
      <c r="C268" s="4"/>
      <c r="D268" s="8"/>
      <c r="E268" s="4"/>
      <c r="F268" s="4"/>
      <c r="G268" s="4"/>
      <c r="H268" s="4"/>
      <c r="I268" s="85"/>
      <c r="J268" s="4"/>
      <c r="K268" s="4"/>
      <c r="L268" s="4"/>
      <c r="M268" s="4"/>
      <c r="N268" s="4"/>
      <c r="O268" s="4"/>
      <c r="P268" s="4"/>
    </row>
    <row r="269" spans="1:16" ht="18.600000000000001" customHeight="1" x14ac:dyDescent="0.2">
      <c r="A269" s="35">
        <f t="shared" si="59"/>
        <v>25</v>
      </c>
      <c r="B269" s="11"/>
      <c r="C269" s="12"/>
      <c r="D269" s="9"/>
      <c r="E269" s="12"/>
      <c r="F269" s="12"/>
      <c r="G269" s="12"/>
      <c r="H269" s="12"/>
      <c r="I269" s="86"/>
      <c r="J269" s="12"/>
      <c r="K269" s="12"/>
      <c r="L269" s="12"/>
      <c r="M269" s="12"/>
      <c r="N269" s="12"/>
      <c r="O269" s="12"/>
      <c r="P269" s="12"/>
    </row>
    <row r="270" spans="1:16" ht="18.600000000000001" customHeight="1" x14ac:dyDescent="0.3">
      <c r="A270" s="147"/>
      <c r="B270" s="148"/>
      <c r="C270" s="147"/>
      <c r="D270" s="149"/>
      <c r="E270" s="150">
        <f>SUBTOTAL(9,E245:E269)</f>
        <v>0</v>
      </c>
      <c r="F270" s="152"/>
      <c r="G270" s="150">
        <f t="shared" ref="G270" si="60">SUBTOTAL(9,G245:G269)</f>
        <v>0</v>
      </c>
      <c r="H270" s="152"/>
      <c r="I270" s="150">
        <f t="shared" ref="I270" si="61">SUBTOTAL(9,I245:I269)</f>
        <v>0</v>
      </c>
      <c r="J270" s="152"/>
      <c r="K270" s="152"/>
      <c r="L270" s="152"/>
      <c r="M270" s="150">
        <f t="shared" ref="M270" si="62">SUBTOTAL(9,M245:M269)</f>
        <v>0</v>
      </c>
      <c r="N270" s="152"/>
      <c r="O270" s="150">
        <f t="shared" ref="O270" si="63">SUBTOTAL(9,O245:O269)</f>
        <v>0</v>
      </c>
      <c r="P270" s="152"/>
    </row>
    <row r="271" spans="1:16" ht="18.600000000000001" customHeight="1" x14ac:dyDescent="0.2">
      <c r="A271" s="434" t="str">
        <f>A241</f>
        <v>DANH SÁCH LỚP KET</v>
      </c>
      <c r="B271" s="434"/>
      <c r="C271" s="434"/>
      <c r="D271" s="434"/>
      <c r="E271" s="434"/>
      <c r="F271" s="434"/>
      <c r="G271" s="434"/>
      <c r="H271" s="434"/>
      <c r="I271" s="92" t="s">
        <v>1027</v>
      </c>
      <c r="J271" s="48"/>
      <c r="K271" s="48"/>
      <c r="L271" s="48"/>
      <c r="M271" s="41"/>
      <c r="N271" s="41"/>
      <c r="O271" s="41"/>
      <c r="P271" s="41"/>
    </row>
    <row r="272" spans="1:16" ht="18.600000000000001" customHeight="1" x14ac:dyDescent="0.2">
      <c r="A272" s="28"/>
      <c r="B272" s="29"/>
      <c r="C272" s="30"/>
      <c r="D272" s="36"/>
      <c r="E272" s="28"/>
      <c r="F272" s="28"/>
      <c r="G272" s="28"/>
      <c r="H272" s="28"/>
      <c r="I272" s="79"/>
      <c r="J272" s="28"/>
      <c r="K272" s="28"/>
      <c r="L272" s="28"/>
      <c r="M272" s="28"/>
      <c r="N272" s="28"/>
      <c r="O272" s="28"/>
      <c r="P272" s="28"/>
    </row>
    <row r="273" spans="1:16" ht="18.600000000000001" customHeight="1" x14ac:dyDescent="0.2">
      <c r="A273" s="435" t="s">
        <v>374</v>
      </c>
      <c r="B273" s="435" t="s">
        <v>380</v>
      </c>
      <c r="C273" s="435" t="s">
        <v>383</v>
      </c>
      <c r="D273" s="437" t="s">
        <v>384</v>
      </c>
      <c r="E273" s="438" t="s">
        <v>385</v>
      </c>
      <c r="F273" s="439"/>
      <c r="G273" s="432" t="str">
        <f>$R$1</f>
        <v>Hè 1</v>
      </c>
      <c r="H273" s="433"/>
      <c r="I273" s="432" t="str">
        <f>$T$1</f>
        <v>Hè 2</v>
      </c>
      <c r="J273" s="433"/>
      <c r="K273" s="432" t="str">
        <f>$V$1</f>
        <v>Hè 3</v>
      </c>
      <c r="L273" s="433"/>
      <c r="M273" s="432" t="str">
        <f>$X$1</f>
        <v>.</v>
      </c>
      <c r="N273" s="433"/>
      <c r="O273" s="432" t="str">
        <f>$Z$1</f>
        <v>.</v>
      </c>
      <c r="P273" s="433"/>
    </row>
    <row r="274" spans="1:16" ht="18.600000000000001" customHeight="1" x14ac:dyDescent="0.2">
      <c r="A274" s="436"/>
      <c r="B274" s="436"/>
      <c r="C274" s="436"/>
      <c r="D274" s="436"/>
      <c r="E274" s="31" t="s">
        <v>381</v>
      </c>
      <c r="F274" s="31" t="s">
        <v>382</v>
      </c>
      <c r="G274" s="31" t="s">
        <v>381</v>
      </c>
      <c r="H274" s="31" t="s">
        <v>382</v>
      </c>
      <c r="I274" s="80" t="s">
        <v>381</v>
      </c>
      <c r="J274" s="31" t="s">
        <v>382</v>
      </c>
      <c r="K274" s="80" t="s">
        <v>381</v>
      </c>
      <c r="L274" s="31" t="s">
        <v>382</v>
      </c>
      <c r="M274" s="31" t="s">
        <v>381</v>
      </c>
      <c r="N274" s="31" t="s">
        <v>382</v>
      </c>
      <c r="O274" s="31" t="s">
        <v>381</v>
      </c>
      <c r="P274" s="31" t="s">
        <v>382</v>
      </c>
    </row>
    <row r="275" spans="1:16" ht="18.600000000000001" customHeight="1" x14ac:dyDescent="0.3">
      <c r="A275" s="32">
        <v>1</v>
      </c>
      <c r="B275" s="143"/>
      <c r="C275" s="143"/>
      <c r="D275" s="143"/>
      <c r="E275" s="32"/>
      <c r="F275" s="34"/>
      <c r="G275" s="32"/>
      <c r="H275" s="93"/>
      <c r="I275" s="81"/>
      <c r="J275" s="34"/>
      <c r="K275" s="34"/>
      <c r="L275" s="34"/>
      <c r="M275" s="32"/>
      <c r="N275" s="34"/>
      <c r="O275" s="32"/>
      <c r="P275" s="34"/>
    </row>
    <row r="276" spans="1:16" ht="18.600000000000001" customHeight="1" x14ac:dyDescent="0.2">
      <c r="A276" s="7">
        <f t="shared" ref="A276:A299" si="64">A275+1</f>
        <v>2</v>
      </c>
      <c r="B276" s="26"/>
      <c r="C276" s="26"/>
      <c r="D276" s="163"/>
      <c r="E276" s="7"/>
      <c r="F276" s="7"/>
      <c r="G276" s="7"/>
      <c r="H276" s="7"/>
      <c r="I276" s="82"/>
      <c r="J276" s="7"/>
      <c r="K276" s="7"/>
      <c r="L276" s="7"/>
      <c r="M276" s="7"/>
      <c r="N276" s="7"/>
      <c r="O276" s="7"/>
      <c r="P276" s="7"/>
    </row>
    <row r="277" spans="1:16" ht="18.600000000000001" customHeight="1" x14ac:dyDescent="0.2">
      <c r="A277" s="7">
        <f t="shared" si="64"/>
        <v>3</v>
      </c>
      <c r="B277" s="24"/>
      <c r="C277" s="24"/>
      <c r="D277" s="163"/>
      <c r="E277" s="7"/>
      <c r="F277" s="7"/>
      <c r="G277" s="7"/>
      <c r="H277" s="7"/>
      <c r="I277" s="82"/>
      <c r="J277" s="7"/>
      <c r="K277" s="7"/>
      <c r="L277" s="7"/>
      <c r="M277" s="7"/>
      <c r="N277" s="7"/>
      <c r="O277" s="7"/>
      <c r="P277" s="7"/>
    </row>
    <row r="278" spans="1:16" ht="18.600000000000001" customHeight="1" x14ac:dyDescent="0.3">
      <c r="A278" s="7">
        <f t="shared" si="64"/>
        <v>4</v>
      </c>
      <c r="B278" s="39"/>
      <c r="C278" s="24"/>
      <c r="D278" s="163"/>
      <c r="E278" s="7"/>
      <c r="F278" s="7"/>
      <c r="G278" s="7"/>
      <c r="H278" s="7"/>
      <c r="I278" s="82"/>
      <c r="J278" s="7"/>
      <c r="K278" s="7"/>
      <c r="L278" s="7"/>
      <c r="M278" s="7"/>
      <c r="N278" s="7"/>
      <c r="O278" s="7"/>
      <c r="P278" s="7"/>
    </row>
    <row r="279" spans="1:16" ht="18.600000000000001" customHeight="1" x14ac:dyDescent="0.3">
      <c r="A279" s="6">
        <f t="shared" si="64"/>
        <v>5</v>
      </c>
      <c r="B279" s="143"/>
      <c r="C279" s="143"/>
      <c r="D279" s="143"/>
      <c r="E279" s="16"/>
      <c r="F279" s="16"/>
      <c r="G279" s="16"/>
      <c r="H279" s="16"/>
      <c r="I279" s="83"/>
      <c r="J279" s="16"/>
      <c r="K279" s="16"/>
      <c r="L279" s="16"/>
      <c r="M279" s="16"/>
      <c r="N279" s="16"/>
      <c r="O279" s="16"/>
      <c r="P279" s="16"/>
    </row>
    <row r="280" spans="1:16" ht="18.600000000000001" customHeight="1" x14ac:dyDescent="0.3">
      <c r="A280" s="56">
        <f t="shared" si="64"/>
        <v>6</v>
      </c>
      <c r="B280" s="39"/>
      <c r="C280" s="24"/>
      <c r="D280" s="163"/>
      <c r="E280" s="2"/>
      <c r="F280" s="2"/>
      <c r="G280" s="2"/>
      <c r="H280" s="2"/>
      <c r="I280" s="84"/>
      <c r="J280" s="2"/>
      <c r="K280" s="2"/>
      <c r="L280" s="2"/>
      <c r="M280" s="2"/>
      <c r="N280" s="2"/>
      <c r="O280" s="2"/>
      <c r="P280" s="2"/>
    </row>
    <row r="281" spans="1:16" ht="18.600000000000001" customHeight="1" x14ac:dyDescent="0.2">
      <c r="A281" s="6">
        <f t="shared" si="64"/>
        <v>7</v>
      </c>
      <c r="B281" s="27"/>
      <c r="C281" s="27"/>
      <c r="D281" s="26"/>
      <c r="E281" s="4"/>
      <c r="F281" s="4"/>
      <c r="G281" s="4"/>
      <c r="H281" s="4"/>
      <c r="I281" s="85"/>
      <c r="J281" s="4"/>
      <c r="K281" s="4"/>
      <c r="L281" s="4"/>
      <c r="M281" s="4"/>
      <c r="N281" s="4"/>
      <c r="O281" s="4"/>
      <c r="P281" s="4"/>
    </row>
    <row r="282" spans="1:16" ht="18.600000000000001" customHeight="1" x14ac:dyDescent="0.3">
      <c r="A282" s="6">
        <f t="shared" si="64"/>
        <v>8</v>
      </c>
      <c r="B282" s="143"/>
      <c r="C282" s="143"/>
      <c r="D282" s="143"/>
      <c r="E282" s="4"/>
      <c r="F282" s="4"/>
      <c r="G282" s="4"/>
      <c r="H282" s="4"/>
      <c r="I282" s="85"/>
      <c r="J282" s="4"/>
      <c r="K282" s="4"/>
      <c r="L282" s="4"/>
      <c r="M282" s="4"/>
      <c r="N282" s="4"/>
      <c r="O282" s="4"/>
      <c r="P282" s="4"/>
    </row>
    <row r="283" spans="1:16" ht="18.600000000000001" customHeight="1" x14ac:dyDescent="0.3">
      <c r="A283" s="6">
        <f t="shared" si="64"/>
        <v>9</v>
      </c>
      <c r="B283" s="143"/>
      <c r="C283" s="143"/>
      <c r="D283" s="143"/>
      <c r="E283" s="4"/>
      <c r="F283" s="4"/>
      <c r="G283" s="4"/>
      <c r="H283" s="4"/>
      <c r="I283" s="85"/>
      <c r="J283" s="4"/>
      <c r="K283" s="4"/>
      <c r="L283" s="4"/>
      <c r="M283" s="4"/>
      <c r="N283" s="4"/>
      <c r="O283" s="4"/>
      <c r="P283" s="4"/>
    </row>
    <row r="284" spans="1:16" ht="18.600000000000001" customHeight="1" x14ac:dyDescent="0.3">
      <c r="A284" s="10">
        <f t="shared" si="64"/>
        <v>10</v>
      </c>
      <c r="B284" s="143"/>
      <c r="C284" s="143"/>
      <c r="D284" s="143"/>
      <c r="E284" s="12"/>
      <c r="F284" s="12"/>
      <c r="G284" s="12"/>
      <c r="H284" s="12"/>
      <c r="I284" s="86"/>
      <c r="J284" s="12"/>
      <c r="K284" s="12"/>
      <c r="L284" s="12"/>
      <c r="M284" s="12"/>
      <c r="N284" s="12"/>
      <c r="O284" s="12"/>
      <c r="P284" s="12"/>
    </row>
    <row r="285" spans="1:16" ht="18.600000000000001" customHeight="1" x14ac:dyDescent="0.3">
      <c r="A285" s="35">
        <f t="shared" si="64"/>
        <v>11</v>
      </c>
      <c r="B285" s="143"/>
      <c r="C285" s="143"/>
      <c r="D285" s="143"/>
      <c r="E285" s="14"/>
      <c r="F285" s="14"/>
      <c r="G285" s="14"/>
      <c r="H285" s="14"/>
      <c r="I285" s="87"/>
      <c r="J285" s="14"/>
      <c r="K285" s="14"/>
      <c r="L285" s="14"/>
      <c r="M285" s="14"/>
      <c r="N285" s="14"/>
      <c r="O285" s="14"/>
      <c r="P285" s="14"/>
    </row>
    <row r="286" spans="1:16" ht="18.600000000000001" customHeight="1" x14ac:dyDescent="0.3">
      <c r="A286" s="7">
        <f t="shared" si="64"/>
        <v>12</v>
      </c>
      <c r="B286" s="143"/>
      <c r="C286" s="143"/>
      <c r="D286" s="143"/>
      <c r="E286" s="4"/>
      <c r="F286" s="4"/>
      <c r="G286" s="4"/>
      <c r="H286" s="4"/>
      <c r="I286" s="85"/>
      <c r="J286" s="4"/>
      <c r="K286" s="4"/>
      <c r="L286" s="4"/>
      <c r="M286" s="4"/>
      <c r="N286" s="4"/>
      <c r="O286" s="4"/>
      <c r="P286" s="4"/>
    </row>
    <row r="287" spans="1:16" ht="18.600000000000001" customHeight="1" x14ac:dyDescent="0.3">
      <c r="A287" s="7">
        <f t="shared" si="64"/>
        <v>13</v>
      </c>
      <c r="B287" s="143"/>
      <c r="C287" s="143"/>
      <c r="D287" s="143"/>
      <c r="E287" s="4"/>
      <c r="F287" s="4"/>
      <c r="G287" s="4"/>
      <c r="H287" s="4"/>
      <c r="I287" s="85"/>
      <c r="J287" s="4"/>
      <c r="K287" s="4"/>
      <c r="L287" s="4"/>
      <c r="M287" s="4"/>
      <c r="N287" s="4"/>
      <c r="O287" s="4"/>
      <c r="P287" s="4"/>
    </row>
    <row r="288" spans="1:16" ht="18.600000000000001" customHeight="1" x14ac:dyDescent="0.3">
      <c r="A288" s="7">
        <f t="shared" si="64"/>
        <v>14</v>
      </c>
      <c r="B288" s="39"/>
      <c r="C288" s="24"/>
      <c r="D288" s="163"/>
      <c r="E288" s="4"/>
      <c r="F288" s="4"/>
      <c r="G288" s="4"/>
      <c r="H288" s="4"/>
      <c r="I288" s="85"/>
      <c r="J288" s="4"/>
      <c r="K288" s="4"/>
      <c r="L288" s="4"/>
      <c r="M288" s="4"/>
      <c r="N288" s="4"/>
      <c r="O288" s="4"/>
      <c r="P288" s="4"/>
    </row>
    <row r="289" spans="1:16" ht="18.600000000000001" customHeight="1" x14ac:dyDescent="0.3">
      <c r="A289" s="6">
        <f t="shared" si="64"/>
        <v>15</v>
      </c>
      <c r="B289" s="39"/>
      <c r="C289" s="24"/>
      <c r="D289" s="163"/>
      <c r="E289" s="16"/>
      <c r="F289" s="16"/>
      <c r="G289" s="16"/>
      <c r="H289" s="16"/>
      <c r="I289" s="83"/>
      <c r="J289" s="16"/>
      <c r="K289" s="16"/>
      <c r="L289" s="16"/>
      <c r="M289" s="16"/>
      <c r="N289" s="16"/>
      <c r="O289" s="16"/>
      <c r="P289" s="16"/>
    </row>
    <row r="290" spans="1:16" ht="18.600000000000001" customHeight="1" x14ac:dyDescent="0.2">
      <c r="A290" s="32">
        <f t="shared" si="64"/>
        <v>16</v>
      </c>
      <c r="B290" s="27"/>
      <c r="C290" s="27"/>
      <c r="D290" s="26"/>
      <c r="E290" s="2"/>
      <c r="F290" s="2"/>
      <c r="G290" s="2"/>
      <c r="H290" s="2"/>
      <c r="I290" s="84"/>
      <c r="J290" s="2"/>
      <c r="K290" s="2"/>
      <c r="L290" s="2"/>
      <c r="M290" s="2"/>
      <c r="N290" s="2"/>
      <c r="O290" s="2"/>
      <c r="P290" s="2"/>
    </row>
    <row r="291" spans="1:16" ht="18.600000000000001" customHeight="1" x14ac:dyDescent="0.2">
      <c r="A291" s="7">
        <f t="shared" si="64"/>
        <v>17</v>
      </c>
      <c r="B291" s="26"/>
      <c r="C291" s="26"/>
      <c r="D291" s="163"/>
      <c r="E291" s="4"/>
      <c r="F291" s="4"/>
      <c r="G291" s="4"/>
      <c r="H291" s="4"/>
      <c r="I291" s="85"/>
      <c r="J291" s="4"/>
      <c r="K291" s="4"/>
      <c r="L291" s="4"/>
      <c r="M291" s="4"/>
      <c r="N291" s="4"/>
      <c r="O291" s="4"/>
      <c r="P291" s="4"/>
    </row>
    <row r="292" spans="1:16" ht="18.600000000000001" customHeight="1" x14ac:dyDescent="0.3">
      <c r="A292" s="7">
        <f t="shared" si="64"/>
        <v>18</v>
      </c>
      <c r="B292" s="143"/>
      <c r="C292" s="143"/>
      <c r="D292" s="143"/>
      <c r="E292" s="4"/>
      <c r="F292" s="4"/>
      <c r="G292" s="4"/>
      <c r="H292" s="4"/>
      <c r="I292" s="85"/>
      <c r="J292" s="4"/>
      <c r="K292" s="4"/>
      <c r="L292" s="4"/>
      <c r="M292" s="4"/>
      <c r="N292" s="4"/>
      <c r="O292" s="4"/>
      <c r="P292" s="4"/>
    </row>
    <row r="293" spans="1:16" ht="18.600000000000001" customHeight="1" x14ac:dyDescent="0.3">
      <c r="A293" s="7">
        <f t="shared" si="64"/>
        <v>19</v>
      </c>
      <c r="B293" s="143"/>
      <c r="C293" s="143"/>
      <c r="D293" s="143"/>
      <c r="E293" s="4"/>
      <c r="F293" s="4"/>
      <c r="G293" s="4"/>
      <c r="H293" s="4"/>
      <c r="I293" s="85"/>
      <c r="J293" s="4"/>
      <c r="K293" s="4"/>
      <c r="L293" s="4"/>
      <c r="M293" s="4"/>
      <c r="N293" s="4"/>
      <c r="O293" s="4"/>
      <c r="P293" s="4"/>
    </row>
    <row r="294" spans="1:16" ht="18.600000000000001" customHeight="1" x14ac:dyDescent="0.3">
      <c r="A294" s="10">
        <f t="shared" si="64"/>
        <v>20</v>
      </c>
      <c r="B294" s="143"/>
      <c r="C294" s="143"/>
      <c r="D294" s="143"/>
      <c r="E294" s="12"/>
      <c r="F294" s="12"/>
      <c r="G294" s="12"/>
      <c r="H294" s="12"/>
      <c r="I294" s="86"/>
      <c r="J294" s="12"/>
      <c r="K294" s="12"/>
      <c r="L294" s="12"/>
      <c r="M294" s="12"/>
      <c r="N294" s="12"/>
      <c r="O294" s="12"/>
      <c r="P294" s="12"/>
    </row>
    <row r="295" spans="1:16" ht="18.600000000000001" customHeight="1" x14ac:dyDescent="0.2">
      <c r="A295" s="35">
        <f t="shared" si="64"/>
        <v>21</v>
      </c>
      <c r="B295" s="26"/>
      <c r="C295" s="26"/>
      <c r="D295" s="24"/>
      <c r="E295" s="14"/>
      <c r="F295" s="14"/>
      <c r="G295" s="14"/>
      <c r="H295" s="14"/>
      <c r="I295" s="87"/>
      <c r="J295" s="14"/>
      <c r="K295" s="14"/>
      <c r="L295" s="14"/>
      <c r="M295" s="14"/>
      <c r="N295" s="14"/>
      <c r="O295" s="14"/>
      <c r="P295" s="14"/>
    </row>
    <row r="296" spans="1:16" ht="18.600000000000001" customHeight="1" x14ac:dyDescent="0.2">
      <c r="A296" s="7">
        <f t="shared" si="64"/>
        <v>22</v>
      </c>
      <c r="B296" s="3"/>
      <c r="C296" s="4"/>
      <c r="D296" s="8"/>
      <c r="E296" s="4"/>
      <c r="F296" s="4"/>
      <c r="G296" s="4"/>
      <c r="H296" s="4"/>
      <c r="I296" s="85"/>
      <c r="J296" s="4"/>
      <c r="K296" s="4"/>
      <c r="L296" s="4"/>
      <c r="M296" s="4"/>
      <c r="N296" s="4"/>
      <c r="O296" s="4"/>
      <c r="P296" s="4"/>
    </row>
    <row r="297" spans="1:16" ht="18.600000000000001" customHeight="1" x14ac:dyDescent="0.2">
      <c r="A297" s="35">
        <f t="shared" si="64"/>
        <v>23</v>
      </c>
      <c r="B297" s="3"/>
      <c r="C297" s="4"/>
      <c r="D297" s="8"/>
      <c r="E297" s="4"/>
      <c r="F297" s="4"/>
      <c r="G297" s="4"/>
      <c r="H297" s="4"/>
      <c r="I297" s="85"/>
      <c r="J297" s="4"/>
      <c r="K297" s="4"/>
      <c r="L297" s="4"/>
      <c r="M297" s="4"/>
      <c r="N297" s="4"/>
      <c r="O297" s="4"/>
      <c r="P297" s="4"/>
    </row>
    <row r="298" spans="1:16" ht="18.600000000000001" customHeight="1" x14ac:dyDescent="0.2">
      <c r="A298" s="7">
        <f t="shared" si="64"/>
        <v>24</v>
      </c>
      <c r="B298" s="3"/>
      <c r="C298" s="4"/>
      <c r="D298" s="8"/>
      <c r="E298" s="4"/>
      <c r="F298" s="4"/>
      <c r="G298" s="4"/>
      <c r="H298" s="4"/>
      <c r="I298" s="85"/>
      <c r="J298" s="4"/>
      <c r="K298" s="4"/>
      <c r="L298" s="4"/>
      <c r="M298" s="4"/>
      <c r="N298" s="4"/>
      <c r="O298" s="4"/>
      <c r="P298" s="4"/>
    </row>
    <row r="299" spans="1:16" ht="18.600000000000001" customHeight="1" x14ac:dyDescent="0.2">
      <c r="A299" s="35">
        <f t="shared" si="64"/>
        <v>25</v>
      </c>
      <c r="B299" s="11"/>
      <c r="C299" s="12"/>
      <c r="D299" s="9"/>
      <c r="E299" s="12"/>
      <c r="F299" s="12"/>
      <c r="G299" s="12"/>
      <c r="H299" s="12"/>
      <c r="I299" s="86"/>
      <c r="J299" s="12"/>
      <c r="K299" s="12"/>
      <c r="L299" s="12"/>
      <c r="M299" s="12"/>
      <c r="N299" s="12"/>
      <c r="O299" s="12"/>
      <c r="P299" s="12"/>
    </row>
    <row r="300" spans="1:16" ht="18.600000000000001" customHeight="1" x14ac:dyDescent="0.3">
      <c r="A300" s="147"/>
      <c r="B300" s="148"/>
      <c r="C300" s="147"/>
      <c r="D300" s="149"/>
      <c r="E300" s="150">
        <f>SUBTOTAL(9,E275:E299)</f>
        <v>0</v>
      </c>
      <c r="F300" s="152"/>
      <c r="G300" s="150">
        <f t="shared" ref="G300" si="65">SUBTOTAL(9,G275:G299)</f>
        <v>0</v>
      </c>
      <c r="H300" s="152"/>
      <c r="I300" s="150">
        <f t="shared" ref="I300" si="66">SUBTOTAL(9,I275:I299)</f>
        <v>0</v>
      </c>
      <c r="J300" s="152"/>
      <c r="K300" s="152"/>
      <c r="L300" s="152"/>
      <c r="M300" s="150">
        <f t="shared" ref="M300" si="67">SUBTOTAL(9,M275:M299)</f>
        <v>0</v>
      </c>
      <c r="N300" s="152"/>
      <c r="O300" s="150">
        <f t="shared" ref="O300" si="68">SUBTOTAL(9,O275:O299)</f>
        <v>0</v>
      </c>
      <c r="P300" s="152"/>
    </row>
    <row r="301" spans="1:16" ht="18.600000000000001" customHeight="1" x14ac:dyDescent="0.2">
      <c r="A301" s="434" t="str">
        <f>A271</f>
        <v>DANH SÁCH LỚP KET</v>
      </c>
      <c r="B301" s="434"/>
      <c r="C301" s="434"/>
      <c r="D301" s="434"/>
      <c r="E301" s="434"/>
      <c r="F301" s="434"/>
      <c r="G301" s="434"/>
      <c r="H301" s="434"/>
      <c r="I301" s="92" t="s">
        <v>847</v>
      </c>
      <c r="J301" s="48"/>
      <c r="K301" s="48"/>
      <c r="L301" s="48"/>
      <c r="M301" s="41"/>
      <c r="N301" s="41"/>
      <c r="O301" s="41"/>
      <c r="P301" s="41"/>
    </row>
    <row r="302" spans="1:16" ht="18.600000000000001" customHeight="1" x14ac:dyDescent="0.2">
      <c r="A302" s="28"/>
      <c r="B302" s="29"/>
      <c r="C302" s="30"/>
      <c r="D302" s="36"/>
      <c r="E302" s="28"/>
      <c r="F302" s="28"/>
      <c r="G302" s="28"/>
      <c r="H302" s="28"/>
      <c r="I302" s="79"/>
      <c r="J302" s="28"/>
      <c r="K302" s="28"/>
      <c r="L302" s="28"/>
      <c r="M302" s="28"/>
      <c r="N302" s="28"/>
      <c r="O302" s="28"/>
      <c r="P302" s="28"/>
    </row>
    <row r="303" spans="1:16" ht="18.600000000000001" customHeight="1" x14ac:dyDescent="0.2">
      <c r="A303" s="435" t="s">
        <v>374</v>
      </c>
      <c r="B303" s="435" t="s">
        <v>380</v>
      </c>
      <c r="C303" s="435" t="s">
        <v>383</v>
      </c>
      <c r="D303" s="437" t="s">
        <v>384</v>
      </c>
      <c r="E303" s="438" t="s">
        <v>385</v>
      </c>
      <c r="F303" s="439"/>
      <c r="G303" s="432" t="str">
        <f>$R$1</f>
        <v>Hè 1</v>
      </c>
      <c r="H303" s="433"/>
      <c r="I303" s="432" t="str">
        <f>$T$1</f>
        <v>Hè 2</v>
      </c>
      <c r="J303" s="433"/>
      <c r="K303" s="432" t="str">
        <f>$V$1</f>
        <v>Hè 3</v>
      </c>
      <c r="L303" s="433"/>
      <c r="M303" s="432" t="str">
        <f>$X$1</f>
        <v>.</v>
      </c>
      <c r="N303" s="433"/>
      <c r="O303" s="432" t="str">
        <f>$Z$1</f>
        <v>.</v>
      </c>
      <c r="P303" s="433"/>
    </row>
    <row r="304" spans="1:16" ht="18.600000000000001" customHeight="1" x14ac:dyDescent="0.2">
      <c r="A304" s="436"/>
      <c r="B304" s="436"/>
      <c r="C304" s="436"/>
      <c r="D304" s="436"/>
      <c r="E304" s="31" t="s">
        <v>381</v>
      </c>
      <c r="F304" s="31" t="s">
        <v>382</v>
      </c>
      <c r="G304" s="31" t="s">
        <v>381</v>
      </c>
      <c r="H304" s="31" t="s">
        <v>382</v>
      </c>
      <c r="I304" s="80" t="s">
        <v>381</v>
      </c>
      <c r="J304" s="31" t="s">
        <v>382</v>
      </c>
      <c r="K304" s="80" t="s">
        <v>381</v>
      </c>
      <c r="L304" s="31" t="s">
        <v>382</v>
      </c>
      <c r="M304" s="31" t="s">
        <v>381</v>
      </c>
      <c r="N304" s="31" t="s">
        <v>382</v>
      </c>
      <c r="O304" s="31" t="s">
        <v>381</v>
      </c>
      <c r="P304" s="31" t="s">
        <v>382</v>
      </c>
    </row>
    <row r="305" spans="1:16" ht="18.600000000000001" customHeight="1" x14ac:dyDescent="0.2">
      <c r="A305" s="32">
        <v>1</v>
      </c>
      <c r="B305" s="24"/>
      <c r="C305" s="24"/>
      <c r="D305" s="24"/>
      <c r="E305" s="32"/>
      <c r="F305" s="34"/>
      <c r="G305" s="32"/>
      <c r="H305" s="93"/>
      <c r="I305" s="81"/>
      <c r="J305" s="34"/>
      <c r="K305" s="34"/>
      <c r="L305" s="34"/>
      <c r="M305" s="32"/>
      <c r="N305" s="34"/>
      <c r="O305" s="32"/>
      <c r="P305" s="34"/>
    </row>
    <row r="306" spans="1:16" ht="18.600000000000001" customHeight="1" x14ac:dyDescent="0.3">
      <c r="A306" s="7">
        <f t="shared" ref="A306:A329" si="69">A305+1</f>
        <v>2</v>
      </c>
      <c r="B306" s="39"/>
      <c r="C306" s="24"/>
      <c r="D306" s="163"/>
      <c r="E306" s="7"/>
      <c r="F306" s="7"/>
      <c r="G306" s="7"/>
      <c r="H306" s="7"/>
      <c r="I306" s="82"/>
      <c r="J306" s="7"/>
      <c r="K306" s="7"/>
      <c r="L306" s="7"/>
      <c r="M306" s="7"/>
      <c r="N306" s="7"/>
      <c r="O306" s="7"/>
      <c r="P306" s="7"/>
    </row>
    <row r="307" spans="1:16" ht="18.600000000000001" customHeight="1" x14ac:dyDescent="0.3">
      <c r="A307" s="7">
        <f t="shared" si="69"/>
        <v>3</v>
      </c>
      <c r="B307" s="143"/>
      <c r="C307" s="143"/>
      <c r="D307" s="143"/>
      <c r="E307" s="7"/>
      <c r="F307" s="7"/>
      <c r="G307" s="7"/>
      <c r="H307" s="7"/>
      <c r="I307" s="82"/>
      <c r="J307" s="7"/>
      <c r="K307" s="7"/>
      <c r="L307" s="7"/>
      <c r="M307" s="7"/>
      <c r="N307" s="7"/>
      <c r="O307" s="7"/>
      <c r="P307" s="7"/>
    </row>
    <row r="308" spans="1:16" ht="18.600000000000001" customHeight="1" x14ac:dyDescent="0.3">
      <c r="A308" s="7">
        <f t="shared" si="69"/>
        <v>4</v>
      </c>
      <c r="B308" s="26"/>
      <c r="C308" s="26"/>
      <c r="D308" s="143"/>
      <c r="E308" s="7"/>
      <c r="F308" s="7"/>
      <c r="G308" s="7"/>
      <c r="H308" s="7"/>
      <c r="I308" s="82"/>
      <c r="J308" s="7"/>
      <c r="K308" s="7"/>
      <c r="L308" s="7"/>
      <c r="M308" s="7"/>
      <c r="N308" s="7"/>
      <c r="O308" s="7"/>
      <c r="P308" s="7"/>
    </row>
    <row r="309" spans="1:16" ht="18.600000000000001" customHeight="1" x14ac:dyDescent="0.3">
      <c r="A309" s="6">
        <f t="shared" si="69"/>
        <v>5</v>
      </c>
      <c r="B309" s="39"/>
      <c r="C309" s="24"/>
      <c r="D309" s="163"/>
      <c r="E309" s="16"/>
      <c r="F309" s="16"/>
      <c r="G309" s="16"/>
      <c r="H309" s="16"/>
      <c r="I309" s="83"/>
      <c r="J309" s="16"/>
      <c r="K309" s="16"/>
      <c r="L309" s="16"/>
      <c r="M309" s="16"/>
      <c r="N309" s="16"/>
      <c r="O309" s="16"/>
      <c r="P309" s="16"/>
    </row>
    <row r="310" spans="1:16" ht="18.600000000000001" customHeight="1" x14ac:dyDescent="0.3">
      <c r="A310" s="56">
        <f t="shared" si="69"/>
        <v>6</v>
      </c>
      <c r="B310" s="143"/>
      <c r="C310" s="143"/>
      <c r="D310" s="143"/>
      <c r="E310" s="2"/>
      <c r="F310" s="2"/>
      <c r="G310" s="2"/>
      <c r="H310" s="2"/>
      <c r="I310" s="84"/>
      <c r="J310" s="2"/>
      <c r="K310" s="2"/>
      <c r="L310" s="2"/>
      <c r="M310" s="2"/>
      <c r="N310" s="2"/>
      <c r="O310" s="2"/>
      <c r="P310" s="2"/>
    </row>
    <row r="311" spans="1:16" ht="18.600000000000001" customHeight="1" x14ac:dyDescent="0.2">
      <c r="A311" s="6">
        <f t="shared" si="69"/>
        <v>7</v>
      </c>
      <c r="B311" s="24"/>
      <c r="C311" s="24"/>
      <c r="D311" s="24"/>
      <c r="E311" s="4"/>
      <c r="F311" s="4"/>
      <c r="G311" s="4"/>
      <c r="H311" s="4"/>
      <c r="I311" s="85"/>
      <c r="J311" s="4"/>
      <c r="K311" s="4"/>
      <c r="L311" s="4"/>
      <c r="M311" s="4"/>
      <c r="N311" s="4"/>
      <c r="O311" s="4"/>
      <c r="P311" s="4"/>
    </row>
    <row r="312" spans="1:16" ht="18.600000000000001" customHeight="1" x14ac:dyDescent="0.3">
      <c r="A312" s="6">
        <f t="shared" si="69"/>
        <v>8</v>
      </c>
      <c r="B312" s="143"/>
      <c r="C312" s="143"/>
      <c r="D312" s="143"/>
      <c r="E312" s="4"/>
      <c r="F312" s="4"/>
      <c r="G312" s="4"/>
      <c r="H312" s="4"/>
      <c r="I312" s="85"/>
      <c r="J312" s="4"/>
      <c r="K312" s="4"/>
      <c r="L312" s="4"/>
      <c r="M312" s="4"/>
      <c r="N312" s="4"/>
      <c r="O312" s="4"/>
      <c r="P312" s="4"/>
    </row>
    <row r="313" spans="1:16" ht="18.600000000000001" customHeight="1" x14ac:dyDescent="0.3">
      <c r="A313" s="6">
        <f t="shared" si="69"/>
        <v>9</v>
      </c>
      <c r="B313" s="143"/>
      <c r="C313" s="143"/>
      <c r="D313" s="143"/>
      <c r="E313" s="4"/>
      <c r="F313" s="4"/>
      <c r="G313" s="4"/>
      <c r="H313" s="4"/>
      <c r="I313" s="85"/>
      <c r="J313" s="4"/>
      <c r="K313" s="4"/>
      <c r="L313" s="4"/>
      <c r="M313" s="4"/>
      <c r="N313" s="4"/>
      <c r="O313" s="4"/>
      <c r="P313" s="4"/>
    </row>
    <row r="314" spans="1:16" ht="18.600000000000001" customHeight="1" x14ac:dyDescent="0.2">
      <c r="A314" s="10">
        <f t="shared" si="69"/>
        <v>10</v>
      </c>
      <c r="B314" s="24"/>
      <c r="C314" s="24"/>
      <c r="D314" s="24"/>
      <c r="E314" s="12"/>
      <c r="F314" s="12"/>
      <c r="G314" s="12"/>
      <c r="H314" s="12"/>
      <c r="I314" s="86"/>
      <c r="J314" s="12"/>
      <c r="K314" s="12"/>
      <c r="L314" s="12"/>
      <c r="M314" s="12"/>
      <c r="N314" s="12"/>
      <c r="O314" s="12"/>
      <c r="P314" s="12"/>
    </row>
    <row r="315" spans="1:16" ht="18.600000000000001" customHeight="1" x14ac:dyDescent="0.3">
      <c r="A315" s="35">
        <f t="shared" si="69"/>
        <v>11</v>
      </c>
      <c r="B315" s="143"/>
      <c r="C315" s="143"/>
      <c r="D315" s="143"/>
      <c r="E315" s="14"/>
      <c r="F315" s="14"/>
      <c r="G315" s="14"/>
      <c r="H315" s="14"/>
      <c r="I315" s="87"/>
      <c r="J315" s="14"/>
      <c r="K315" s="14"/>
      <c r="L315" s="14"/>
      <c r="M315" s="14"/>
      <c r="N315" s="14"/>
      <c r="O315" s="14"/>
      <c r="P315" s="14"/>
    </row>
    <row r="316" spans="1:16" ht="18.600000000000001" customHeight="1" x14ac:dyDescent="0.3">
      <c r="A316" s="7">
        <f t="shared" si="69"/>
        <v>12</v>
      </c>
      <c r="B316" s="39"/>
      <c r="C316" s="24"/>
      <c r="D316" s="163"/>
      <c r="E316" s="4"/>
      <c r="F316" s="4"/>
      <c r="G316" s="4"/>
      <c r="H316" s="4"/>
      <c r="I316" s="85"/>
      <c r="J316" s="4"/>
      <c r="K316" s="4"/>
      <c r="L316" s="4"/>
      <c r="M316" s="4"/>
      <c r="N316" s="4"/>
      <c r="O316" s="4"/>
      <c r="P316" s="4"/>
    </row>
    <row r="317" spans="1:16" ht="18.600000000000001" customHeight="1" x14ac:dyDescent="0.3">
      <c r="A317" s="7">
        <f t="shared" si="69"/>
        <v>13</v>
      </c>
      <c r="B317" s="143"/>
      <c r="C317" s="143"/>
      <c r="D317" s="143"/>
      <c r="E317" s="4"/>
      <c r="F317" s="4"/>
      <c r="G317" s="4"/>
      <c r="H317" s="4"/>
      <c r="I317" s="85"/>
      <c r="J317" s="4"/>
      <c r="K317" s="4"/>
      <c r="L317" s="4"/>
      <c r="M317" s="4"/>
      <c r="N317" s="4"/>
      <c r="O317" s="4"/>
      <c r="P317" s="4"/>
    </row>
    <row r="318" spans="1:16" ht="18.600000000000001" customHeight="1" x14ac:dyDescent="0.2">
      <c r="A318" s="7">
        <f t="shared" si="69"/>
        <v>14</v>
      </c>
      <c r="B318" s="24"/>
      <c r="C318" s="24"/>
      <c r="D318" s="24"/>
      <c r="E318" s="4"/>
      <c r="F318" s="4"/>
      <c r="G318" s="4"/>
      <c r="H318" s="4"/>
      <c r="I318" s="85"/>
      <c r="J318" s="4"/>
      <c r="K318" s="4"/>
      <c r="L318" s="4"/>
      <c r="M318" s="4"/>
      <c r="N318" s="4"/>
      <c r="O318" s="4"/>
      <c r="P318" s="4"/>
    </row>
    <row r="319" spans="1:16" ht="18.600000000000001" customHeight="1" x14ac:dyDescent="0.3">
      <c r="A319" s="6">
        <f t="shared" si="69"/>
        <v>15</v>
      </c>
      <c r="B319" s="143"/>
      <c r="C319" s="143"/>
      <c r="D319" s="143"/>
      <c r="E319" s="16"/>
      <c r="F319" s="16"/>
      <c r="G319" s="16"/>
      <c r="H319" s="16"/>
      <c r="I319" s="83"/>
      <c r="J319" s="16"/>
      <c r="K319" s="16"/>
      <c r="L319" s="16"/>
      <c r="M319" s="16"/>
      <c r="N319" s="16"/>
      <c r="O319" s="16"/>
      <c r="P319" s="16"/>
    </row>
    <row r="320" spans="1:16" ht="18.600000000000001" customHeight="1" x14ac:dyDescent="0.3">
      <c r="A320" s="32">
        <f t="shared" si="69"/>
        <v>16</v>
      </c>
      <c r="B320" s="143"/>
      <c r="C320" s="143"/>
      <c r="D320" s="143"/>
      <c r="E320" s="2"/>
      <c r="F320" s="2"/>
      <c r="G320" s="2"/>
      <c r="H320" s="2"/>
      <c r="I320" s="84"/>
      <c r="J320" s="2"/>
      <c r="K320" s="2"/>
      <c r="L320" s="2"/>
      <c r="M320" s="2"/>
      <c r="N320" s="2"/>
      <c r="O320" s="2"/>
      <c r="P320" s="2"/>
    </row>
    <row r="321" spans="1:16" ht="18.600000000000001" customHeight="1" x14ac:dyDescent="0.3">
      <c r="A321" s="7">
        <f t="shared" si="69"/>
        <v>17</v>
      </c>
      <c r="B321" s="39"/>
      <c r="C321" s="24"/>
      <c r="D321" s="163"/>
      <c r="E321" s="4"/>
      <c r="F321" s="4"/>
      <c r="G321" s="4"/>
      <c r="H321" s="4"/>
      <c r="I321" s="85"/>
      <c r="J321" s="4"/>
      <c r="K321" s="4"/>
      <c r="L321" s="4"/>
      <c r="M321" s="4"/>
      <c r="N321" s="4"/>
      <c r="O321" s="4"/>
      <c r="P321" s="4"/>
    </row>
    <row r="322" spans="1:16" ht="18.600000000000001" customHeight="1" x14ac:dyDescent="0.2">
      <c r="A322" s="7">
        <f t="shared" si="69"/>
        <v>18</v>
      </c>
      <c r="B322" s="24"/>
      <c r="C322" s="24"/>
      <c r="D322" s="163"/>
      <c r="E322" s="4"/>
      <c r="F322" s="4"/>
      <c r="G322" s="4"/>
      <c r="H322" s="4"/>
      <c r="I322" s="85"/>
      <c r="J322" s="4"/>
      <c r="K322" s="4"/>
      <c r="L322" s="4"/>
      <c r="M322" s="4"/>
      <c r="N322" s="4"/>
      <c r="O322" s="4"/>
      <c r="P322" s="4"/>
    </row>
    <row r="323" spans="1:16" ht="18.600000000000001" customHeight="1" x14ac:dyDescent="0.3">
      <c r="A323" s="7">
        <f t="shared" si="69"/>
        <v>19</v>
      </c>
      <c r="B323" s="39"/>
      <c r="C323" s="24"/>
      <c r="D323" s="163"/>
      <c r="E323" s="4"/>
      <c r="F323" s="4"/>
      <c r="G323" s="4"/>
      <c r="H323" s="4"/>
      <c r="I323" s="85"/>
      <c r="J323" s="4"/>
      <c r="K323" s="4"/>
      <c r="L323" s="4"/>
      <c r="M323" s="4"/>
      <c r="N323" s="4"/>
      <c r="O323" s="4"/>
      <c r="P323" s="4"/>
    </row>
    <row r="324" spans="1:16" ht="18.600000000000001" customHeight="1" x14ac:dyDescent="0.2">
      <c r="A324" s="10">
        <f t="shared" si="69"/>
        <v>20</v>
      </c>
      <c r="B324" s="24"/>
      <c r="C324" s="24"/>
      <c r="D324" s="163"/>
      <c r="E324" s="12"/>
      <c r="F324" s="12"/>
      <c r="G324" s="12"/>
      <c r="H324" s="12"/>
      <c r="I324" s="86"/>
      <c r="J324" s="12"/>
      <c r="K324" s="12"/>
      <c r="L324" s="12"/>
      <c r="M324" s="12"/>
      <c r="N324" s="12"/>
      <c r="O324" s="12"/>
      <c r="P324" s="12"/>
    </row>
    <row r="325" spans="1:16" ht="18.600000000000001" customHeight="1" x14ac:dyDescent="0.2">
      <c r="A325" s="35">
        <f t="shared" si="69"/>
        <v>21</v>
      </c>
      <c r="B325" s="13"/>
      <c r="C325" s="14"/>
      <c r="D325" s="37"/>
      <c r="E325" s="14"/>
      <c r="F325" s="14"/>
      <c r="G325" s="14"/>
      <c r="H325" s="14"/>
      <c r="I325" s="87"/>
      <c r="J325" s="14"/>
      <c r="K325" s="14"/>
      <c r="L325" s="14"/>
      <c r="M325" s="14"/>
      <c r="N325" s="14"/>
      <c r="O325" s="14"/>
      <c r="P325" s="14"/>
    </row>
    <row r="326" spans="1:16" ht="18.600000000000001" customHeight="1" x14ac:dyDescent="0.2">
      <c r="A326" s="7">
        <f t="shared" si="69"/>
        <v>22</v>
      </c>
      <c r="B326" s="3"/>
      <c r="C326" s="4"/>
      <c r="D326" s="8"/>
      <c r="E326" s="4"/>
      <c r="F326" s="4"/>
      <c r="G326" s="4"/>
      <c r="H326" s="4"/>
      <c r="I326" s="85"/>
      <c r="J326" s="4"/>
      <c r="K326" s="4"/>
      <c r="L326" s="4"/>
      <c r="M326" s="4"/>
      <c r="N326" s="4"/>
      <c r="O326" s="4"/>
      <c r="P326" s="4"/>
    </row>
    <row r="327" spans="1:16" ht="18.600000000000001" customHeight="1" x14ac:dyDescent="0.2">
      <c r="A327" s="35">
        <f t="shared" si="69"/>
        <v>23</v>
      </c>
      <c r="B327" s="3"/>
      <c r="C327" s="4"/>
      <c r="D327" s="8"/>
      <c r="E327" s="4"/>
      <c r="F327" s="4"/>
      <c r="G327" s="4"/>
      <c r="H327" s="4"/>
      <c r="I327" s="85"/>
      <c r="J327" s="4"/>
      <c r="K327" s="4"/>
      <c r="L327" s="4"/>
      <c r="M327" s="4"/>
      <c r="N327" s="4"/>
      <c r="O327" s="4"/>
      <c r="P327" s="4"/>
    </row>
    <row r="328" spans="1:16" ht="18.600000000000001" customHeight="1" x14ac:dyDescent="0.2">
      <c r="A328" s="7">
        <f t="shared" si="69"/>
        <v>24</v>
      </c>
      <c r="B328" s="3"/>
      <c r="C328" s="4"/>
      <c r="D328" s="8"/>
      <c r="E328" s="4"/>
      <c r="F328" s="4"/>
      <c r="G328" s="4"/>
      <c r="H328" s="4"/>
      <c r="I328" s="85"/>
      <c r="J328" s="4"/>
      <c r="K328" s="4"/>
      <c r="L328" s="4"/>
      <c r="M328" s="4"/>
      <c r="N328" s="4"/>
      <c r="O328" s="4"/>
      <c r="P328" s="4"/>
    </row>
    <row r="329" spans="1:16" ht="18.600000000000001" customHeight="1" x14ac:dyDescent="0.2">
      <c r="A329" s="35">
        <f t="shared" si="69"/>
        <v>25</v>
      </c>
      <c r="B329" s="11"/>
      <c r="C329" s="12"/>
      <c r="D329" s="9"/>
      <c r="E329" s="12"/>
      <c r="F329" s="12"/>
      <c r="G329" s="12"/>
      <c r="H329" s="12"/>
      <c r="I329" s="86"/>
      <c r="J329" s="12"/>
      <c r="K329" s="12"/>
      <c r="L329" s="12"/>
      <c r="M329" s="12"/>
      <c r="N329" s="12"/>
      <c r="O329" s="12"/>
      <c r="P329" s="12"/>
    </row>
    <row r="330" spans="1:16" ht="18.600000000000001" customHeight="1" x14ac:dyDescent="0.3">
      <c r="A330" s="147"/>
      <c r="B330" s="148"/>
      <c r="C330" s="147"/>
      <c r="D330" s="149"/>
      <c r="E330" s="150">
        <f>SUBTOTAL(9,E305:E329)</f>
        <v>0</v>
      </c>
      <c r="F330" s="152"/>
      <c r="G330" s="150">
        <f t="shared" ref="G330" si="70">SUBTOTAL(9,G305:G329)</f>
        <v>0</v>
      </c>
      <c r="H330" s="152"/>
      <c r="I330" s="150">
        <f t="shared" ref="I330" si="71">SUBTOTAL(9,I305:I329)</f>
        <v>0</v>
      </c>
      <c r="J330" s="152"/>
      <c r="K330" s="152"/>
      <c r="L330" s="152"/>
      <c r="M330" s="150">
        <f t="shared" ref="M330" si="72">SUBTOTAL(9,M305:M329)</f>
        <v>0</v>
      </c>
      <c r="N330" s="152"/>
      <c r="O330" s="150">
        <f t="shared" ref="O330" si="73">SUBTOTAL(9,O305:O329)</f>
        <v>0</v>
      </c>
      <c r="P330" s="152"/>
    </row>
    <row r="331" spans="1:16" ht="18.600000000000001" customHeight="1" x14ac:dyDescent="0.2">
      <c r="A331" s="434" t="str">
        <f>A271</f>
        <v>DANH SÁCH LỚP KET</v>
      </c>
      <c r="B331" s="434"/>
      <c r="C331" s="434"/>
      <c r="D331" s="434"/>
      <c r="E331" s="434"/>
      <c r="F331" s="434"/>
      <c r="G331" s="434"/>
      <c r="H331" s="434"/>
      <c r="I331" s="92" t="s">
        <v>828</v>
      </c>
      <c r="J331" s="48"/>
      <c r="K331" s="48"/>
      <c r="L331" s="48"/>
      <c r="M331" s="41"/>
      <c r="N331" s="41"/>
      <c r="O331" s="41"/>
      <c r="P331" s="41"/>
    </row>
    <row r="332" spans="1:16" ht="18.600000000000001" customHeight="1" x14ac:dyDescent="0.2">
      <c r="A332" s="28"/>
      <c r="B332" s="29"/>
      <c r="C332" s="30"/>
      <c r="D332" s="36"/>
      <c r="E332" s="28"/>
      <c r="F332" s="28"/>
      <c r="G332" s="28"/>
      <c r="H332" s="28"/>
      <c r="I332" s="79"/>
      <c r="J332" s="28"/>
      <c r="K332" s="28"/>
      <c r="L332" s="28"/>
      <c r="M332" s="28"/>
      <c r="N332" s="28"/>
      <c r="O332" s="28"/>
      <c r="P332" s="28"/>
    </row>
    <row r="333" spans="1:16" ht="18.600000000000001" customHeight="1" x14ac:dyDescent="0.2">
      <c r="A333" s="435" t="s">
        <v>374</v>
      </c>
      <c r="B333" s="435" t="s">
        <v>380</v>
      </c>
      <c r="C333" s="435" t="s">
        <v>383</v>
      </c>
      <c r="D333" s="437" t="s">
        <v>384</v>
      </c>
      <c r="E333" s="438" t="s">
        <v>385</v>
      </c>
      <c r="F333" s="439"/>
      <c r="G333" s="432" t="str">
        <f>$R$1</f>
        <v>Hè 1</v>
      </c>
      <c r="H333" s="433"/>
      <c r="I333" s="432" t="str">
        <f>$T$1</f>
        <v>Hè 2</v>
      </c>
      <c r="J333" s="433"/>
      <c r="K333" s="432" t="str">
        <f>$V$1</f>
        <v>Hè 3</v>
      </c>
      <c r="L333" s="433"/>
      <c r="M333" s="432" t="str">
        <f>$X$1</f>
        <v>.</v>
      </c>
      <c r="N333" s="433"/>
      <c r="O333" s="432" t="str">
        <f>$Z$1</f>
        <v>.</v>
      </c>
      <c r="P333" s="433"/>
    </row>
    <row r="334" spans="1:16" ht="18.600000000000001" customHeight="1" x14ac:dyDescent="0.2">
      <c r="A334" s="436"/>
      <c r="B334" s="436"/>
      <c r="C334" s="436"/>
      <c r="D334" s="436"/>
      <c r="E334" s="31" t="s">
        <v>381</v>
      </c>
      <c r="F334" s="31" t="s">
        <v>382</v>
      </c>
      <c r="G334" s="31" t="s">
        <v>381</v>
      </c>
      <c r="H334" s="31" t="s">
        <v>382</v>
      </c>
      <c r="I334" s="80" t="s">
        <v>381</v>
      </c>
      <c r="J334" s="31" t="s">
        <v>382</v>
      </c>
      <c r="K334" s="80" t="s">
        <v>381</v>
      </c>
      <c r="L334" s="31" t="s">
        <v>382</v>
      </c>
      <c r="M334" s="31" t="s">
        <v>381</v>
      </c>
      <c r="N334" s="31" t="s">
        <v>382</v>
      </c>
      <c r="O334" s="31" t="s">
        <v>381</v>
      </c>
      <c r="P334" s="31" t="s">
        <v>382</v>
      </c>
    </row>
    <row r="335" spans="1:16" ht="18.600000000000001" customHeight="1" x14ac:dyDescent="0.3">
      <c r="A335" s="32">
        <v>1</v>
      </c>
      <c r="B335" s="39"/>
      <c r="C335" s="24"/>
      <c r="D335" s="163"/>
      <c r="E335" s="32"/>
      <c r="F335" s="34"/>
      <c r="G335" s="32"/>
      <c r="H335" s="93"/>
      <c r="I335" s="81"/>
      <c r="J335" s="34"/>
      <c r="K335" s="34"/>
      <c r="L335" s="34"/>
      <c r="M335" s="32"/>
      <c r="N335" s="34"/>
      <c r="O335" s="32"/>
      <c r="P335" s="34"/>
    </row>
    <row r="336" spans="1:16" ht="18.600000000000001" customHeight="1" x14ac:dyDescent="0.3">
      <c r="A336" s="7">
        <f t="shared" ref="A336:A359" si="74">A335+1</f>
        <v>2</v>
      </c>
      <c r="B336" s="39"/>
      <c r="C336" s="24"/>
      <c r="D336" s="163"/>
      <c r="E336" s="7"/>
      <c r="F336" s="7"/>
      <c r="G336" s="7"/>
      <c r="H336" s="7"/>
      <c r="I336" s="82"/>
      <c r="J336" s="7"/>
      <c r="K336" s="7"/>
      <c r="L336" s="7"/>
      <c r="M336" s="7"/>
      <c r="N336" s="7"/>
      <c r="O336" s="7"/>
      <c r="P336" s="7"/>
    </row>
    <row r="337" spans="1:16" ht="18.600000000000001" customHeight="1" x14ac:dyDescent="0.3">
      <c r="A337" s="7">
        <f t="shared" si="74"/>
        <v>3</v>
      </c>
      <c r="B337" s="39"/>
      <c r="C337" s="24"/>
      <c r="D337" s="163"/>
      <c r="E337" s="7"/>
      <c r="F337" s="7"/>
      <c r="G337" s="7"/>
      <c r="H337" s="7"/>
      <c r="I337" s="82"/>
      <c r="J337" s="7"/>
      <c r="K337" s="7"/>
      <c r="L337" s="7"/>
      <c r="M337" s="7"/>
      <c r="N337" s="7"/>
      <c r="O337" s="7"/>
      <c r="P337" s="7"/>
    </row>
    <row r="338" spans="1:16" ht="18.600000000000001" customHeight="1" x14ac:dyDescent="0.3">
      <c r="A338" s="7">
        <f t="shared" si="74"/>
        <v>4</v>
      </c>
      <c r="B338" s="39"/>
      <c r="C338" s="24"/>
      <c r="D338" s="163"/>
      <c r="E338" s="7"/>
      <c r="F338" s="7"/>
      <c r="G338" s="7"/>
      <c r="H338" s="7"/>
      <c r="I338" s="82"/>
      <c r="J338" s="7"/>
      <c r="K338" s="7"/>
      <c r="L338" s="7"/>
      <c r="M338" s="7"/>
      <c r="N338" s="7"/>
      <c r="O338" s="7"/>
      <c r="P338" s="7"/>
    </row>
    <row r="339" spans="1:16" ht="18.600000000000001" customHeight="1" x14ac:dyDescent="0.3">
      <c r="A339" s="6">
        <f t="shared" si="74"/>
        <v>5</v>
      </c>
      <c r="B339" s="39"/>
      <c r="C339" s="24"/>
      <c r="D339" s="163"/>
      <c r="E339" s="16"/>
      <c r="F339" s="16"/>
      <c r="G339" s="16"/>
      <c r="H339" s="16"/>
      <c r="I339" s="83"/>
      <c r="J339" s="16"/>
      <c r="K339" s="16"/>
      <c r="L339" s="16"/>
      <c r="M339" s="16"/>
      <c r="N339" s="16"/>
      <c r="O339" s="16"/>
      <c r="P339" s="16"/>
    </row>
    <row r="340" spans="1:16" ht="18.600000000000001" customHeight="1" x14ac:dyDescent="0.3">
      <c r="A340" s="56">
        <f t="shared" si="74"/>
        <v>6</v>
      </c>
      <c r="B340" s="39"/>
      <c r="C340" s="24"/>
      <c r="D340" s="163"/>
      <c r="E340" s="2"/>
      <c r="F340" s="2"/>
      <c r="G340" s="2"/>
      <c r="H340" s="2"/>
      <c r="I340" s="84"/>
      <c r="J340" s="2"/>
      <c r="K340" s="2"/>
      <c r="L340" s="2"/>
      <c r="M340" s="2"/>
      <c r="N340" s="2"/>
      <c r="O340" s="2"/>
      <c r="P340" s="2"/>
    </row>
    <row r="341" spans="1:16" ht="18.600000000000001" customHeight="1" x14ac:dyDescent="0.3">
      <c r="A341" s="6">
        <f t="shared" si="74"/>
        <v>7</v>
      </c>
      <c r="B341" s="39"/>
      <c r="C341" s="24"/>
      <c r="D341" s="163"/>
      <c r="E341" s="4"/>
      <c r="F341" s="4"/>
      <c r="G341" s="4"/>
      <c r="H341" s="4"/>
      <c r="I341" s="85"/>
      <c r="J341" s="4"/>
      <c r="K341" s="4"/>
      <c r="L341" s="4"/>
      <c r="M341" s="4"/>
      <c r="N341" s="4"/>
      <c r="O341" s="4"/>
      <c r="P341" s="4"/>
    </row>
    <row r="342" spans="1:16" ht="18.600000000000001" customHeight="1" x14ac:dyDescent="0.3">
      <c r="A342" s="6">
        <f t="shared" si="74"/>
        <v>8</v>
      </c>
      <c r="B342" s="39"/>
      <c r="C342" s="24"/>
      <c r="D342" s="163"/>
      <c r="E342" s="4"/>
      <c r="F342" s="4"/>
      <c r="G342" s="4"/>
      <c r="H342" s="4"/>
      <c r="I342" s="85"/>
      <c r="J342" s="4"/>
      <c r="K342" s="4"/>
      <c r="L342" s="4"/>
      <c r="M342" s="4"/>
      <c r="N342" s="4"/>
      <c r="O342" s="4"/>
      <c r="P342" s="4"/>
    </row>
    <row r="343" spans="1:16" ht="18.600000000000001" customHeight="1" x14ac:dyDescent="0.3">
      <c r="A343" s="6">
        <f t="shared" si="74"/>
        <v>9</v>
      </c>
      <c r="B343" s="39"/>
      <c r="C343" s="24"/>
      <c r="D343" s="163"/>
      <c r="E343" s="4"/>
      <c r="F343" s="4"/>
      <c r="G343" s="4"/>
      <c r="H343" s="4"/>
      <c r="I343" s="85"/>
      <c r="J343" s="4"/>
      <c r="K343" s="4"/>
      <c r="L343" s="4"/>
      <c r="M343" s="4"/>
      <c r="N343" s="4"/>
      <c r="O343" s="4"/>
      <c r="P343" s="4"/>
    </row>
    <row r="344" spans="1:16" ht="18.600000000000001" customHeight="1" x14ac:dyDescent="0.3">
      <c r="A344" s="10">
        <f t="shared" si="74"/>
        <v>10</v>
      </c>
      <c r="B344" s="39"/>
      <c r="C344" s="24"/>
      <c r="D344" s="163"/>
      <c r="E344" s="12"/>
      <c r="F344" s="12"/>
      <c r="G344" s="12"/>
      <c r="H344" s="12"/>
      <c r="I344" s="86"/>
      <c r="J344" s="12"/>
      <c r="K344" s="12"/>
      <c r="L344" s="12"/>
      <c r="M344" s="12"/>
      <c r="N344" s="12"/>
      <c r="O344" s="12"/>
      <c r="P344" s="12"/>
    </row>
    <row r="345" spans="1:16" ht="18.600000000000001" customHeight="1" x14ac:dyDescent="0.3">
      <c r="A345" s="35">
        <f t="shared" si="74"/>
        <v>11</v>
      </c>
      <c r="B345" s="39"/>
      <c r="C345" s="24"/>
      <c r="D345" s="163"/>
      <c r="E345" s="14"/>
      <c r="F345" s="14"/>
      <c r="G345" s="14"/>
      <c r="H345" s="14"/>
      <c r="I345" s="87"/>
      <c r="J345" s="14"/>
      <c r="K345" s="14"/>
      <c r="L345" s="14"/>
      <c r="M345" s="14"/>
      <c r="N345" s="14"/>
      <c r="O345" s="14"/>
      <c r="P345" s="14"/>
    </row>
    <row r="346" spans="1:16" ht="18.600000000000001" customHeight="1" x14ac:dyDescent="0.3">
      <c r="A346" s="7">
        <f t="shared" si="74"/>
        <v>12</v>
      </c>
      <c r="B346" s="39"/>
      <c r="C346" s="24"/>
      <c r="D346" s="163"/>
      <c r="E346" s="4"/>
      <c r="F346" s="4"/>
      <c r="G346" s="4"/>
      <c r="H346" s="4"/>
      <c r="I346" s="85"/>
      <c r="J346" s="4"/>
      <c r="K346" s="4"/>
      <c r="L346" s="4"/>
      <c r="M346" s="4"/>
      <c r="N346" s="4"/>
      <c r="O346" s="4"/>
      <c r="P346" s="4"/>
    </row>
    <row r="347" spans="1:16" ht="18.600000000000001" customHeight="1" x14ac:dyDescent="0.3">
      <c r="A347" s="7">
        <f t="shared" si="74"/>
        <v>13</v>
      </c>
      <c r="B347" s="39"/>
      <c r="C347" s="24"/>
      <c r="D347" s="163"/>
      <c r="E347" s="4"/>
      <c r="F347" s="4"/>
      <c r="G347" s="4"/>
      <c r="H347" s="4"/>
      <c r="I347" s="85"/>
      <c r="J347" s="4"/>
      <c r="K347" s="4"/>
      <c r="L347" s="4"/>
      <c r="M347" s="4"/>
      <c r="N347" s="4"/>
      <c r="O347" s="4"/>
      <c r="P347" s="4"/>
    </row>
    <row r="348" spans="1:16" ht="18.600000000000001" customHeight="1" x14ac:dyDescent="0.3">
      <c r="A348" s="7">
        <f t="shared" si="74"/>
        <v>14</v>
      </c>
      <c r="B348" s="39"/>
      <c r="C348" s="24"/>
      <c r="D348" s="163"/>
      <c r="E348" s="4"/>
      <c r="F348" s="4"/>
      <c r="G348" s="4"/>
      <c r="H348" s="4"/>
      <c r="I348" s="85"/>
      <c r="J348" s="4"/>
      <c r="K348" s="4"/>
      <c r="L348" s="4"/>
      <c r="M348" s="4"/>
      <c r="N348" s="4"/>
      <c r="O348" s="4"/>
      <c r="P348" s="4"/>
    </row>
    <row r="349" spans="1:16" ht="18.600000000000001" customHeight="1" x14ac:dyDescent="0.3">
      <c r="A349" s="6">
        <f t="shared" si="74"/>
        <v>15</v>
      </c>
      <c r="B349" s="39"/>
      <c r="C349" s="24"/>
      <c r="D349" s="163"/>
      <c r="E349" s="16"/>
      <c r="F349" s="16"/>
      <c r="G349" s="16"/>
      <c r="H349" s="16"/>
      <c r="I349" s="83"/>
      <c r="J349" s="16"/>
      <c r="K349" s="16"/>
      <c r="L349" s="16"/>
      <c r="M349" s="16"/>
      <c r="N349" s="16"/>
      <c r="O349" s="16"/>
      <c r="P349" s="16"/>
    </row>
    <row r="350" spans="1:16" ht="18.600000000000001" customHeight="1" x14ac:dyDescent="0.3">
      <c r="A350" s="32">
        <f t="shared" si="74"/>
        <v>16</v>
      </c>
      <c r="B350" s="39"/>
      <c r="C350" s="24"/>
      <c r="D350" s="163"/>
      <c r="E350" s="2"/>
      <c r="F350" s="2"/>
      <c r="G350" s="2"/>
      <c r="H350" s="2"/>
      <c r="I350" s="84"/>
      <c r="J350" s="2"/>
      <c r="K350" s="2"/>
      <c r="L350" s="2"/>
      <c r="M350" s="2"/>
      <c r="N350" s="2"/>
      <c r="O350" s="2"/>
      <c r="P350" s="2"/>
    </row>
    <row r="351" spans="1:16" ht="18.600000000000001" customHeight="1" x14ac:dyDescent="0.3">
      <c r="A351" s="7">
        <f t="shared" si="74"/>
        <v>17</v>
      </c>
      <c r="B351" s="39"/>
      <c r="C351" s="24"/>
      <c r="D351" s="163"/>
      <c r="E351" s="4"/>
      <c r="F351" s="4"/>
      <c r="G351" s="4"/>
      <c r="H351" s="4"/>
      <c r="I351" s="85"/>
      <c r="J351" s="4"/>
      <c r="K351" s="4"/>
      <c r="L351" s="4"/>
      <c r="M351" s="4"/>
      <c r="N351" s="4"/>
      <c r="O351" s="4"/>
      <c r="P351" s="4"/>
    </row>
    <row r="352" spans="1:16" ht="18.600000000000001" customHeight="1" x14ac:dyDescent="0.2">
      <c r="A352" s="7">
        <f t="shared" si="74"/>
        <v>18</v>
      </c>
      <c r="B352" s="174"/>
      <c r="C352" s="24"/>
      <c r="D352" s="163"/>
      <c r="E352" s="4"/>
      <c r="F352" s="4"/>
      <c r="G352" s="4"/>
      <c r="H352" s="4"/>
      <c r="I352" s="85"/>
      <c r="J352" s="4"/>
      <c r="K352" s="4"/>
      <c r="L352" s="4"/>
      <c r="M352" s="4"/>
      <c r="N352" s="4"/>
      <c r="O352" s="4"/>
      <c r="P352" s="4"/>
    </row>
    <row r="353" spans="1:16" ht="18.600000000000001" customHeight="1" x14ac:dyDescent="0.3">
      <c r="A353" s="7">
        <f t="shared" si="74"/>
        <v>19</v>
      </c>
      <c r="B353" s="39"/>
      <c r="C353" s="24"/>
      <c r="D353" s="163"/>
      <c r="E353" s="4"/>
      <c r="F353" s="4"/>
      <c r="G353" s="4"/>
      <c r="H353" s="4"/>
      <c r="I353" s="85"/>
      <c r="J353" s="4"/>
      <c r="K353" s="4"/>
      <c r="L353" s="4"/>
      <c r="M353" s="4"/>
      <c r="N353" s="4"/>
      <c r="O353" s="4"/>
      <c r="P353" s="4"/>
    </row>
    <row r="354" spans="1:16" ht="18.600000000000001" customHeight="1" x14ac:dyDescent="0.3">
      <c r="A354" s="10">
        <f t="shared" si="74"/>
        <v>20</v>
      </c>
      <c r="B354" s="39"/>
      <c r="C354" s="24"/>
      <c r="D354" s="163"/>
      <c r="E354" s="12"/>
      <c r="F354" s="12"/>
      <c r="G354" s="12"/>
      <c r="H354" s="12"/>
      <c r="I354" s="86"/>
      <c r="J354" s="12"/>
      <c r="K354" s="12"/>
      <c r="L354" s="12"/>
      <c r="M354" s="12"/>
      <c r="N354" s="12"/>
      <c r="O354" s="12"/>
      <c r="P354" s="12"/>
    </row>
    <row r="355" spans="1:16" ht="18.600000000000001" customHeight="1" x14ac:dyDescent="0.3">
      <c r="A355" s="35">
        <f t="shared" si="74"/>
        <v>21</v>
      </c>
      <c r="B355" s="39"/>
      <c r="C355" s="24"/>
      <c r="D355" s="163"/>
      <c r="E355" s="14"/>
      <c r="F355" s="14"/>
      <c r="G355" s="14"/>
      <c r="H355" s="14"/>
      <c r="I355" s="87"/>
      <c r="J355" s="14"/>
      <c r="K355" s="14"/>
      <c r="L355" s="14"/>
      <c r="M355" s="14"/>
      <c r="N355" s="14"/>
      <c r="O355" s="14"/>
      <c r="P355" s="14"/>
    </row>
    <row r="356" spans="1:16" ht="18.600000000000001" customHeight="1" x14ac:dyDescent="0.3">
      <c r="A356" s="7">
        <f t="shared" si="74"/>
        <v>22</v>
      </c>
      <c r="B356" s="39"/>
      <c r="C356" s="24"/>
      <c r="D356" s="163"/>
      <c r="E356" s="4"/>
      <c r="F356" s="4"/>
      <c r="G356" s="4"/>
      <c r="H356" s="4"/>
      <c r="I356" s="85"/>
      <c r="J356" s="4"/>
      <c r="K356" s="4"/>
      <c r="L356" s="4"/>
      <c r="M356" s="4"/>
      <c r="N356" s="4"/>
      <c r="O356" s="4"/>
      <c r="P356" s="4"/>
    </row>
    <row r="357" spans="1:16" ht="18.600000000000001" customHeight="1" x14ac:dyDescent="0.3">
      <c r="A357" s="35">
        <f t="shared" si="74"/>
        <v>23</v>
      </c>
      <c r="B357" s="39"/>
      <c r="C357" s="24"/>
      <c r="D357" s="163"/>
      <c r="E357" s="4"/>
      <c r="F357" s="4"/>
      <c r="G357" s="4"/>
      <c r="H357" s="4"/>
      <c r="I357" s="85"/>
      <c r="J357" s="4"/>
      <c r="K357" s="4"/>
      <c r="L357" s="4"/>
      <c r="M357" s="4"/>
      <c r="N357" s="4"/>
      <c r="O357" s="4"/>
      <c r="P357" s="4"/>
    </row>
    <row r="358" spans="1:16" ht="18.600000000000001" customHeight="1" x14ac:dyDescent="0.3">
      <c r="A358" s="7">
        <f t="shared" si="74"/>
        <v>24</v>
      </c>
      <c r="B358" s="39"/>
      <c r="C358" s="24"/>
      <c r="D358" s="163"/>
      <c r="E358" s="4"/>
      <c r="F358" s="4"/>
      <c r="G358" s="4"/>
      <c r="H358" s="4"/>
      <c r="I358" s="85"/>
      <c r="J358" s="4"/>
      <c r="K358" s="4"/>
      <c r="L358" s="4"/>
      <c r="M358" s="4"/>
      <c r="N358" s="4"/>
      <c r="O358" s="4"/>
      <c r="P358" s="4"/>
    </row>
    <row r="359" spans="1:16" ht="18.600000000000001" customHeight="1" x14ac:dyDescent="0.2">
      <c r="A359" s="35">
        <f t="shared" si="74"/>
        <v>25</v>
      </c>
      <c r="B359" s="11"/>
      <c r="C359" s="12"/>
      <c r="D359" s="9"/>
      <c r="E359" s="12"/>
      <c r="F359" s="12"/>
      <c r="G359" s="12"/>
      <c r="H359" s="12"/>
      <c r="I359" s="86"/>
      <c r="J359" s="12"/>
      <c r="K359" s="12"/>
      <c r="L359" s="12"/>
      <c r="M359" s="12"/>
      <c r="N359" s="12"/>
      <c r="O359" s="12"/>
      <c r="P359" s="12"/>
    </row>
    <row r="360" spans="1:16" ht="18.600000000000001" customHeight="1" x14ac:dyDescent="0.3">
      <c r="A360" s="147"/>
      <c r="B360" s="148"/>
      <c r="C360" s="147"/>
      <c r="D360" s="149"/>
      <c r="E360" s="150">
        <f>SUBTOTAL(9,E335:E359)</f>
        <v>0</v>
      </c>
      <c r="F360" s="152"/>
      <c r="G360" s="150">
        <f t="shared" ref="G360" si="75">SUBTOTAL(9,G335:G359)</f>
        <v>0</v>
      </c>
      <c r="H360" s="152"/>
      <c r="I360" s="150">
        <f t="shared" ref="I360" si="76">SUBTOTAL(9,I335:I359)</f>
        <v>0</v>
      </c>
      <c r="J360" s="152"/>
      <c r="K360" s="152"/>
      <c r="L360" s="152"/>
      <c r="M360" s="150">
        <f t="shared" ref="M360" si="77">SUBTOTAL(9,M335:M359)</f>
        <v>0</v>
      </c>
      <c r="N360" s="152"/>
      <c r="O360" s="150">
        <f t="shared" ref="O360" si="78">SUBTOTAL(9,O335:O359)</f>
        <v>0</v>
      </c>
      <c r="P360" s="152"/>
    </row>
    <row r="361" spans="1:16" ht="18.600000000000001" customHeight="1" x14ac:dyDescent="0.2">
      <c r="A361" s="434" t="str">
        <f>A301</f>
        <v>DANH SÁCH LỚP KET</v>
      </c>
      <c r="B361" s="434"/>
      <c r="C361" s="434"/>
      <c r="D361" s="434"/>
      <c r="E361" s="434"/>
      <c r="F361" s="434"/>
      <c r="G361" s="434"/>
      <c r="H361" s="434"/>
      <c r="I361" s="92" t="s">
        <v>1045</v>
      </c>
      <c r="J361" s="48"/>
      <c r="K361" s="48"/>
      <c r="L361" s="48"/>
      <c r="M361" s="41"/>
      <c r="N361" s="41"/>
      <c r="O361" s="41"/>
      <c r="P361" s="41"/>
    </row>
    <row r="362" spans="1:16" ht="18.600000000000001" customHeight="1" x14ac:dyDescent="0.2">
      <c r="A362" s="28"/>
      <c r="B362" s="29"/>
      <c r="C362" s="30"/>
      <c r="D362" s="36"/>
      <c r="E362" s="28"/>
      <c r="F362" s="28"/>
      <c r="G362" s="28"/>
      <c r="H362" s="28"/>
      <c r="I362" s="79"/>
      <c r="J362" s="28"/>
      <c r="K362" s="28"/>
      <c r="L362" s="28"/>
      <c r="M362" s="28"/>
      <c r="N362" s="28"/>
      <c r="O362" s="28"/>
      <c r="P362" s="28"/>
    </row>
    <row r="363" spans="1:16" ht="18.600000000000001" customHeight="1" x14ac:dyDescent="0.2">
      <c r="A363" s="435" t="s">
        <v>374</v>
      </c>
      <c r="B363" s="435" t="s">
        <v>380</v>
      </c>
      <c r="C363" s="435" t="s">
        <v>383</v>
      </c>
      <c r="D363" s="437" t="s">
        <v>384</v>
      </c>
      <c r="E363" s="438" t="s">
        <v>385</v>
      </c>
      <c r="F363" s="439"/>
      <c r="G363" s="432" t="str">
        <f>$R$1</f>
        <v>Hè 1</v>
      </c>
      <c r="H363" s="433"/>
      <c r="I363" s="432" t="str">
        <f>$T$1</f>
        <v>Hè 2</v>
      </c>
      <c r="J363" s="433"/>
      <c r="K363" s="432" t="str">
        <f>$V$1</f>
        <v>Hè 3</v>
      </c>
      <c r="L363" s="433"/>
      <c r="M363" s="432" t="str">
        <f>$X$1</f>
        <v>.</v>
      </c>
      <c r="N363" s="433"/>
      <c r="O363" s="432" t="str">
        <f>$Z$1</f>
        <v>.</v>
      </c>
      <c r="P363" s="433"/>
    </row>
    <row r="364" spans="1:16" ht="18.600000000000001" customHeight="1" x14ac:dyDescent="0.2">
      <c r="A364" s="436"/>
      <c r="B364" s="436"/>
      <c r="C364" s="436"/>
      <c r="D364" s="436"/>
      <c r="E364" s="31" t="s">
        <v>381</v>
      </c>
      <c r="F364" s="31" t="s">
        <v>382</v>
      </c>
      <c r="G364" s="31" t="s">
        <v>381</v>
      </c>
      <c r="H364" s="31" t="s">
        <v>382</v>
      </c>
      <c r="I364" s="80" t="s">
        <v>381</v>
      </c>
      <c r="J364" s="31" t="s">
        <v>382</v>
      </c>
      <c r="K364" s="80" t="s">
        <v>381</v>
      </c>
      <c r="L364" s="31" t="s">
        <v>382</v>
      </c>
      <c r="M364" s="31" t="s">
        <v>381</v>
      </c>
      <c r="N364" s="31" t="s">
        <v>382</v>
      </c>
      <c r="O364" s="31" t="s">
        <v>381</v>
      </c>
      <c r="P364" s="31" t="s">
        <v>382</v>
      </c>
    </row>
    <row r="365" spans="1:16" ht="18.600000000000001" customHeight="1" x14ac:dyDescent="0.2">
      <c r="A365" s="32">
        <v>1</v>
      </c>
      <c r="B365" s="26"/>
      <c r="C365" s="26"/>
      <c r="D365" s="26"/>
      <c r="E365" s="32"/>
      <c r="F365" s="34"/>
      <c r="G365" s="32"/>
      <c r="H365" s="93"/>
      <c r="I365" s="81"/>
      <c r="J365" s="34"/>
      <c r="K365" s="34"/>
      <c r="L365" s="34"/>
      <c r="M365" s="32"/>
      <c r="N365" s="34"/>
      <c r="O365" s="32"/>
      <c r="P365" s="34"/>
    </row>
    <row r="366" spans="1:16" ht="18.600000000000001" customHeight="1" x14ac:dyDescent="0.2">
      <c r="A366" s="7">
        <f t="shared" ref="A366:A389" si="79">A365+1</f>
        <v>2</v>
      </c>
      <c r="B366" s="26"/>
      <c r="C366" s="26"/>
      <c r="D366" s="26"/>
      <c r="E366" s="7"/>
      <c r="F366" s="7"/>
      <c r="G366" s="7"/>
      <c r="H366" s="7"/>
      <c r="I366" s="82"/>
      <c r="J366" s="7"/>
      <c r="K366" s="7"/>
      <c r="L366" s="7"/>
      <c r="M366" s="7"/>
      <c r="N366" s="7"/>
      <c r="O366" s="7"/>
      <c r="P366" s="7"/>
    </row>
    <row r="367" spans="1:16" ht="18.600000000000001" customHeight="1" x14ac:dyDescent="0.2">
      <c r="A367" s="7">
        <f t="shared" si="79"/>
        <v>3</v>
      </c>
      <c r="B367" s="25"/>
      <c r="C367" s="25"/>
      <c r="D367" s="163"/>
      <c r="E367" s="7"/>
      <c r="F367" s="7"/>
      <c r="G367" s="7"/>
      <c r="H367" s="7"/>
      <c r="I367" s="82"/>
      <c r="J367" s="7"/>
      <c r="K367" s="7"/>
      <c r="L367" s="7"/>
      <c r="M367" s="7"/>
      <c r="N367" s="7"/>
      <c r="O367" s="7"/>
      <c r="P367" s="7"/>
    </row>
    <row r="368" spans="1:16" ht="18.600000000000001" customHeight="1" x14ac:dyDescent="0.2">
      <c r="A368" s="7">
        <f t="shared" si="79"/>
        <v>4</v>
      </c>
      <c r="B368" s="24"/>
      <c r="C368" s="24"/>
      <c r="D368" s="24"/>
      <c r="E368" s="7"/>
      <c r="F368" s="7"/>
      <c r="G368" s="7"/>
      <c r="H368" s="7"/>
      <c r="I368" s="82"/>
      <c r="J368" s="7"/>
      <c r="K368" s="7"/>
      <c r="L368" s="7"/>
      <c r="M368" s="7"/>
      <c r="N368" s="7"/>
      <c r="O368" s="7"/>
      <c r="P368" s="7"/>
    </row>
    <row r="369" spans="1:16" ht="18.600000000000001" customHeight="1" x14ac:dyDescent="0.2">
      <c r="A369" s="6">
        <f t="shared" si="79"/>
        <v>5</v>
      </c>
      <c r="B369" s="26"/>
      <c r="C369" s="26"/>
      <c r="D369" s="26"/>
      <c r="E369" s="16"/>
      <c r="F369" s="16"/>
      <c r="G369" s="16"/>
      <c r="H369" s="16"/>
      <c r="I369" s="83"/>
      <c r="J369" s="16"/>
      <c r="K369" s="16"/>
      <c r="L369" s="16"/>
      <c r="M369" s="16"/>
      <c r="N369" s="16"/>
      <c r="O369" s="16"/>
      <c r="P369" s="16"/>
    </row>
    <row r="370" spans="1:16" ht="18.600000000000001" customHeight="1" x14ac:dyDescent="0.2">
      <c r="A370" s="56">
        <f t="shared" si="79"/>
        <v>6</v>
      </c>
      <c r="B370" s="26"/>
      <c r="C370" s="26"/>
      <c r="D370" s="26"/>
      <c r="E370" s="2"/>
      <c r="F370" s="2"/>
      <c r="G370" s="2"/>
      <c r="H370" s="2"/>
      <c r="I370" s="84"/>
      <c r="J370" s="2"/>
      <c r="K370" s="2"/>
      <c r="L370" s="2"/>
      <c r="M370" s="2"/>
      <c r="N370" s="2"/>
      <c r="O370" s="2"/>
      <c r="P370" s="2"/>
    </row>
    <row r="371" spans="1:16" ht="18.600000000000001" customHeight="1" x14ac:dyDescent="0.2">
      <c r="A371" s="6">
        <f t="shared" si="79"/>
        <v>7</v>
      </c>
      <c r="B371" s="25"/>
      <c r="C371" s="25"/>
      <c r="D371" s="24"/>
      <c r="E371" s="4"/>
      <c r="F371" s="4"/>
      <c r="G371" s="4"/>
      <c r="H371" s="4"/>
      <c r="I371" s="85"/>
      <c r="J371" s="4"/>
      <c r="K371" s="4"/>
      <c r="L371" s="4"/>
      <c r="M371" s="4"/>
      <c r="N371" s="4"/>
      <c r="O371" s="4"/>
      <c r="P371" s="4"/>
    </row>
    <row r="372" spans="1:16" ht="18.600000000000001" customHeight="1" x14ac:dyDescent="0.2">
      <c r="A372" s="6">
        <f t="shared" si="79"/>
        <v>8</v>
      </c>
      <c r="B372" s="26"/>
      <c r="C372" s="26"/>
      <c r="D372" s="26"/>
      <c r="E372" s="4"/>
      <c r="F372" s="4"/>
      <c r="G372" s="4"/>
      <c r="H372" s="4"/>
      <c r="I372" s="85"/>
      <c r="J372" s="4"/>
      <c r="K372" s="4"/>
      <c r="L372" s="4"/>
      <c r="M372" s="4"/>
      <c r="N372" s="4"/>
      <c r="O372" s="4"/>
      <c r="P372" s="4"/>
    </row>
    <row r="373" spans="1:16" ht="18.600000000000001" customHeight="1" x14ac:dyDescent="0.2">
      <c r="A373" s="6">
        <f t="shared" si="79"/>
        <v>9</v>
      </c>
      <c r="B373" s="26"/>
      <c r="C373" s="26"/>
      <c r="D373" s="26"/>
      <c r="E373" s="4"/>
      <c r="F373" s="4"/>
      <c r="G373" s="4"/>
      <c r="H373" s="4"/>
      <c r="I373" s="85"/>
      <c r="J373" s="4"/>
      <c r="K373" s="4"/>
      <c r="L373" s="4"/>
      <c r="M373" s="4"/>
      <c r="N373" s="4"/>
      <c r="O373" s="4"/>
      <c r="P373" s="4"/>
    </row>
    <row r="374" spans="1:16" ht="18.600000000000001" customHeight="1" x14ac:dyDescent="0.2">
      <c r="A374" s="10">
        <f t="shared" si="79"/>
        <v>10</v>
      </c>
      <c r="B374" s="24"/>
      <c r="C374" s="24"/>
      <c r="D374" s="26"/>
      <c r="E374" s="12"/>
      <c r="F374" s="12"/>
      <c r="G374" s="12"/>
      <c r="H374" s="12"/>
      <c r="I374" s="86"/>
      <c r="J374" s="12"/>
      <c r="K374" s="12"/>
      <c r="L374" s="12"/>
      <c r="M374" s="12"/>
      <c r="N374" s="12"/>
      <c r="O374" s="12"/>
      <c r="P374" s="12"/>
    </row>
    <row r="375" spans="1:16" ht="18.600000000000001" customHeight="1" x14ac:dyDescent="0.2">
      <c r="A375" s="35">
        <f t="shared" si="79"/>
        <v>11</v>
      </c>
      <c r="B375" s="26"/>
      <c r="C375" s="26"/>
      <c r="D375" s="26"/>
      <c r="E375" s="14"/>
      <c r="F375" s="14"/>
      <c r="G375" s="14"/>
      <c r="H375" s="14"/>
      <c r="I375" s="87"/>
      <c r="J375" s="14"/>
      <c r="K375" s="14"/>
      <c r="L375" s="14"/>
      <c r="M375" s="14"/>
      <c r="N375" s="14"/>
      <c r="O375" s="14"/>
      <c r="P375" s="14"/>
    </row>
    <row r="376" spans="1:16" ht="18.600000000000001" customHeight="1" x14ac:dyDescent="0.2">
      <c r="A376" s="7">
        <f t="shared" si="79"/>
        <v>12</v>
      </c>
      <c r="B376" s="26"/>
      <c r="C376" s="26"/>
      <c r="D376" s="26"/>
      <c r="E376" s="4"/>
      <c r="F376" s="4"/>
      <c r="G376" s="4"/>
      <c r="H376" s="4"/>
      <c r="I376" s="85"/>
      <c r="J376" s="4"/>
      <c r="K376" s="4"/>
      <c r="L376" s="4"/>
      <c r="M376" s="4"/>
      <c r="N376" s="4"/>
      <c r="O376" s="4"/>
      <c r="P376" s="4"/>
    </row>
    <row r="377" spans="1:16" ht="18.600000000000001" customHeight="1" x14ac:dyDescent="0.2">
      <c r="A377" s="7">
        <f t="shared" si="79"/>
        <v>13</v>
      </c>
      <c r="B377" s="26"/>
      <c r="C377" s="26"/>
      <c r="D377" s="26"/>
      <c r="E377" s="4"/>
      <c r="F377" s="4"/>
      <c r="G377" s="4"/>
      <c r="H377" s="4"/>
      <c r="I377" s="85"/>
      <c r="J377" s="4"/>
      <c r="K377" s="4"/>
      <c r="L377" s="4"/>
      <c r="M377" s="4"/>
      <c r="N377" s="4"/>
      <c r="O377" s="4"/>
      <c r="P377" s="4"/>
    </row>
    <row r="378" spans="1:16" ht="18.600000000000001" customHeight="1" x14ac:dyDescent="0.2">
      <c r="A378" s="7">
        <f t="shared" si="79"/>
        <v>14</v>
      </c>
      <c r="B378" s="26"/>
      <c r="C378" s="26"/>
      <c r="D378" s="26"/>
      <c r="E378" s="4"/>
      <c r="F378" s="4"/>
      <c r="G378" s="4"/>
      <c r="H378" s="4"/>
      <c r="I378" s="85"/>
      <c r="J378" s="4"/>
      <c r="K378" s="4"/>
      <c r="L378" s="4"/>
      <c r="M378" s="4"/>
      <c r="N378" s="4"/>
      <c r="O378" s="4"/>
      <c r="P378" s="4"/>
    </row>
    <row r="379" spans="1:16" ht="18.600000000000001" customHeight="1" x14ac:dyDescent="0.2">
      <c r="A379" s="6">
        <f t="shared" si="79"/>
        <v>15</v>
      </c>
      <c r="B379" s="26"/>
      <c r="C379" s="26"/>
      <c r="D379" s="26"/>
      <c r="E379" s="16"/>
      <c r="F379" s="16"/>
      <c r="G379" s="16"/>
      <c r="H379" s="16"/>
      <c r="I379" s="83"/>
      <c r="J379" s="16"/>
      <c r="K379" s="16"/>
      <c r="L379" s="16"/>
      <c r="M379" s="16"/>
      <c r="N379" s="16"/>
      <c r="O379" s="16"/>
      <c r="P379" s="16"/>
    </row>
    <row r="380" spans="1:16" ht="18.600000000000001" customHeight="1" x14ac:dyDescent="0.2">
      <c r="A380" s="32">
        <f t="shared" si="79"/>
        <v>16</v>
      </c>
      <c r="B380" s="26"/>
      <c r="C380" s="26"/>
      <c r="D380" s="26"/>
      <c r="E380" s="2"/>
      <c r="F380" s="2"/>
      <c r="G380" s="2"/>
      <c r="H380" s="2"/>
      <c r="I380" s="84"/>
      <c r="J380" s="2"/>
      <c r="K380" s="2"/>
      <c r="L380" s="2"/>
      <c r="M380" s="2"/>
      <c r="N380" s="2"/>
      <c r="O380" s="2"/>
      <c r="P380" s="2"/>
    </row>
    <row r="381" spans="1:16" ht="18.600000000000001" customHeight="1" x14ac:dyDescent="0.2">
      <c r="A381" s="7">
        <f t="shared" si="79"/>
        <v>17</v>
      </c>
      <c r="B381" s="26"/>
      <c r="C381" s="26"/>
      <c r="D381" s="26"/>
      <c r="E381" s="4"/>
      <c r="F381" s="4"/>
      <c r="G381" s="4"/>
      <c r="H381" s="4"/>
      <c r="I381" s="85"/>
      <c r="J381" s="4"/>
      <c r="K381" s="4"/>
      <c r="L381" s="4"/>
      <c r="M381" s="4"/>
      <c r="N381" s="4"/>
      <c r="O381" s="4"/>
      <c r="P381" s="4"/>
    </row>
    <row r="382" spans="1:16" ht="18.600000000000001" customHeight="1" x14ac:dyDescent="0.2">
      <c r="A382" s="7">
        <f t="shared" si="79"/>
        <v>18</v>
      </c>
      <c r="B382" s="26"/>
      <c r="C382" s="26"/>
      <c r="D382" s="26"/>
      <c r="E382" s="4"/>
      <c r="F382" s="4"/>
      <c r="G382" s="4"/>
      <c r="H382" s="4"/>
      <c r="I382" s="85"/>
      <c r="J382" s="4"/>
      <c r="K382" s="4"/>
      <c r="L382" s="4"/>
      <c r="M382" s="4"/>
      <c r="N382" s="4"/>
      <c r="O382" s="4"/>
      <c r="P382" s="4"/>
    </row>
    <row r="383" spans="1:16" ht="18.600000000000001" customHeight="1" x14ac:dyDescent="0.2">
      <c r="A383" s="7">
        <f t="shared" si="79"/>
        <v>19</v>
      </c>
      <c r="B383" s="3"/>
      <c r="C383" s="4"/>
      <c r="D383" s="8"/>
      <c r="E383" s="4"/>
      <c r="F383" s="4"/>
      <c r="G383" s="4"/>
      <c r="H383" s="4"/>
      <c r="I383" s="85"/>
      <c r="J383" s="4"/>
      <c r="K383" s="4"/>
      <c r="L383" s="4"/>
      <c r="M383" s="4"/>
      <c r="N383" s="4"/>
      <c r="O383" s="4"/>
      <c r="P383" s="4"/>
    </row>
    <row r="384" spans="1:16" ht="18.600000000000001" customHeight="1" x14ac:dyDescent="0.2">
      <c r="A384" s="10">
        <f t="shared" si="79"/>
        <v>20</v>
      </c>
      <c r="B384" s="11"/>
      <c r="C384" s="12"/>
      <c r="D384" s="9"/>
      <c r="E384" s="12"/>
      <c r="F384" s="12"/>
      <c r="G384" s="12"/>
      <c r="H384" s="12"/>
      <c r="I384" s="86"/>
      <c r="J384" s="12"/>
      <c r="K384" s="12"/>
      <c r="L384" s="12"/>
      <c r="M384" s="12"/>
      <c r="N384" s="12"/>
      <c r="O384" s="12"/>
      <c r="P384" s="12"/>
    </row>
    <row r="385" spans="1:16" ht="18.600000000000001" customHeight="1" x14ac:dyDescent="0.2">
      <c r="A385" s="35">
        <f t="shared" si="79"/>
        <v>21</v>
      </c>
      <c r="B385" s="13"/>
      <c r="C385" s="14"/>
      <c r="D385" s="37"/>
      <c r="E385" s="14"/>
      <c r="F385" s="14"/>
      <c r="G385" s="14"/>
      <c r="H385" s="14"/>
      <c r="I385" s="87"/>
      <c r="J385" s="14"/>
      <c r="K385" s="14"/>
      <c r="L385" s="14"/>
      <c r="M385" s="14"/>
      <c r="N385" s="14"/>
      <c r="O385" s="14"/>
      <c r="P385" s="14"/>
    </row>
    <row r="386" spans="1:16" ht="18.600000000000001" customHeight="1" x14ac:dyDescent="0.2">
      <c r="A386" s="7">
        <f t="shared" si="79"/>
        <v>22</v>
      </c>
      <c r="B386" s="3"/>
      <c r="C386" s="4"/>
      <c r="D386" s="8"/>
      <c r="E386" s="4"/>
      <c r="F386" s="4"/>
      <c r="G386" s="4"/>
      <c r="H386" s="4"/>
      <c r="I386" s="85"/>
      <c r="J386" s="4"/>
      <c r="K386" s="4"/>
      <c r="L386" s="4"/>
      <c r="M386" s="4"/>
      <c r="N386" s="4"/>
      <c r="O386" s="4"/>
      <c r="P386" s="4"/>
    </row>
    <row r="387" spans="1:16" ht="18.600000000000001" customHeight="1" x14ac:dyDescent="0.2">
      <c r="A387" s="35">
        <f t="shared" si="79"/>
        <v>23</v>
      </c>
      <c r="B387" s="3"/>
      <c r="C387" s="4"/>
      <c r="D387" s="8"/>
      <c r="E387" s="4"/>
      <c r="F387" s="4"/>
      <c r="G387" s="4"/>
      <c r="H387" s="4"/>
      <c r="I387" s="85"/>
      <c r="J387" s="4"/>
      <c r="K387" s="4"/>
      <c r="L387" s="4"/>
      <c r="M387" s="4"/>
      <c r="N387" s="4"/>
      <c r="O387" s="4"/>
      <c r="P387" s="4"/>
    </row>
    <row r="388" spans="1:16" ht="18.600000000000001" customHeight="1" x14ac:dyDescent="0.2">
      <c r="A388" s="7">
        <f t="shared" si="79"/>
        <v>24</v>
      </c>
      <c r="B388" s="3"/>
      <c r="C388" s="4"/>
      <c r="D388" s="8"/>
      <c r="E388" s="4"/>
      <c r="F388" s="4"/>
      <c r="G388" s="4"/>
      <c r="H388" s="4"/>
      <c r="I388" s="85"/>
      <c r="J388" s="4"/>
      <c r="K388" s="4"/>
      <c r="L388" s="4"/>
      <c r="M388" s="4"/>
      <c r="N388" s="4"/>
      <c r="O388" s="4"/>
      <c r="P388" s="4"/>
    </row>
    <row r="389" spans="1:16" ht="18.600000000000001" customHeight="1" x14ac:dyDescent="0.2">
      <c r="A389" s="35">
        <f t="shared" si="79"/>
        <v>25</v>
      </c>
      <c r="B389" s="11"/>
      <c r="C389" s="12"/>
      <c r="D389" s="9"/>
      <c r="E389" s="12"/>
      <c r="F389" s="12"/>
      <c r="G389" s="12"/>
      <c r="H389" s="12"/>
      <c r="I389" s="86"/>
      <c r="J389" s="12"/>
      <c r="K389" s="12"/>
      <c r="L389" s="12"/>
      <c r="M389" s="12"/>
      <c r="N389" s="12"/>
      <c r="O389" s="12"/>
      <c r="P389" s="12"/>
    </row>
    <row r="390" spans="1:16" ht="18.600000000000001" customHeight="1" x14ac:dyDescent="0.3">
      <c r="A390" s="147"/>
      <c r="B390" s="148"/>
      <c r="C390" s="147"/>
      <c r="D390" s="149"/>
      <c r="E390" s="150">
        <f>SUBTOTAL(9,E365:E389)</f>
        <v>0</v>
      </c>
      <c r="F390" s="152"/>
      <c r="G390" s="150">
        <f t="shared" ref="G390" si="80">SUBTOTAL(9,G365:G389)</f>
        <v>0</v>
      </c>
      <c r="H390" s="152"/>
      <c r="I390" s="150">
        <f t="shared" ref="I390" si="81">SUBTOTAL(9,I365:I389)</f>
        <v>0</v>
      </c>
      <c r="J390" s="152"/>
      <c r="K390" s="152"/>
      <c r="L390" s="152"/>
      <c r="M390" s="150">
        <f t="shared" ref="M390" si="82">SUBTOTAL(9,M365:M389)</f>
        <v>0</v>
      </c>
      <c r="N390" s="152"/>
      <c r="O390" s="150">
        <f t="shared" ref="O390" si="83">SUBTOTAL(9,O365:O389)</f>
        <v>0</v>
      </c>
      <c r="P390" s="152"/>
    </row>
    <row r="391" spans="1:16" ht="18.600000000000001" customHeight="1" x14ac:dyDescent="0.2">
      <c r="A391" s="434" t="str">
        <f>A361</f>
        <v>DANH SÁCH LỚP KET</v>
      </c>
      <c r="B391" s="434"/>
      <c r="C391" s="434"/>
      <c r="D391" s="434"/>
      <c r="E391" s="434"/>
      <c r="F391" s="434"/>
      <c r="G391" s="434"/>
      <c r="H391" s="434"/>
      <c r="I391" s="92" t="s">
        <v>1029</v>
      </c>
      <c r="J391" s="48"/>
      <c r="K391" s="48"/>
      <c r="L391" s="48"/>
      <c r="M391" s="41"/>
      <c r="N391" s="41"/>
      <c r="O391" s="41"/>
      <c r="P391" s="41"/>
    </row>
    <row r="392" spans="1:16" ht="18.600000000000001" customHeight="1" x14ac:dyDescent="0.2">
      <c r="A392" s="28"/>
      <c r="B392" s="29"/>
      <c r="C392" s="30"/>
      <c r="D392" s="36"/>
      <c r="E392" s="28"/>
      <c r="F392" s="28"/>
      <c r="G392" s="28"/>
      <c r="H392" s="28"/>
      <c r="I392" s="79"/>
      <c r="J392" s="28"/>
      <c r="K392" s="28"/>
      <c r="L392" s="28"/>
      <c r="M392" s="28"/>
      <c r="N392" s="28"/>
      <c r="O392" s="28"/>
      <c r="P392" s="28"/>
    </row>
    <row r="393" spans="1:16" ht="18.600000000000001" customHeight="1" x14ac:dyDescent="0.2">
      <c r="A393" s="435" t="s">
        <v>374</v>
      </c>
      <c r="B393" s="435" t="s">
        <v>380</v>
      </c>
      <c r="C393" s="435" t="s">
        <v>383</v>
      </c>
      <c r="D393" s="437" t="s">
        <v>384</v>
      </c>
      <c r="E393" s="438" t="s">
        <v>385</v>
      </c>
      <c r="F393" s="439"/>
      <c r="G393" s="432" t="str">
        <f>$R$1</f>
        <v>Hè 1</v>
      </c>
      <c r="H393" s="433"/>
      <c r="I393" s="432" t="str">
        <f>$T$1</f>
        <v>Hè 2</v>
      </c>
      <c r="J393" s="433"/>
      <c r="K393" s="432" t="str">
        <f>$V$1</f>
        <v>Hè 3</v>
      </c>
      <c r="L393" s="433"/>
      <c r="M393" s="432" t="str">
        <f>$X$1</f>
        <v>.</v>
      </c>
      <c r="N393" s="433"/>
      <c r="O393" s="432" t="str">
        <f>$Z$1</f>
        <v>.</v>
      </c>
      <c r="P393" s="433"/>
    </row>
    <row r="394" spans="1:16" ht="18.600000000000001" customHeight="1" x14ac:dyDescent="0.2">
      <c r="A394" s="436"/>
      <c r="B394" s="436"/>
      <c r="C394" s="436"/>
      <c r="D394" s="436"/>
      <c r="E394" s="31" t="s">
        <v>381</v>
      </c>
      <c r="F394" s="31" t="s">
        <v>382</v>
      </c>
      <c r="G394" s="31" t="s">
        <v>381</v>
      </c>
      <c r="H394" s="31" t="s">
        <v>382</v>
      </c>
      <c r="I394" s="80" t="s">
        <v>381</v>
      </c>
      <c r="J394" s="31" t="s">
        <v>382</v>
      </c>
      <c r="K394" s="80" t="s">
        <v>381</v>
      </c>
      <c r="L394" s="31" t="s">
        <v>382</v>
      </c>
      <c r="M394" s="31" t="s">
        <v>381</v>
      </c>
      <c r="N394" s="31" t="s">
        <v>382</v>
      </c>
      <c r="O394" s="31" t="s">
        <v>381</v>
      </c>
      <c r="P394" s="31" t="s">
        <v>382</v>
      </c>
    </row>
    <row r="395" spans="1:16" ht="18.600000000000001" customHeight="1" x14ac:dyDescent="0.2">
      <c r="A395" s="32">
        <v>1</v>
      </c>
      <c r="B395" s="24"/>
      <c r="C395" s="24"/>
      <c r="D395" s="24"/>
      <c r="E395" s="32"/>
      <c r="F395" s="34"/>
      <c r="G395" s="32"/>
      <c r="H395" s="93"/>
      <c r="I395" s="81"/>
      <c r="J395" s="34"/>
      <c r="K395" s="34"/>
      <c r="L395" s="34"/>
      <c r="M395" s="32"/>
      <c r="N395" s="34"/>
      <c r="O395" s="32"/>
      <c r="P395" s="34"/>
    </row>
    <row r="396" spans="1:16" ht="18.600000000000001" customHeight="1" x14ac:dyDescent="0.2">
      <c r="A396" s="7">
        <f t="shared" ref="A396:A419" si="84">A395+1</f>
        <v>2</v>
      </c>
      <c r="B396" s="25"/>
      <c r="C396" s="25"/>
      <c r="D396" s="25"/>
      <c r="E396" s="7"/>
      <c r="F396" s="7"/>
      <c r="G396" s="7"/>
      <c r="H396" s="7"/>
      <c r="I396" s="82"/>
      <c r="J396" s="7"/>
      <c r="K396" s="7"/>
      <c r="L396" s="7"/>
      <c r="M396" s="7"/>
      <c r="N396" s="7"/>
      <c r="O396" s="7"/>
      <c r="P396" s="7"/>
    </row>
    <row r="397" spans="1:16" ht="18.600000000000001" customHeight="1" x14ac:dyDescent="0.2">
      <c r="A397" s="7">
        <f t="shared" si="84"/>
        <v>3</v>
      </c>
      <c r="B397" s="24"/>
      <c r="C397" s="24"/>
      <c r="D397" s="24"/>
      <c r="E397" s="7"/>
      <c r="F397" s="7"/>
      <c r="G397" s="7"/>
      <c r="H397" s="7"/>
      <c r="I397" s="82"/>
      <c r="J397" s="7"/>
      <c r="K397" s="7"/>
      <c r="L397" s="7"/>
      <c r="M397" s="7"/>
      <c r="N397" s="7"/>
      <c r="O397" s="7"/>
      <c r="P397" s="7"/>
    </row>
    <row r="398" spans="1:16" ht="18.600000000000001" customHeight="1" x14ac:dyDescent="0.2">
      <c r="A398" s="7">
        <f t="shared" si="84"/>
        <v>4</v>
      </c>
      <c r="B398" s="26"/>
      <c r="C398" s="26"/>
      <c r="D398" s="26"/>
      <c r="E398" s="7"/>
      <c r="F398" s="7"/>
      <c r="G398" s="7"/>
      <c r="H398" s="7"/>
      <c r="I398" s="82"/>
      <c r="J398" s="7"/>
      <c r="K398" s="7"/>
      <c r="L398" s="7"/>
      <c r="M398" s="7"/>
      <c r="N398" s="7"/>
      <c r="O398" s="7"/>
      <c r="P398" s="7"/>
    </row>
    <row r="399" spans="1:16" ht="18.600000000000001" customHeight="1" x14ac:dyDescent="0.2">
      <c r="A399" s="6">
        <f t="shared" si="84"/>
        <v>5</v>
      </c>
      <c r="B399" s="26"/>
      <c r="C399" s="26"/>
      <c r="D399" s="26"/>
      <c r="E399" s="16"/>
      <c r="F399" s="16"/>
      <c r="G399" s="16"/>
      <c r="H399" s="16"/>
      <c r="I399" s="83"/>
      <c r="J399" s="16"/>
      <c r="K399" s="16"/>
      <c r="L399" s="16"/>
      <c r="M399" s="16"/>
      <c r="N399" s="16"/>
      <c r="O399" s="16"/>
      <c r="P399" s="16"/>
    </row>
    <row r="400" spans="1:16" ht="18.600000000000001" customHeight="1" x14ac:dyDescent="0.2">
      <c r="A400" s="56">
        <f t="shared" si="84"/>
        <v>6</v>
      </c>
      <c r="B400" s="25"/>
      <c r="C400" s="25"/>
      <c r="D400" s="163"/>
      <c r="E400" s="2"/>
      <c r="F400" s="2"/>
      <c r="G400" s="2"/>
      <c r="H400" s="2"/>
      <c r="I400" s="84"/>
      <c r="J400" s="2"/>
      <c r="K400" s="2"/>
      <c r="L400" s="2"/>
      <c r="M400" s="2"/>
      <c r="N400" s="2"/>
      <c r="O400" s="2"/>
      <c r="P400" s="2"/>
    </row>
    <row r="401" spans="1:16" ht="18.600000000000001" customHeight="1" x14ac:dyDescent="0.2">
      <c r="A401" s="6">
        <f t="shared" si="84"/>
        <v>7</v>
      </c>
      <c r="B401" s="24"/>
      <c r="C401" s="24"/>
      <c r="D401" s="25"/>
      <c r="E401" s="4"/>
      <c r="F401" s="4"/>
      <c r="G401" s="4"/>
      <c r="H401" s="4"/>
      <c r="I401" s="85"/>
      <c r="J401" s="4"/>
      <c r="K401" s="4"/>
      <c r="L401" s="4"/>
      <c r="M401" s="4"/>
      <c r="N401" s="4"/>
      <c r="O401" s="4"/>
      <c r="P401" s="4"/>
    </row>
    <row r="402" spans="1:16" ht="18.600000000000001" customHeight="1" x14ac:dyDescent="0.2">
      <c r="A402" s="6">
        <f t="shared" si="84"/>
        <v>8</v>
      </c>
      <c r="B402" s="24"/>
      <c r="C402" s="24"/>
      <c r="D402" s="25"/>
      <c r="E402" s="4"/>
      <c r="F402" s="4"/>
      <c r="G402" s="4"/>
      <c r="H402" s="4"/>
      <c r="I402" s="85"/>
      <c r="J402" s="4"/>
      <c r="K402" s="4"/>
      <c r="L402" s="4"/>
      <c r="M402" s="4"/>
      <c r="N402" s="4"/>
      <c r="O402" s="4"/>
      <c r="P402" s="4"/>
    </row>
    <row r="403" spans="1:16" ht="18.600000000000001" customHeight="1" x14ac:dyDescent="0.2">
      <c r="A403" s="6">
        <f t="shared" si="84"/>
        <v>9</v>
      </c>
      <c r="B403" s="24"/>
      <c r="C403" s="24"/>
      <c r="D403" s="25"/>
      <c r="E403" s="4"/>
      <c r="F403" s="4"/>
      <c r="G403" s="4"/>
      <c r="H403" s="4"/>
      <c r="I403" s="85"/>
      <c r="J403" s="4"/>
      <c r="K403" s="4"/>
      <c r="L403" s="4"/>
      <c r="M403" s="4"/>
      <c r="N403" s="4"/>
      <c r="O403" s="4"/>
      <c r="P403" s="4"/>
    </row>
    <row r="404" spans="1:16" ht="18.600000000000001" customHeight="1" x14ac:dyDescent="0.2">
      <c r="A404" s="10">
        <f t="shared" si="84"/>
        <v>10</v>
      </c>
      <c r="B404" s="26"/>
      <c r="C404" s="26"/>
      <c r="D404" s="26"/>
      <c r="E404" s="12"/>
      <c r="F404" s="12"/>
      <c r="G404" s="12"/>
      <c r="H404" s="12"/>
      <c r="I404" s="86"/>
      <c r="J404" s="12"/>
      <c r="K404" s="12"/>
      <c r="L404" s="12"/>
      <c r="M404" s="12"/>
      <c r="N404" s="12"/>
      <c r="O404" s="12"/>
      <c r="P404" s="12"/>
    </row>
    <row r="405" spans="1:16" ht="18.600000000000001" customHeight="1" x14ac:dyDescent="0.2">
      <c r="A405" s="35">
        <f t="shared" si="84"/>
        <v>11</v>
      </c>
      <c r="B405" s="26"/>
      <c r="C405" s="26"/>
      <c r="D405" s="26"/>
      <c r="E405" s="14"/>
      <c r="F405" s="14"/>
      <c r="G405" s="14"/>
      <c r="H405" s="14"/>
      <c r="I405" s="87"/>
      <c r="J405" s="14"/>
      <c r="K405" s="14"/>
      <c r="L405" s="14"/>
      <c r="M405" s="14"/>
      <c r="N405" s="14"/>
      <c r="O405" s="14"/>
      <c r="P405" s="14"/>
    </row>
    <row r="406" spans="1:16" ht="18.600000000000001" customHeight="1" x14ac:dyDescent="0.2">
      <c r="A406" s="7">
        <f t="shared" si="84"/>
        <v>12</v>
      </c>
      <c r="B406" s="26"/>
      <c r="C406" s="26"/>
      <c r="D406" s="26"/>
      <c r="E406" s="4"/>
      <c r="F406" s="4"/>
      <c r="G406" s="4"/>
      <c r="H406" s="4"/>
      <c r="I406" s="85"/>
      <c r="J406" s="4"/>
      <c r="K406" s="4"/>
      <c r="L406" s="4"/>
      <c r="M406" s="4"/>
      <c r="N406" s="4"/>
      <c r="O406" s="4"/>
      <c r="P406" s="4"/>
    </row>
    <row r="407" spans="1:16" ht="18.600000000000001" customHeight="1" x14ac:dyDescent="0.2">
      <c r="A407" s="7">
        <f t="shared" si="84"/>
        <v>13</v>
      </c>
      <c r="B407" s="26"/>
      <c r="C407" s="26"/>
      <c r="D407" s="26"/>
      <c r="E407" s="4"/>
      <c r="F407" s="4"/>
      <c r="G407" s="4"/>
      <c r="H407" s="4"/>
      <c r="I407" s="85"/>
      <c r="J407" s="4"/>
      <c r="K407" s="4"/>
      <c r="L407" s="4"/>
      <c r="M407" s="4"/>
      <c r="N407" s="4"/>
      <c r="O407" s="4"/>
      <c r="P407" s="4"/>
    </row>
    <row r="408" spans="1:16" ht="18.600000000000001" customHeight="1" x14ac:dyDescent="0.2">
      <c r="A408" s="7">
        <f t="shared" si="84"/>
        <v>14</v>
      </c>
      <c r="B408" s="24"/>
      <c r="C408" s="24"/>
      <c r="D408" s="163"/>
      <c r="E408" s="4"/>
      <c r="F408" s="4"/>
      <c r="G408" s="4"/>
      <c r="H408" s="4"/>
      <c r="I408" s="85"/>
      <c r="J408" s="4"/>
      <c r="K408" s="4"/>
      <c r="L408" s="4"/>
      <c r="M408" s="4"/>
      <c r="N408" s="4"/>
      <c r="O408" s="4"/>
      <c r="P408" s="4"/>
    </row>
    <row r="409" spans="1:16" ht="18.600000000000001" customHeight="1" x14ac:dyDescent="0.2">
      <c r="A409" s="6">
        <f t="shared" si="84"/>
        <v>15</v>
      </c>
      <c r="B409" s="25"/>
      <c r="C409" s="25"/>
      <c r="D409" s="24"/>
      <c r="E409" s="16"/>
      <c r="F409" s="16"/>
      <c r="G409" s="16"/>
      <c r="H409" s="16"/>
      <c r="I409" s="83"/>
      <c r="J409" s="16"/>
      <c r="K409" s="16"/>
      <c r="L409" s="16"/>
      <c r="M409" s="16"/>
      <c r="N409" s="16"/>
      <c r="O409" s="16"/>
      <c r="P409" s="16"/>
    </row>
    <row r="410" spans="1:16" ht="18.600000000000001" customHeight="1" x14ac:dyDescent="0.2">
      <c r="A410" s="32">
        <f t="shared" si="84"/>
        <v>16</v>
      </c>
      <c r="B410" s="26"/>
      <c r="C410" s="26"/>
      <c r="D410" s="26"/>
      <c r="E410" s="2"/>
      <c r="F410" s="2"/>
      <c r="G410" s="2"/>
      <c r="H410" s="2"/>
      <c r="I410" s="84"/>
      <c r="J410" s="2"/>
      <c r="K410" s="2"/>
      <c r="L410" s="2"/>
      <c r="M410" s="2"/>
      <c r="N410" s="2"/>
      <c r="O410" s="2"/>
      <c r="P410" s="2"/>
    </row>
    <row r="411" spans="1:16" ht="18.600000000000001" customHeight="1" x14ac:dyDescent="0.2">
      <c r="A411" s="7">
        <f t="shared" si="84"/>
        <v>17</v>
      </c>
      <c r="B411" s="26"/>
      <c r="C411" s="26"/>
      <c r="D411" s="26"/>
      <c r="E411" s="4"/>
      <c r="F411" s="4"/>
      <c r="G411" s="4"/>
      <c r="H411" s="4"/>
      <c r="I411" s="85"/>
      <c r="J411" s="4"/>
      <c r="K411" s="4"/>
      <c r="L411" s="4"/>
      <c r="M411" s="4"/>
      <c r="N411" s="4"/>
      <c r="O411" s="4"/>
      <c r="P411" s="4"/>
    </row>
    <row r="412" spans="1:16" ht="18.600000000000001" customHeight="1" x14ac:dyDescent="0.2">
      <c r="A412" s="7">
        <f t="shared" si="84"/>
        <v>18</v>
      </c>
      <c r="B412" s="26"/>
      <c r="C412" s="26"/>
      <c r="D412" s="26"/>
      <c r="E412" s="4"/>
      <c r="F412" s="4"/>
      <c r="G412" s="4"/>
      <c r="H412" s="4"/>
      <c r="I412" s="85"/>
      <c r="J412" s="4"/>
      <c r="K412" s="4"/>
      <c r="L412" s="4"/>
      <c r="M412" s="4"/>
      <c r="N412" s="4"/>
      <c r="O412" s="4"/>
      <c r="P412" s="4"/>
    </row>
    <row r="413" spans="1:16" ht="18.600000000000001" customHeight="1" x14ac:dyDescent="0.2">
      <c r="A413" s="7">
        <f t="shared" si="84"/>
        <v>19</v>
      </c>
      <c r="B413" s="24"/>
      <c r="C413" s="24"/>
      <c r="D413" s="163"/>
      <c r="E413" s="4"/>
      <c r="F413" s="4"/>
      <c r="G413" s="4"/>
      <c r="H413" s="4"/>
      <c r="I413" s="85"/>
      <c r="J413" s="4"/>
      <c r="K413" s="4"/>
      <c r="L413" s="4"/>
      <c r="M413" s="4"/>
      <c r="N413" s="4"/>
      <c r="O413" s="4"/>
      <c r="P413" s="4"/>
    </row>
    <row r="414" spans="1:16" ht="18.600000000000001" customHeight="1" x14ac:dyDescent="0.2">
      <c r="A414" s="10">
        <f t="shared" si="84"/>
        <v>20</v>
      </c>
      <c r="B414" s="24"/>
      <c r="C414" s="24"/>
      <c r="D414" s="24"/>
      <c r="E414" s="12"/>
      <c r="F414" s="12"/>
      <c r="G414" s="12"/>
      <c r="H414" s="12"/>
      <c r="I414" s="86"/>
      <c r="J414" s="12"/>
      <c r="K414" s="12"/>
      <c r="L414" s="12"/>
      <c r="M414" s="12"/>
      <c r="N414" s="12"/>
      <c r="O414" s="12"/>
      <c r="P414" s="12"/>
    </row>
    <row r="415" spans="1:16" ht="18.600000000000001" customHeight="1" x14ac:dyDescent="0.2">
      <c r="A415" s="35">
        <f t="shared" si="84"/>
        <v>21</v>
      </c>
      <c r="B415" s="26"/>
      <c r="C415" s="26"/>
      <c r="D415" s="26"/>
      <c r="E415" s="14"/>
      <c r="F415" s="14"/>
      <c r="G415" s="14"/>
      <c r="H415" s="14"/>
      <c r="I415" s="87"/>
      <c r="J415" s="14"/>
      <c r="K415" s="14"/>
      <c r="L415" s="14"/>
      <c r="M415" s="14"/>
      <c r="N415" s="14"/>
      <c r="O415" s="14"/>
      <c r="P415" s="14"/>
    </row>
    <row r="416" spans="1:16" ht="18.600000000000001" customHeight="1" x14ac:dyDescent="0.2">
      <c r="A416" s="7">
        <f t="shared" si="84"/>
        <v>22</v>
      </c>
      <c r="B416" s="3"/>
      <c r="C416" s="4"/>
      <c r="D416" s="8"/>
      <c r="E416" s="4"/>
      <c r="F416" s="4"/>
      <c r="G416" s="4"/>
      <c r="H416" s="4"/>
      <c r="I416" s="85"/>
      <c r="J416" s="4"/>
      <c r="K416" s="4"/>
      <c r="L416" s="4"/>
      <c r="M416" s="4"/>
      <c r="N416" s="4"/>
      <c r="O416" s="4"/>
      <c r="P416" s="4"/>
    </row>
    <row r="417" spans="1:16" ht="18.600000000000001" customHeight="1" x14ac:dyDescent="0.2">
      <c r="A417" s="35">
        <f t="shared" si="84"/>
        <v>23</v>
      </c>
      <c r="B417" s="3"/>
      <c r="C417" s="4"/>
      <c r="D417" s="8"/>
      <c r="E417" s="4"/>
      <c r="F417" s="4"/>
      <c r="G417" s="4"/>
      <c r="H417" s="4"/>
      <c r="I417" s="85"/>
      <c r="J417" s="4"/>
      <c r="K417" s="4"/>
      <c r="L417" s="4"/>
      <c r="M417" s="4"/>
      <c r="N417" s="4"/>
      <c r="O417" s="4"/>
      <c r="P417" s="4"/>
    </row>
    <row r="418" spans="1:16" ht="18.600000000000001" customHeight="1" x14ac:dyDescent="0.2">
      <c r="A418" s="7">
        <f t="shared" si="84"/>
        <v>24</v>
      </c>
      <c r="B418" s="3"/>
      <c r="C418" s="4"/>
      <c r="D418" s="8"/>
      <c r="E418" s="4"/>
      <c r="F418" s="4"/>
      <c r="G418" s="4"/>
      <c r="H418" s="4"/>
      <c r="I418" s="85"/>
      <c r="J418" s="4"/>
      <c r="K418" s="4"/>
      <c r="L418" s="4"/>
      <c r="M418" s="4"/>
      <c r="N418" s="4"/>
      <c r="O418" s="4"/>
      <c r="P418" s="4"/>
    </row>
    <row r="419" spans="1:16" ht="18.600000000000001" customHeight="1" x14ac:dyDescent="0.2">
      <c r="A419" s="35">
        <f t="shared" si="84"/>
        <v>25</v>
      </c>
      <c r="B419" s="11"/>
      <c r="C419" s="12"/>
      <c r="D419" s="9"/>
      <c r="E419" s="12"/>
      <c r="F419" s="12"/>
      <c r="G419" s="12"/>
      <c r="H419" s="12"/>
      <c r="I419" s="86"/>
      <c r="J419" s="12"/>
      <c r="K419" s="12"/>
      <c r="L419" s="12"/>
      <c r="M419" s="12"/>
      <c r="N419" s="12"/>
      <c r="O419" s="12"/>
      <c r="P419" s="12"/>
    </row>
    <row r="420" spans="1:16" ht="18.600000000000001" customHeight="1" x14ac:dyDescent="0.3">
      <c r="A420" s="147"/>
      <c r="B420" s="148"/>
      <c r="C420" s="147"/>
      <c r="D420" s="149"/>
      <c r="E420" s="150">
        <f>SUBTOTAL(9,E395:E419)</f>
        <v>0</v>
      </c>
      <c r="F420" s="152"/>
      <c r="G420" s="150">
        <f t="shared" ref="G420" si="85">SUBTOTAL(9,G395:G419)</f>
        <v>0</v>
      </c>
      <c r="H420" s="152"/>
      <c r="I420" s="150">
        <f t="shared" ref="I420" si="86">SUBTOTAL(9,I395:I419)</f>
        <v>0</v>
      </c>
      <c r="J420" s="152"/>
      <c r="K420" s="152"/>
      <c r="L420" s="152"/>
      <c r="M420" s="150">
        <f t="shared" ref="M420" si="87">SUBTOTAL(9,M395:M419)</f>
        <v>0</v>
      </c>
      <c r="N420" s="152"/>
      <c r="O420" s="150">
        <f t="shared" ref="O420" si="88">SUBTOTAL(9,O395:O419)</f>
        <v>0</v>
      </c>
      <c r="P420" s="152"/>
    </row>
    <row r="421" spans="1:16" ht="18.600000000000001" customHeight="1" x14ac:dyDescent="0.2">
      <c r="A421" s="434" t="str">
        <f>A391</f>
        <v>DANH SÁCH LỚP KET</v>
      </c>
      <c r="B421" s="434"/>
      <c r="C421" s="434"/>
      <c r="D421" s="434"/>
      <c r="E421" s="434"/>
      <c r="F421" s="434"/>
      <c r="G421" s="434"/>
      <c r="H421" s="434"/>
      <c r="I421" s="92" t="s">
        <v>1030</v>
      </c>
      <c r="J421" s="48"/>
      <c r="K421" s="48"/>
      <c r="L421" s="48"/>
      <c r="M421" s="41"/>
      <c r="N421" s="41"/>
      <c r="O421" s="41"/>
      <c r="P421" s="41"/>
    </row>
    <row r="422" spans="1:16" ht="18.600000000000001" customHeight="1" x14ac:dyDescent="0.2">
      <c r="A422" s="28"/>
      <c r="B422" s="29"/>
      <c r="C422" s="30"/>
      <c r="D422" s="36"/>
      <c r="E422" s="28"/>
      <c r="F422" s="28"/>
      <c r="G422" s="28"/>
      <c r="H422" s="28"/>
      <c r="I422" s="79"/>
      <c r="J422" s="28"/>
      <c r="K422" s="28"/>
      <c r="L422" s="28"/>
      <c r="M422" s="28"/>
      <c r="N422" s="28"/>
      <c r="O422" s="28"/>
      <c r="P422" s="28"/>
    </row>
    <row r="423" spans="1:16" ht="18.600000000000001" customHeight="1" x14ac:dyDescent="0.2">
      <c r="A423" s="435" t="s">
        <v>374</v>
      </c>
      <c r="B423" s="435" t="s">
        <v>380</v>
      </c>
      <c r="C423" s="435" t="s">
        <v>383</v>
      </c>
      <c r="D423" s="437" t="s">
        <v>384</v>
      </c>
      <c r="E423" s="438" t="s">
        <v>385</v>
      </c>
      <c r="F423" s="439"/>
      <c r="G423" s="432" t="str">
        <f>$R$1</f>
        <v>Hè 1</v>
      </c>
      <c r="H423" s="433"/>
      <c r="I423" s="432" t="str">
        <f>$T$1</f>
        <v>Hè 2</v>
      </c>
      <c r="J423" s="433"/>
      <c r="K423" s="432" t="str">
        <f>$V$1</f>
        <v>Hè 3</v>
      </c>
      <c r="L423" s="433"/>
      <c r="M423" s="432" t="str">
        <f>$X$1</f>
        <v>.</v>
      </c>
      <c r="N423" s="433"/>
      <c r="O423" s="432" t="str">
        <f>$Z$1</f>
        <v>.</v>
      </c>
      <c r="P423" s="433"/>
    </row>
    <row r="424" spans="1:16" ht="18.600000000000001" customHeight="1" x14ac:dyDescent="0.2">
      <c r="A424" s="436"/>
      <c r="B424" s="436"/>
      <c r="C424" s="436"/>
      <c r="D424" s="436"/>
      <c r="E424" s="31" t="s">
        <v>381</v>
      </c>
      <c r="F424" s="31" t="s">
        <v>382</v>
      </c>
      <c r="G424" s="31" t="s">
        <v>381</v>
      </c>
      <c r="H424" s="31" t="s">
        <v>382</v>
      </c>
      <c r="I424" s="80" t="s">
        <v>381</v>
      </c>
      <c r="J424" s="31" t="s">
        <v>382</v>
      </c>
      <c r="K424" s="80" t="s">
        <v>381</v>
      </c>
      <c r="L424" s="31" t="s">
        <v>382</v>
      </c>
      <c r="M424" s="31" t="s">
        <v>381</v>
      </c>
      <c r="N424" s="31" t="s">
        <v>382</v>
      </c>
      <c r="O424" s="31" t="s">
        <v>381</v>
      </c>
      <c r="P424" s="31" t="s">
        <v>382</v>
      </c>
    </row>
    <row r="425" spans="1:16" ht="18.600000000000001" customHeight="1" x14ac:dyDescent="0.2">
      <c r="A425" s="32">
        <v>1</v>
      </c>
      <c r="B425" s="26"/>
      <c r="C425" s="26"/>
      <c r="D425" s="164"/>
      <c r="E425" s="32"/>
      <c r="F425" s="34"/>
      <c r="G425" s="32"/>
      <c r="H425" s="93"/>
      <c r="I425" s="81"/>
      <c r="J425" s="34"/>
      <c r="K425" s="34"/>
      <c r="L425" s="34"/>
      <c r="M425" s="32"/>
      <c r="N425" s="34"/>
      <c r="O425" s="32"/>
      <c r="P425" s="34"/>
    </row>
    <row r="426" spans="1:16" ht="18.600000000000001" customHeight="1" x14ac:dyDescent="0.2">
      <c r="A426" s="7">
        <f t="shared" ref="A426:A449" si="89">A425+1</f>
        <v>2</v>
      </c>
      <c r="B426" s="3"/>
      <c r="C426" s="26"/>
      <c r="D426" s="26"/>
      <c r="E426" s="7"/>
      <c r="F426" s="7"/>
      <c r="G426" s="7"/>
      <c r="H426" s="7"/>
      <c r="I426" s="82"/>
      <c r="J426" s="7"/>
      <c r="K426" s="7"/>
      <c r="L426" s="7"/>
      <c r="M426" s="7"/>
      <c r="N426" s="7"/>
      <c r="O426" s="7"/>
      <c r="P426" s="7"/>
    </row>
    <row r="427" spans="1:16" ht="18.600000000000001" customHeight="1" x14ac:dyDescent="0.2">
      <c r="A427" s="7">
        <f t="shared" si="89"/>
        <v>3</v>
      </c>
      <c r="B427" s="24"/>
      <c r="C427" s="24"/>
      <c r="D427" s="24"/>
      <c r="E427" s="7"/>
      <c r="F427" s="7"/>
      <c r="G427" s="7"/>
      <c r="H427" s="7"/>
      <c r="I427" s="82"/>
      <c r="J427" s="7"/>
      <c r="K427" s="7"/>
      <c r="L427" s="7"/>
      <c r="M427" s="7"/>
      <c r="N427" s="7"/>
      <c r="O427" s="7"/>
      <c r="P427" s="7"/>
    </row>
    <row r="428" spans="1:16" ht="18.600000000000001" customHeight="1" x14ac:dyDescent="0.2">
      <c r="A428" s="7">
        <f t="shared" si="89"/>
        <v>4</v>
      </c>
      <c r="B428" s="3"/>
      <c r="C428" s="26"/>
      <c r="D428" s="26"/>
      <c r="E428" s="7"/>
      <c r="F428" s="7"/>
      <c r="G428" s="7"/>
      <c r="H428" s="7"/>
      <c r="I428" s="82"/>
      <c r="J428" s="7"/>
      <c r="K428" s="7"/>
      <c r="L428" s="7"/>
      <c r="M428" s="7"/>
      <c r="N428" s="7"/>
      <c r="O428" s="7"/>
      <c r="P428" s="7"/>
    </row>
    <row r="429" spans="1:16" ht="18.600000000000001" customHeight="1" x14ac:dyDescent="0.2">
      <c r="A429" s="6">
        <f t="shared" si="89"/>
        <v>5</v>
      </c>
      <c r="B429" s="26"/>
      <c r="C429" s="26"/>
      <c r="D429" s="26"/>
      <c r="E429" s="16"/>
      <c r="F429" s="16"/>
      <c r="G429" s="16"/>
      <c r="H429" s="16"/>
      <c r="I429" s="83"/>
      <c r="J429" s="16"/>
      <c r="K429" s="16"/>
      <c r="L429" s="16"/>
      <c r="M429" s="16"/>
      <c r="N429" s="16"/>
      <c r="O429" s="16"/>
      <c r="P429" s="16"/>
    </row>
    <row r="430" spans="1:16" ht="18.600000000000001" customHeight="1" x14ac:dyDescent="0.2">
      <c r="A430" s="56">
        <f t="shared" si="89"/>
        <v>6</v>
      </c>
      <c r="B430" s="26"/>
      <c r="C430" s="26"/>
      <c r="D430" s="26"/>
      <c r="E430" s="2"/>
      <c r="F430" s="2"/>
      <c r="G430" s="2"/>
      <c r="H430" s="2"/>
      <c r="I430" s="84"/>
      <c r="J430" s="2"/>
      <c r="K430" s="2"/>
      <c r="L430" s="2"/>
      <c r="M430" s="2"/>
      <c r="N430" s="2"/>
      <c r="O430" s="2"/>
      <c r="P430" s="2"/>
    </row>
    <row r="431" spans="1:16" ht="18.600000000000001" customHeight="1" x14ac:dyDescent="0.2">
      <c r="A431" s="6">
        <f t="shared" si="89"/>
        <v>7</v>
      </c>
      <c r="B431" s="26"/>
      <c r="C431" s="26"/>
      <c r="D431" s="164"/>
      <c r="E431" s="4"/>
      <c r="F431" s="4"/>
      <c r="G431" s="4"/>
      <c r="H431" s="4"/>
      <c r="I431" s="85"/>
      <c r="J431" s="4"/>
      <c r="K431" s="4"/>
      <c r="L431" s="4"/>
      <c r="M431" s="4"/>
      <c r="N431" s="4"/>
      <c r="O431" s="4"/>
      <c r="P431" s="4"/>
    </row>
    <row r="432" spans="1:16" ht="18.600000000000001" customHeight="1" x14ac:dyDescent="0.2">
      <c r="A432" s="6">
        <f t="shared" si="89"/>
        <v>8</v>
      </c>
      <c r="B432" s="26"/>
      <c r="C432" s="26"/>
      <c r="D432" s="26"/>
      <c r="E432" s="4"/>
      <c r="F432" s="4"/>
      <c r="G432" s="4"/>
      <c r="H432" s="4"/>
      <c r="I432" s="85"/>
      <c r="J432" s="4"/>
      <c r="K432" s="4"/>
      <c r="L432" s="4"/>
      <c r="M432" s="4"/>
      <c r="N432" s="4"/>
      <c r="O432" s="4"/>
      <c r="P432" s="4"/>
    </row>
    <row r="433" spans="1:16" ht="18.600000000000001" customHeight="1" x14ac:dyDescent="0.2">
      <c r="A433" s="6">
        <f t="shared" si="89"/>
        <v>9</v>
      </c>
      <c r="B433" s="26"/>
      <c r="C433" s="26"/>
      <c r="D433" s="26"/>
      <c r="E433" s="4"/>
      <c r="F433" s="4"/>
      <c r="G433" s="4"/>
      <c r="H433" s="4"/>
      <c r="I433" s="85"/>
      <c r="J433" s="4"/>
      <c r="K433" s="4"/>
      <c r="L433" s="4"/>
      <c r="M433" s="4"/>
      <c r="N433" s="4"/>
      <c r="O433" s="4"/>
      <c r="P433" s="4"/>
    </row>
    <row r="434" spans="1:16" ht="18.600000000000001" customHeight="1" x14ac:dyDescent="0.2">
      <c r="A434" s="10">
        <f t="shared" si="89"/>
        <v>10</v>
      </c>
      <c r="B434" s="26"/>
      <c r="C434" s="26"/>
      <c r="D434" s="164"/>
      <c r="E434" s="12"/>
      <c r="F434" s="12"/>
      <c r="G434" s="12"/>
      <c r="H434" s="12"/>
      <c r="I434" s="86"/>
      <c r="J434" s="12"/>
      <c r="K434" s="12"/>
      <c r="L434" s="12"/>
      <c r="M434" s="12"/>
      <c r="N434" s="12"/>
      <c r="O434" s="12"/>
      <c r="P434" s="12"/>
    </row>
    <row r="435" spans="1:16" ht="18.600000000000001" customHeight="1" x14ac:dyDescent="0.2">
      <c r="A435" s="35">
        <f t="shared" si="89"/>
        <v>11</v>
      </c>
      <c r="B435" s="26"/>
      <c r="C435" s="26"/>
      <c r="D435" s="26"/>
      <c r="E435" s="14"/>
      <c r="F435" s="14"/>
      <c r="G435" s="14"/>
      <c r="H435" s="14"/>
      <c r="I435" s="87"/>
      <c r="J435" s="14"/>
      <c r="K435" s="14"/>
      <c r="L435" s="14"/>
      <c r="M435" s="14"/>
      <c r="N435" s="14"/>
      <c r="O435" s="14"/>
      <c r="P435" s="14"/>
    </row>
    <row r="436" spans="1:16" ht="18.600000000000001" customHeight="1" x14ac:dyDescent="0.2">
      <c r="A436" s="7">
        <f t="shared" si="89"/>
        <v>12</v>
      </c>
      <c r="B436" s="3"/>
      <c r="C436" s="26"/>
      <c r="D436" s="26"/>
      <c r="E436" s="4"/>
      <c r="F436" s="4"/>
      <c r="G436" s="4"/>
      <c r="H436" s="4"/>
      <c r="I436" s="85"/>
      <c r="J436" s="4"/>
      <c r="K436" s="4"/>
      <c r="L436" s="4"/>
      <c r="M436" s="4"/>
      <c r="N436" s="4"/>
      <c r="O436" s="4"/>
      <c r="P436" s="4"/>
    </row>
    <row r="437" spans="1:16" ht="18.600000000000001" customHeight="1" x14ac:dyDescent="0.2">
      <c r="A437" s="7">
        <f t="shared" si="89"/>
        <v>13</v>
      </c>
      <c r="B437" s="26"/>
      <c r="C437" s="26"/>
      <c r="D437" s="26"/>
      <c r="E437" s="4"/>
      <c r="F437" s="4"/>
      <c r="G437" s="4"/>
      <c r="H437" s="4"/>
      <c r="I437" s="85"/>
      <c r="J437" s="4"/>
      <c r="K437" s="4"/>
      <c r="L437" s="264"/>
      <c r="M437" s="4"/>
      <c r="N437" s="4"/>
      <c r="O437" s="4"/>
      <c r="P437" s="4"/>
    </row>
    <row r="438" spans="1:16" ht="18.600000000000001" customHeight="1" x14ac:dyDescent="0.2">
      <c r="A438" s="7">
        <f t="shared" si="89"/>
        <v>14</v>
      </c>
      <c r="B438" s="26"/>
      <c r="C438" s="26"/>
      <c r="D438" s="26"/>
      <c r="E438" s="4"/>
      <c r="F438" s="4"/>
      <c r="G438" s="4"/>
      <c r="H438" s="4"/>
      <c r="I438" s="85"/>
      <c r="J438" s="4"/>
      <c r="K438" s="4"/>
      <c r="L438" s="4"/>
      <c r="M438" s="4"/>
      <c r="N438" s="4"/>
      <c r="O438" s="4"/>
      <c r="P438" s="4"/>
    </row>
    <row r="439" spans="1:16" ht="18.600000000000001" customHeight="1" x14ac:dyDescent="0.2">
      <c r="A439" s="6">
        <f t="shared" si="89"/>
        <v>15</v>
      </c>
      <c r="B439" s="26"/>
      <c r="C439" s="26"/>
      <c r="D439" s="164"/>
      <c r="E439" s="16"/>
      <c r="F439" s="16"/>
      <c r="G439" s="16"/>
      <c r="H439" s="16"/>
      <c r="I439" s="83"/>
      <c r="J439" s="16"/>
      <c r="K439" s="16"/>
      <c r="L439" s="16"/>
      <c r="M439" s="16"/>
      <c r="N439" s="16"/>
      <c r="O439" s="16"/>
      <c r="P439" s="16"/>
    </row>
    <row r="440" spans="1:16" ht="18.600000000000001" customHeight="1" x14ac:dyDescent="0.3">
      <c r="A440" s="32">
        <f t="shared" si="89"/>
        <v>16</v>
      </c>
      <c r="B440" s="26"/>
      <c r="C440" s="26"/>
      <c r="D440" s="143"/>
      <c r="E440" s="2"/>
      <c r="F440" s="2"/>
      <c r="G440" s="2"/>
      <c r="H440" s="2"/>
      <c r="I440" s="84"/>
      <c r="J440" s="2"/>
      <c r="K440" s="2"/>
      <c r="L440" s="2"/>
      <c r="M440" s="2"/>
      <c r="N440" s="2"/>
      <c r="O440" s="2"/>
      <c r="P440" s="2"/>
    </row>
    <row r="441" spans="1:16" ht="18.600000000000001" customHeight="1" x14ac:dyDescent="0.2">
      <c r="A441" s="7">
        <f t="shared" si="89"/>
        <v>17</v>
      </c>
      <c r="B441" s="26"/>
      <c r="C441" s="26"/>
      <c r="D441" s="26"/>
      <c r="E441" s="4"/>
      <c r="F441" s="4"/>
      <c r="G441" s="4"/>
      <c r="H441" s="4"/>
      <c r="I441" s="85"/>
      <c r="J441" s="4"/>
      <c r="K441" s="4"/>
      <c r="L441" s="4"/>
      <c r="M441" s="4"/>
      <c r="N441" s="4"/>
      <c r="O441" s="4"/>
      <c r="P441" s="4"/>
    </row>
    <row r="442" spans="1:16" ht="18.600000000000001" customHeight="1" x14ac:dyDescent="0.2">
      <c r="A442" s="7">
        <f t="shared" si="89"/>
        <v>18</v>
      </c>
      <c r="B442" s="24"/>
      <c r="C442" s="24"/>
      <c r="D442" s="163"/>
      <c r="E442" s="4"/>
      <c r="F442" s="4"/>
      <c r="G442" s="4"/>
      <c r="H442" s="4"/>
      <c r="I442" s="85"/>
      <c r="J442" s="4"/>
      <c r="K442" s="4"/>
      <c r="L442" s="4"/>
      <c r="M442" s="4"/>
      <c r="N442" s="4"/>
      <c r="O442" s="4"/>
      <c r="P442" s="4"/>
    </row>
    <row r="443" spans="1:16" ht="18.600000000000001" customHeight="1" x14ac:dyDescent="0.2">
      <c r="A443" s="7">
        <f t="shared" si="89"/>
        <v>19</v>
      </c>
      <c r="B443" s="26"/>
      <c r="C443" s="26"/>
      <c r="D443" s="26"/>
      <c r="E443" s="4"/>
      <c r="F443" s="4"/>
      <c r="G443" s="4"/>
      <c r="H443" s="4"/>
      <c r="I443" s="85"/>
      <c r="J443" s="4"/>
      <c r="K443" s="4"/>
      <c r="L443" s="4"/>
      <c r="M443" s="4"/>
      <c r="N443" s="4"/>
      <c r="O443" s="4"/>
      <c r="P443" s="4"/>
    </row>
    <row r="444" spans="1:16" ht="18.600000000000001" customHeight="1" x14ac:dyDescent="0.2">
      <c r="A444" s="10">
        <f t="shared" si="89"/>
        <v>20</v>
      </c>
      <c r="B444" s="26"/>
      <c r="C444" s="26"/>
      <c r="D444" s="26"/>
      <c r="E444" s="12"/>
      <c r="F444" s="12"/>
      <c r="G444" s="12"/>
      <c r="H444" s="12"/>
      <c r="I444" s="86"/>
      <c r="J444" s="12"/>
      <c r="K444" s="12"/>
      <c r="L444" s="12"/>
      <c r="M444" s="12"/>
      <c r="N444" s="12"/>
      <c r="O444" s="12"/>
      <c r="P444" s="12"/>
    </row>
    <row r="445" spans="1:16" ht="18.600000000000001" customHeight="1" x14ac:dyDescent="0.3">
      <c r="A445" s="35">
        <f t="shared" si="89"/>
        <v>21</v>
      </c>
      <c r="B445" s="143"/>
      <c r="C445" s="143"/>
      <c r="D445" s="143"/>
      <c r="E445" s="14"/>
      <c r="F445" s="14"/>
      <c r="G445" s="14"/>
      <c r="H445" s="14"/>
      <c r="I445" s="87"/>
      <c r="J445" s="14"/>
      <c r="K445" s="14"/>
      <c r="L445" s="14"/>
      <c r="M445" s="14"/>
      <c r="N445" s="14"/>
      <c r="O445" s="14"/>
      <c r="P445" s="14"/>
    </row>
    <row r="446" spans="1:16" ht="18.600000000000001" customHeight="1" x14ac:dyDescent="0.2">
      <c r="A446" s="7">
        <f t="shared" si="89"/>
        <v>22</v>
      </c>
      <c r="B446" s="26"/>
      <c r="C446" s="26"/>
      <c r="D446" s="164"/>
      <c r="E446" s="4"/>
      <c r="F446" s="4"/>
      <c r="G446" s="4"/>
      <c r="H446" s="4"/>
      <c r="I446" s="85"/>
      <c r="J446" s="4"/>
      <c r="K446" s="4"/>
      <c r="L446" s="4"/>
      <c r="M446" s="4"/>
      <c r="N446" s="4"/>
      <c r="O446" s="4"/>
      <c r="P446" s="4"/>
    </row>
    <row r="447" spans="1:16" ht="18.600000000000001" customHeight="1" x14ac:dyDescent="0.2">
      <c r="A447" s="35">
        <f t="shared" si="89"/>
        <v>23</v>
      </c>
      <c r="B447" s="26"/>
      <c r="C447" s="26"/>
      <c r="D447" s="164"/>
      <c r="E447" s="4"/>
      <c r="F447" s="4"/>
      <c r="G447" s="4"/>
      <c r="H447" s="4"/>
      <c r="I447" s="85"/>
      <c r="J447" s="4"/>
      <c r="K447" s="4"/>
      <c r="L447" s="4"/>
      <c r="M447" s="4"/>
      <c r="N447" s="4"/>
      <c r="O447" s="4"/>
      <c r="P447" s="4"/>
    </row>
    <row r="448" spans="1:16" ht="18.600000000000001" customHeight="1" x14ac:dyDescent="0.2">
      <c r="A448" s="7">
        <f t="shared" si="89"/>
        <v>24</v>
      </c>
      <c r="B448" s="24"/>
      <c r="C448" s="244"/>
      <c r="D448" s="26"/>
      <c r="E448" s="4"/>
      <c r="F448" s="4"/>
      <c r="G448" s="4"/>
      <c r="H448" s="4"/>
      <c r="I448" s="85"/>
      <c r="J448" s="4"/>
      <c r="K448" s="4"/>
      <c r="L448" s="4"/>
      <c r="M448" s="4"/>
      <c r="N448" s="4"/>
      <c r="O448" s="4"/>
      <c r="P448" s="4"/>
    </row>
    <row r="449" spans="1:16" ht="18.600000000000001" customHeight="1" x14ac:dyDescent="0.2">
      <c r="A449" s="35">
        <f t="shared" si="89"/>
        <v>25</v>
      </c>
      <c r="B449" s="26"/>
      <c r="C449" s="26"/>
      <c r="D449" s="26"/>
      <c r="E449" s="12"/>
      <c r="F449" s="12"/>
      <c r="G449" s="12"/>
      <c r="H449" s="12"/>
      <c r="I449" s="86"/>
      <c r="J449" s="12"/>
      <c r="K449" s="12"/>
      <c r="L449" s="12"/>
      <c r="M449" s="12"/>
      <c r="N449" s="12"/>
      <c r="O449" s="12"/>
      <c r="P449" s="12"/>
    </row>
    <row r="450" spans="1:16" ht="18.600000000000001" customHeight="1" x14ac:dyDescent="0.3">
      <c r="A450" s="147"/>
      <c r="B450" s="148"/>
      <c r="C450" s="147"/>
      <c r="D450" s="149"/>
      <c r="E450" s="150">
        <f>SUBTOTAL(9,E425:E449)</f>
        <v>0</v>
      </c>
      <c r="F450" s="152"/>
      <c r="G450" s="150">
        <f t="shared" ref="G450" si="90">SUBTOTAL(9,G425:G449)</f>
        <v>0</v>
      </c>
      <c r="H450" s="152"/>
      <c r="I450" s="150">
        <f t="shared" ref="I450" si="91">SUBTOTAL(9,I425:I449)</f>
        <v>0</v>
      </c>
      <c r="J450" s="152"/>
      <c r="K450" s="152"/>
      <c r="L450" s="152"/>
      <c r="M450" s="150">
        <f t="shared" ref="M450" si="92">SUBTOTAL(9,M425:M449)</f>
        <v>0</v>
      </c>
      <c r="N450" s="152"/>
      <c r="O450" s="150">
        <f t="shared" ref="O450" si="93">SUBTOTAL(9,O425:O449)</f>
        <v>0</v>
      </c>
      <c r="P450" s="152"/>
    </row>
    <row r="451" spans="1:16" ht="18.600000000000001" customHeight="1" x14ac:dyDescent="0.2">
      <c r="A451" s="434" t="str">
        <f>A421</f>
        <v>DANH SÁCH LỚP KET</v>
      </c>
      <c r="B451" s="434"/>
      <c r="C451" s="434"/>
      <c r="D451" s="434"/>
      <c r="E451" s="434"/>
      <c r="F451" s="434"/>
      <c r="G451" s="434"/>
      <c r="H451" s="434"/>
      <c r="I451" s="92" t="s">
        <v>1031</v>
      </c>
      <c r="J451" s="48"/>
      <c r="K451" s="48"/>
      <c r="L451" s="48"/>
      <c r="M451" s="41"/>
      <c r="N451" s="41"/>
      <c r="O451" s="41"/>
      <c r="P451" s="41"/>
    </row>
    <row r="452" spans="1:16" ht="18.600000000000001" customHeight="1" x14ac:dyDescent="0.2">
      <c r="A452" s="28"/>
      <c r="B452" s="29"/>
      <c r="C452" s="30"/>
      <c r="D452" s="36"/>
      <c r="E452" s="28"/>
      <c r="F452" s="28"/>
      <c r="G452" s="28"/>
      <c r="H452" s="28"/>
      <c r="I452" s="79"/>
      <c r="J452" s="28"/>
      <c r="K452" s="28"/>
      <c r="L452" s="28"/>
      <c r="M452" s="28"/>
      <c r="N452" s="28"/>
      <c r="O452" s="28"/>
      <c r="P452" s="28"/>
    </row>
    <row r="453" spans="1:16" ht="18.600000000000001" customHeight="1" x14ac:dyDescent="0.2">
      <c r="A453" s="435" t="s">
        <v>374</v>
      </c>
      <c r="B453" s="435" t="s">
        <v>380</v>
      </c>
      <c r="C453" s="435" t="s">
        <v>383</v>
      </c>
      <c r="D453" s="437" t="s">
        <v>384</v>
      </c>
      <c r="E453" s="438" t="s">
        <v>385</v>
      </c>
      <c r="F453" s="439"/>
      <c r="G453" s="432" t="str">
        <f>$R$1</f>
        <v>Hè 1</v>
      </c>
      <c r="H453" s="433"/>
      <c r="I453" s="432" t="str">
        <f>$T$1</f>
        <v>Hè 2</v>
      </c>
      <c r="J453" s="433"/>
      <c r="K453" s="432" t="str">
        <f>$V$1</f>
        <v>Hè 3</v>
      </c>
      <c r="L453" s="433"/>
      <c r="M453" s="432" t="str">
        <f>$X$1</f>
        <v>.</v>
      </c>
      <c r="N453" s="433"/>
      <c r="O453" s="432" t="str">
        <f>$Z$1</f>
        <v>.</v>
      </c>
      <c r="P453" s="433"/>
    </row>
    <row r="454" spans="1:16" ht="18.600000000000001" customHeight="1" x14ac:dyDescent="0.2">
      <c r="A454" s="436"/>
      <c r="B454" s="436"/>
      <c r="C454" s="436"/>
      <c r="D454" s="436"/>
      <c r="E454" s="31" t="s">
        <v>381</v>
      </c>
      <c r="F454" s="31" t="s">
        <v>382</v>
      </c>
      <c r="G454" s="31" t="s">
        <v>381</v>
      </c>
      <c r="H454" s="31" t="s">
        <v>382</v>
      </c>
      <c r="I454" s="80" t="s">
        <v>381</v>
      </c>
      <c r="J454" s="31" t="s">
        <v>382</v>
      </c>
      <c r="K454" s="80" t="s">
        <v>381</v>
      </c>
      <c r="L454" s="31" t="s">
        <v>382</v>
      </c>
      <c r="M454" s="31" t="s">
        <v>381</v>
      </c>
      <c r="N454" s="31" t="s">
        <v>382</v>
      </c>
      <c r="O454" s="31" t="s">
        <v>381</v>
      </c>
      <c r="P454" s="31" t="s">
        <v>382</v>
      </c>
    </row>
    <row r="455" spans="1:16" ht="18.600000000000001" customHeight="1" x14ac:dyDescent="0.2">
      <c r="A455" s="32">
        <v>1</v>
      </c>
      <c r="B455" s="24"/>
      <c r="C455" s="24"/>
      <c r="D455" s="163"/>
      <c r="E455" s="32"/>
      <c r="F455" s="34"/>
      <c r="G455" s="32"/>
      <c r="H455" s="93"/>
      <c r="I455" s="81"/>
      <c r="J455" s="34"/>
      <c r="K455" s="34"/>
      <c r="L455" s="34"/>
      <c r="M455" s="32"/>
      <c r="N455" s="34"/>
      <c r="O455" s="32"/>
      <c r="P455" s="34"/>
    </row>
    <row r="456" spans="1:16" ht="18.600000000000001" customHeight="1" x14ac:dyDescent="0.2">
      <c r="A456" s="7">
        <f t="shared" ref="A456:A479" si="94">A455+1</f>
        <v>2</v>
      </c>
      <c r="B456" s="24"/>
      <c r="C456" s="24"/>
      <c r="D456" s="163"/>
      <c r="E456" s="7"/>
      <c r="F456" s="7"/>
      <c r="G456" s="7"/>
      <c r="H456" s="7"/>
      <c r="I456" s="82"/>
      <c r="J456" s="7"/>
      <c r="K456" s="7"/>
      <c r="L456" s="7"/>
      <c r="M456" s="7"/>
      <c r="N456" s="7"/>
      <c r="O456" s="7"/>
      <c r="P456" s="7"/>
    </row>
    <row r="457" spans="1:16" ht="18.600000000000001" customHeight="1" x14ac:dyDescent="0.2">
      <c r="A457" s="7">
        <f t="shared" si="94"/>
        <v>3</v>
      </c>
      <c r="B457" s="24"/>
      <c r="C457" s="24"/>
      <c r="D457" s="163"/>
      <c r="E457" s="7"/>
      <c r="F457" s="7"/>
      <c r="G457" s="7"/>
      <c r="H457" s="7"/>
      <c r="I457" s="82"/>
      <c r="J457" s="7"/>
      <c r="K457" s="7"/>
      <c r="L457" s="7"/>
      <c r="M457" s="7"/>
      <c r="N457" s="7"/>
      <c r="O457" s="7"/>
      <c r="P457" s="7"/>
    </row>
    <row r="458" spans="1:16" ht="18.600000000000001" customHeight="1" x14ac:dyDescent="0.2">
      <c r="A458" s="7">
        <f t="shared" si="94"/>
        <v>4</v>
      </c>
      <c r="B458" s="24"/>
      <c r="C458" s="24"/>
      <c r="D458" s="163"/>
      <c r="E458" s="7"/>
      <c r="F458" s="7"/>
      <c r="G458" s="7"/>
      <c r="H458" s="7"/>
      <c r="I458" s="82"/>
      <c r="J458" s="7"/>
      <c r="K458" s="7"/>
      <c r="L458" s="7"/>
      <c r="M458" s="7"/>
      <c r="N458" s="7"/>
      <c r="O458" s="7"/>
      <c r="P458" s="7"/>
    </row>
    <row r="459" spans="1:16" ht="18.600000000000001" customHeight="1" x14ac:dyDescent="0.2">
      <c r="A459" s="6">
        <f t="shared" si="94"/>
        <v>5</v>
      </c>
      <c r="B459" s="24"/>
      <c r="C459" s="24"/>
      <c r="D459" s="163"/>
      <c r="E459" s="16"/>
      <c r="F459" s="16"/>
      <c r="G459" s="16"/>
      <c r="H459" s="16"/>
      <c r="I459" s="83"/>
      <c r="J459" s="16"/>
      <c r="K459" s="16"/>
      <c r="L459" s="16"/>
      <c r="M459" s="16"/>
      <c r="N459" s="16"/>
      <c r="O459" s="16"/>
      <c r="P459" s="16"/>
    </row>
    <row r="460" spans="1:16" ht="18.600000000000001" customHeight="1" x14ac:dyDescent="0.2">
      <c r="A460" s="56">
        <f t="shared" si="94"/>
        <v>6</v>
      </c>
      <c r="B460" s="25"/>
      <c r="C460" s="25"/>
      <c r="D460" s="163"/>
      <c r="E460" s="2"/>
      <c r="F460" s="2"/>
      <c r="G460" s="2"/>
      <c r="H460" s="2"/>
      <c r="I460" s="84"/>
      <c r="J460" s="2"/>
      <c r="K460" s="2"/>
      <c r="L460" s="2"/>
      <c r="M460" s="2"/>
      <c r="N460" s="2"/>
      <c r="O460" s="2"/>
      <c r="P460" s="2"/>
    </row>
    <row r="461" spans="1:16" ht="18.600000000000001" customHeight="1" x14ac:dyDescent="0.2">
      <c r="A461" s="6">
        <f t="shared" si="94"/>
        <v>7</v>
      </c>
      <c r="B461" s="25"/>
      <c r="C461" s="25"/>
      <c r="D461" s="163"/>
      <c r="E461" s="4"/>
      <c r="F461" s="4"/>
      <c r="G461" s="4"/>
      <c r="H461" s="4"/>
      <c r="I461" s="85"/>
      <c r="J461" s="4"/>
      <c r="K461" s="4"/>
      <c r="L461" s="4"/>
      <c r="M461" s="4"/>
      <c r="N461" s="4"/>
      <c r="O461" s="4"/>
      <c r="P461" s="4"/>
    </row>
    <row r="462" spans="1:16" ht="18.600000000000001" customHeight="1" x14ac:dyDescent="0.3">
      <c r="A462" s="6">
        <f t="shared" si="94"/>
        <v>8</v>
      </c>
      <c r="B462" s="143"/>
      <c r="C462" s="143"/>
      <c r="D462" s="143"/>
      <c r="E462" s="4"/>
      <c r="F462" s="4"/>
      <c r="G462" s="4"/>
      <c r="H462" s="4"/>
      <c r="I462" s="85"/>
      <c r="J462" s="4"/>
      <c r="K462" s="4"/>
      <c r="L462" s="4"/>
      <c r="M462" s="4"/>
      <c r="N462" s="4"/>
      <c r="O462" s="4"/>
      <c r="P462" s="4"/>
    </row>
    <row r="463" spans="1:16" ht="18.600000000000001" customHeight="1" x14ac:dyDescent="0.2">
      <c r="A463" s="6">
        <f t="shared" si="94"/>
        <v>9</v>
      </c>
      <c r="B463" s="24"/>
      <c r="C463" s="24"/>
      <c r="D463" s="163"/>
      <c r="E463" s="4"/>
      <c r="F463" s="4"/>
      <c r="G463" s="4"/>
      <c r="H463" s="4"/>
      <c r="I463" s="85"/>
      <c r="J463" s="4"/>
      <c r="K463" s="4"/>
      <c r="L463" s="4"/>
      <c r="M463" s="4"/>
      <c r="N463" s="4"/>
      <c r="O463" s="4"/>
      <c r="P463" s="4"/>
    </row>
    <row r="464" spans="1:16" ht="18.600000000000001" customHeight="1" x14ac:dyDescent="0.2">
      <c r="A464" s="10">
        <f t="shared" si="94"/>
        <v>10</v>
      </c>
      <c r="B464" s="24"/>
      <c r="C464" s="24"/>
      <c r="D464" s="24"/>
      <c r="E464" s="12"/>
      <c r="F464" s="12"/>
      <c r="G464" s="12"/>
      <c r="H464" s="12"/>
      <c r="I464" s="86"/>
      <c r="J464" s="12"/>
      <c r="K464" s="12"/>
      <c r="L464" s="12"/>
      <c r="M464" s="12"/>
      <c r="N464" s="12"/>
      <c r="O464" s="12"/>
      <c r="P464" s="12"/>
    </row>
    <row r="465" spans="1:16" ht="18.600000000000001" customHeight="1" x14ac:dyDescent="0.2">
      <c r="A465" s="35">
        <f t="shared" si="94"/>
        <v>11</v>
      </c>
      <c r="B465" s="24"/>
      <c r="C465" s="24"/>
      <c r="D465" s="163"/>
      <c r="E465" s="14"/>
      <c r="F465" s="14"/>
      <c r="G465" s="14"/>
      <c r="H465" s="14"/>
      <c r="I465" s="87"/>
      <c r="J465" s="14"/>
      <c r="K465" s="14"/>
      <c r="L465" s="14"/>
      <c r="M465" s="14"/>
      <c r="N465" s="14"/>
      <c r="O465" s="14"/>
      <c r="P465" s="14"/>
    </row>
    <row r="466" spans="1:16" ht="18.600000000000001" customHeight="1" x14ac:dyDescent="0.2">
      <c r="A466" s="7">
        <f t="shared" si="94"/>
        <v>12</v>
      </c>
      <c r="B466" s="24"/>
      <c r="C466" s="24"/>
      <c r="D466" s="163"/>
      <c r="E466" s="4"/>
      <c r="F466" s="4"/>
      <c r="G466" s="4"/>
      <c r="H466" s="4"/>
      <c r="I466" s="85"/>
      <c r="J466" s="4"/>
      <c r="K466" s="4"/>
      <c r="L466" s="4"/>
      <c r="M466" s="4"/>
      <c r="N466" s="4"/>
      <c r="O466" s="4"/>
      <c r="P466" s="4"/>
    </row>
    <row r="467" spans="1:16" ht="18.600000000000001" customHeight="1" x14ac:dyDescent="0.2">
      <c r="A467" s="7">
        <f t="shared" si="94"/>
        <v>13</v>
      </c>
      <c r="B467" s="24"/>
      <c r="C467" s="24"/>
      <c r="D467" s="163"/>
      <c r="E467" s="4"/>
      <c r="F467" s="4"/>
      <c r="G467" s="4"/>
      <c r="H467" s="4"/>
      <c r="I467" s="85"/>
      <c r="J467" s="4"/>
      <c r="K467" s="4"/>
      <c r="L467" s="4"/>
      <c r="M467" s="4"/>
      <c r="N467" s="4"/>
      <c r="O467" s="4"/>
      <c r="P467" s="4"/>
    </row>
    <row r="468" spans="1:16" ht="18.600000000000001" customHeight="1" x14ac:dyDescent="0.2">
      <c r="A468" s="7">
        <f t="shared" si="94"/>
        <v>14</v>
      </c>
      <c r="B468" s="24"/>
      <c r="C468" s="24"/>
      <c r="D468" s="163"/>
      <c r="E468" s="4"/>
      <c r="F468" s="4"/>
      <c r="G468" s="4"/>
      <c r="H468" s="4"/>
      <c r="I468" s="85"/>
      <c r="J468" s="4"/>
      <c r="K468" s="4"/>
      <c r="L468" s="4"/>
      <c r="M468" s="4"/>
      <c r="N468" s="4"/>
      <c r="O468" s="4"/>
      <c r="P468" s="4"/>
    </row>
    <row r="469" spans="1:16" ht="18.600000000000001" customHeight="1" x14ac:dyDescent="0.2">
      <c r="A469" s="6">
        <f t="shared" si="94"/>
        <v>15</v>
      </c>
      <c r="B469" s="25"/>
      <c r="C469" s="25"/>
      <c r="D469" s="163"/>
      <c r="E469" s="16"/>
      <c r="F469" s="16"/>
      <c r="G469" s="16"/>
      <c r="H469" s="16"/>
      <c r="I469" s="83"/>
      <c r="J469" s="16"/>
      <c r="K469" s="16"/>
      <c r="L469" s="16"/>
      <c r="M469" s="16"/>
      <c r="N469" s="16"/>
      <c r="O469" s="16"/>
      <c r="P469" s="16"/>
    </row>
    <row r="470" spans="1:16" ht="18.600000000000001" customHeight="1" x14ac:dyDescent="0.2">
      <c r="A470" s="32">
        <f t="shared" si="94"/>
        <v>16</v>
      </c>
      <c r="B470" s="24"/>
      <c r="C470" s="24"/>
      <c r="D470" s="163"/>
      <c r="E470" s="2"/>
      <c r="F470" s="2"/>
      <c r="G470" s="2"/>
      <c r="H470" s="2"/>
      <c r="I470" s="84"/>
      <c r="J470" s="2"/>
      <c r="K470" s="2"/>
      <c r="L470" s="2"/>
      <c r="M470" s="2"/>
      <c r="N470" s="2"/>
      <c r="O470" s="2"/>
      <c r="P470" s="2"/>
    </row>
    <row r="471" spans="1:16" ht="18.600000000000001" customHeight="1" x14ac:dyDescent="0.2">
      <c r="A471" s="7">
        <f t="shared" si="94"/>
        <v>17</v>
      </c>
      <c r="B471" s="24"/>
      <c r="C471" s="24"/>
      <c r="D471" s="163"/>
      <c r="E471" s="4"/>
      <c r="F471" s="4"/>
      <c r="G471" s="4"/>
      <c r="H471" s="4"/>
      <c r="I471" s="85"/>
      <c r="J471" s="4"/>
      <c r="K471" s="4"/>
      <c r="L471" s="4"/>
      <c r="M471" s="4"/>
      <c r="N471" s="4"/>
      <c r="O471" s="4"/>
      <c r="P471" s="4"/>
    </row>
    <row r="472" spans="1:16" ht="18.600000000000001" customHeight="1" x14ac:dyDescent="0.2">
      <c r="A472" s="7">
        <f t="shared" si="94"/>
        <v>18</v>
      </c>
      <c r="B472" s="25"/>
      <c r="C472" s="25"/>
      <c r="D472" s="163"/>
      <c r="E472" s="4"/>
      <c r="F472" s="4"/>
      <c r="G472" s="4"/>
      <c r="H472" s="4"/>
      <c r="I472" s="85"/>
      <c r="J472" s="4"/>
      <c r="K472" s="4"/>
      <c r="L472" s="4"/>
      <c r="M472" s="4"/>
      <c r="N472" s="4"/>
      <c r="O472" s="4"/>
      <c r="P472" s="4"/>
    </row>
    <row r="473" spans="1:16" ht="18.600000000000001" customHeight="1" x14ac:dyDescent="0.2">
      <c r="A473" s="7">
        <f t="shared" si="94"/>
        <v>19</v>
      </c>
      <c r="B473" s="3"/>
      <c r="C473" s="4"/>
      <c r="D473" s="8"/>
      <c r="E473" s="4"/>
      <c r="F473" s="4"/>
      <c r="G473" s="4"/>
      <c r="H473" s="4"/>
      <c r="I473" s="85"/>
      <c r="J473" s="4"/>
      <c r="K473" s="4"/>
      <c r="L473" s="4"/>
      <c r="M473" s="4"/>
      <c r="N473" s="4"/>
      <c r="O473" s="4"/>
      <c r="P473" s="4"/>
    </row>
    <row r="474" spans="1:16" ht="18.600000000000001" customHeight="1" x14ac:dyDescent="0.2">
      <c r="A474" s="10">
        <f t="shared" si="94"/>
        <v>20</v>
      </c>
      <c r="B474" s="11"/>
      <c r="C474" s="12"/>
      <c r="D474" s="9"/>
      <c r="E474" s="12"/>
      <c r="F474" s="12"/>
      <c r="G474" s="12"/>
      <c r="H474" s="12"/>
      <c r="I474" s="86"/>
      <c r="J474" s="12"/>
      <c r="K474" s="12"/>
      <c r="L474" s="12"/>
      <c r="M474" s="12"/>
      <c r="N474" s="12"/>
      <c r="O474" s="12"/>
      <c r="P474" s="12"/>
    </row>
    <row r="475" spans="1:16" ht="18.600000000000001" customHeight="1" x14ac:dyDescent="0.2">
      <c r="A475" s="35">
        <f t="shared" si="94"/>
        <v>21</v>
      </c>
      <c r="B475" s="13"/>
      <c r="C475" s="14"/>
      <c r="D475" s="37"/>
      <c r="E475" s="14"/>
      <c r="F475" s="14"/>
      <c r="G475" s="14"/>
      <c r="H475" s="14"/>
      <c r="I475" s="87"/>
      <c r="J475" s="14"/>
      <c r="K475" s="14"/>
      <c r="L475" s="14"/>
      <c r="M475" s="14"/>
      <c r="N475" s="14"/>
      <c r="O475" s="14"/>
      <c r="P475" s="14"/>
    </row>
    <row r="476" spans="1:16" ht="18.600000000000001" customHeight="1" x14ac:dyDescent="0.2">
      <c r="A476" s="7">
        <f t="shared" si="94"/>
        <v>22</v>
      </c>
      <c r="B476" s="3"/>
      <c r="C476" s="4"/>
      <c r="D476" s="8"/>
      <c r="E476" s="4"/>
      <c r="F476" s="4"/>
      <c r="G476" s="4"/>
      <c r="H476" s="4"/>
      <c r="I476" s="85"/>
      <c r="J476" s="4"/>
      <c r="K476" s="4"/>
      <c r="L476" s="4"/>
      <c r="M476" s="4"/>
      <c r="N476" s="4"/>
      <c r="O476" s="4"/>
      <c r="P476" s="4"/>
    </row>
    <row r="477" spans="1:16" ht="18.600000000000001" customHeight="1" x14ac:dyDescent="0.2">
      <c r="A477" s="35">
        <f t="shared" si="94"/>
        <v>23</v>
      </c>
      <c r="B477" s="3"/>
      <c r="C477" s="4"/>
      <c r="D477" s="8"/>
      <c r="E477" s="4"/>
      <c r="F477" s="4"/>
      <c r="G477" s="4"/>
      <c r="H477" s="4"/>
      <c r="I477" s="85"/>
      <c r="J477" s="4"/>
      <c r="K477" s="4"/>
      <c r="L477" s="4"/>
      <c r="M477" s="4"/>
      <c r="N477" s="4"/>
      <c r="O477" s="4"/>
      <c r="P477" s="4"/>
    </row>
    <row r="478" spans="1:16" ht="18.600000000000001" customHeight="1" x14ac:dyDescent="0.2">
      <c r="A478" s="7">
        <f t="shared" si="94"/>
        <v>24</v>
      </c>
      <c r="B478" s="3"/>
      <c r="C478" s="4"/>
      <c r="D478" s="8"/>
      <c r="E478" s="4"/>
      <c r="F478" s="4"/>
      <c r="G478" s="4"/>
      <c r="H478" s="4"/>
      <c r="I478" s="85"/>
      <c r="J478" s="4"/>
      <c r="K478" s="4"/>
      <c r="L478" s="4"/>
      <c r="M478" s="4"/>
      <c r="N478" s="4"/>
      <c r="O478" s="4"/>
      <c r="P478" s="4"/>
    </row>
    <row r="479" spans="1:16" ht="18.600000000000001" customHeight="1" x14ac:dyDescent="0.2">
      <c r="A479" s="35">
        <f t="shared" si="94"/>
        <v>25</v>
      </c>
      <c r="B479" s="11"/>
      <c r="C479" s="12"/>
      <c r="D479" s="9"/>
      <c r="E479" s="12"/>
      <c r="F479" s="12"/>
      <c r="G479" s="12"/>
      <c r="H479" s="12"/>
      <c r="I479" s="86"/>
      <c r="J479" s="12"/>
      <c r="K479" s="12"/>
      <c r="L479" s="12"/>
      <c r="M479" s="12"/>
      <c r="N479" s="12"/>
      <c r="O479" s="12"/>
      <c r="P479" s="12"/>
    </row>
    <row r="480" spans="1:16" ht="18.600000000000001" customHeight="1" x14ac:dyDescent="0.3">
      <c r="A480" s="147"/>
      <c r="B480" s="148"/>
      <c r="C480" s="147"/>
      <c r="D480" s="149"/>
      <c r="E480" s="150">
        <f>SUBTOTAL(9,E455:E479)</f>
        <v>0</v>
      </c>
      <c r="F480" s="152"/>
      <c r="G480" s="150">
        <f t="shared" ref="G480" si="95">SUBTOTAL(9,G455:G479)</f>
        <v>0</v>
      </c>
      <c r="H480" s="152"/>
      <c r="I480" s="150">
        <f t="shared" ref="I480" si="96">SUBTOTAL(9,I455:I479)</f>
        <v>0</v>
      </c>
      <c r="J480" s="152"/>
      <c r="K480" s="152"/>
      <c r="L480" s="152"/>
      <c r="M480" s="150">
        <f t="shared" ref="M480" si="97">SUBTOTAL(9,M455:M479)</f>
        <v>0</v>
      </c>
      <c r="N480" s="152"/>
      <c r="O480" s="150">
        <f t="shared" ref="O480" si="98">SUBTOTAL(9,O455:O479)</f>
        <v>0</v>
      </c>
      <c r="P480" s="152"/>
    </row>
    <row r="481" spans="1:16" ht="18.600000000000001" customHeight="1" x14ac:dyDescent="0.2">
      <c r="A481" s="434" t="str">
        <f>A451</f>
        <v>DANH SÁCH LỚP KET</v>
      </c>
      <c r="B481" s="434"/>
      <c r="C481" s="434"/>
      <c r="D481" s="434"/>
      <c r="E481" s="434"/>
      <c r="F481" s="434"/>
      <c r="G481" s="434"/>
      <c r="H481" s="434"/>
      <c r="I481" s="92" t="s">
        <v>1206</v>
      </c>
      <c r="J481" s="48"/>
      <c r="K481" s="48"/>
      <c r="L481" s="48"/>
      <c r="M481" s="41"/>
      <c r="N481" s="41"/>
      <c r="O481" s="41"/>
      <c r="P481" s="41"/>
    </row>
    <row r="482" spans="1:16" ht="18.600000000000001" customHeight="1" x14ac:dyDescent="0.2">
      <c r="A482" s="28"/>
      <c r="B482" s="29"/>
      <c r="C482" s="30"/>
      <c r="D482" s="36"/>
      <c r="E482" s="28"/>
      <c r="F482" s="28"/>
      <c r="G482" s="28"/>
      <c r="H482" s="28"/>
      <c r="I482" s="79"/>
      <c r="J482" s="28"/>
      <c r="K482" s="28"/>
      <c r="L482" s="28"/>
      <c r="M482" s="28"/>
      <c r="N482" s="28"/>
      <c r="O482" s="28"/>
      <c r="P482" s="28"/>
    </row>
    <row r="483" spans="1:16" ht="18.600000000000001" customHeight="1" x14ac:dyDescent="0.2">
      <c r="A483" s="435" t="s">
        <v>374</v>
      </c>
      <c r="B483" s="435" t="s">
        <v>380</v>
      </c>
      <c r="C483" s="435" t="s">
        <v>383</v>
      </c>
      <c r="D483" s="437" t="s">
        <v>384</v>
      </c>
      <c r="E483" s="438" t="s">
        <v>385</v>
      </c>
      <c r="F483" s="439"/>
      <c r="G483" s="432" t="str">
        <f>$R$1</f>
        <v>Hè 1</v>
      </c>
      <c r="H483" s="433"/>
      <c r="I483" s="432" t="str">
        <f>$T$1</f>
        <v>Hè 2</v>
      </c>
      <c r="J483" s="433"/>
      <c r="K483" s="432" t="str">
        <f>$V$1</f>
        <v>Hè 3</v>
      </c>
      <c r="L483" s="433"/>
      <c r="M483" s="432" t="str">
        <f>$X$1</f>
        <v>.</v>
      </c>
      <c r="N483" s="433"/>
      <c r="O483" s="432" t="str">
        <f>$Z$1</f>
        <v>.</v>
      </c>
      <c r="P483" s="433"/>
    </row>
    <row r="484" spans="1:16" ht="18.600000000000001" customHeight="1" x14ac:dyDescent="0.2">
      <c r="A484" s="436"/>
      <c r="B484" s="436"/>
      <c r="C484" s="436"/>
      <c r="D484" s="436"/>
      <c r="E484" s="31" t="s">
        <v>381</v>
      </c>
      <c r="F484" s="31" t="s">
        <v>382</v>
      </c>
      <c r="G484" s="31" t="s">
        <v>381</v>
      </c>
      <c r="H484" s="31" t="s">
        <v>382</v>
      </c>
      <c r="I484" s="80" t="s">
        <v>381</v>
      </c>
      <c r="J484" s="31" t="s">
        <v>382</v>
      </c>
      <c r="K484" s="80" t="s">
        <v>381</v>
      </c>
      <c r="L484" s="31" t="s">
        <v>382</v>
      </c>
      <c r="M484" s="31" t="s">
        <v>381</v>
      </c>
      <c r="N484" s="31" t="s">
        <v>382</v>
      </c>
      <c r="O484" s="31" t="s">
        <v>381</v>
      </c>
      <c r="P484" s="31" t="s">
        <v>382</v>
      </c>
    </row>
    <row r="485" spans="1:16" ht="18.600000000000001" customHeight="1" x14ac:dyDescent="0.2">
      <c r="A485" s="32">
        <v>1</v>
      </c>
      <c r="B485" s="25"/>
      <c r="C485" s="25"/>
      <c r="D485" s="163"/>
      <c r="E485" s="32"/>
      <c r="F485" s="34"/>
      <c r="G485" s="32"/>
      <c r="H485" s="93"/>
      <c r="I485" s="81"/>
      <c r="J485" s="34"/>
      <c r="K485" s="34"/>
      <c r="L485" s="34"/>
      <c r="M485" s="32"/>
      <c r="N485" s="34"/>
      <c r="O485" s="32"/>
      <c r="P485" s="34"/>
    </row>
    <row r="486" spans="1:16" ht="18.600000000000001" customHeight="1" x14ac:dyDescent="0.2">
      <c r="A486" s="7">
        <f t="shared" ref="A486:A509" si="99">A485+1</f>
        <v>2</v>
      </c>
      <c r="B486" s="24"/>
      <c r="C486" s="24"/>
      <c r="D486" s="163"/>
      <c r="E486" s="7"/>
      <c r="F486" s="7"/>
      <c r="G486" s="7"/>
      <c r="H486" s="7"/>
      <c r="I486" s="82"/>
      <c r="J486" s="7"/>
      <c r="K486" s="7"/>
      <c r="L486" s="7"/>
      <c r="M486" s="7"/>
      <c r="N486" s="7"/>
      <c r="O486" s="7"/>
      <c r="P486" s="7"/>
    </row>
    <row r="487" spans="1:16" ht="18.600000000000001" customHeight="1" x14ac:dyDescent="0.2">
      <c r="A487" s="7">
        <f t="shared" si="99"/>
        <v>3</v>
      </c>
      <c r="B487" s="24"/>
      <c r="C487" s="24"/>
      <c r="D487" s="24"/>
      <c r="E487" s="7"/>
      <c r="F487" s="7"/>
      <c r="G487" s="7"/>
      <c r="H487" s="7"/>
      <c r="I487" s="82"/>
      <c r="J487" s="7"/>
      <c r="K487" s="7"/>
      <c r="L487" s="7"/>
      <c r="M487" s="7"/>
      <c r="N487" s="7"/>
      <c r="O487" s="7"/>
      <c r="P487" s="7"/>
    </row>
    <row r="488" spans="1:16" ht="18.600000000000001" customHeight="1" x14ac:dyDescent="0.2">
      <c r="A488" s="7">
        <f t="shared" si="99"/>
        <v>4</v>
      </c>
      <c r="B488" s="25"/>
      <c r="C488" s="25"/>
      <c r="D488" s="24"/>
      <c r="E488" s="7"/>
      <c r="F488" s="7"/>
      <c r="G488" s="7"/>
      <c r="H488" s="7"/>
      <c r="I488" s="82"/>
      <c r="J488" s="7"/>
      <c r="K488" s="7"/>
      <c r="L488" s="7"/>
      <c r="M488" s="7"/>
      <c r="N488" s="7"/>
      <c r="O488" s="7"/>
      <c r="P488" s="7"/>
    </row>
    <row r="489" spans="1:16" ht="18.600000000000001" customHeight="1" x14ac:dyDescent="0.2">
      <c r="A489" s="6">
        <f t="shared" si="99"/>
        <v>5</v>
      </c>
      <c r="B489" s="24"/>
      <c r="C489" s="24"/>
      <c r="D489" s="163"/>
      <c r="E489" s="16"/>
      <c r="F489" s="16"/>
      <c r="G489" s="16"/>
      <c r="H489" s="16"/>
      <c r="I489" s="83"/>
      <c r="J489" s="16"/>
      <c r="K489" s="16"/>
      <c r="L489" s="16"/>
      <c r="M489" s="16"/>
      <c r="N489" s="16"/>
      <c r="O489" s="16"/>
      <c r="P489" s="16"/>
    </row>
    <row r="490" spans="1:16" ht="18.600000000000001" customHeight="1" x14ac:dyDescent="0.2">
      <c r="A490" s="56">
        <f t="shared" si="99"/>
        <v>6</v>
      </c>
      <c r="B490" s="25"/>
      <c r="C490" s="25"/>
      <c r="D490" s="163"/>
      <c r="E490" s="2"/>
      <c r="F490" s="2"/>
      <c r="G490" s="2"/>
      <c r="H490" s="2"/>
      <c r="I490" s="84"/>
      <c r="J490" s="2"/>
      <c r="K490" s="2"/>
      <c r="L490" s="2"/>
      <c r="M490" s="2"/>
      <c r="N490" s="2"/>
      <c r="O490" s="2"/>
      <c r="P490" s="2"/>
    </row>
    <row r="491" spans="1:16" ht="18.600000000000001" customHeight="1" x14ac:dyDescent="0.2">
      <c r="A491" s="6">
        <f t="shared" si="99"/>
        <v>7</v>
      </c>
      <c r="B491" s="24"/>
      <c r="C491" s="24"/>
      <c r="D491" s="26"/>
      <c r="E491" s="4"/>
      <c r="F491" s="4"/>
      <c r="G491" s="4"/>
      <c r="H491" s="4"/>
      <c r="I491" s="85"/>
      <c r="J491" s="4"/>
      <c r="K491" s="4"/>
      <c r="L491" s="4"/>
      <c r="M491" s="4"/>
      <c r="N491" s="4"/>
      <c r="O491" s="4"/>
      <c r="P491" s="4"/>
    </row>
    <row r="492" spans="1:16" ht="18.600000000000001" customHeight="1" x14ac:dyDescent="0.2">
      <c r="A492" s="6">
        <f t="shared" si="99"/>
        <v>8</v>
      </c>
      <c r="B492" s="25"/>
      <c r="C492" s="25"/>
      <c r="D492" s="25"/>
      <c r="E492" s="4"/>
      <c r="F492" s="4"/>
      <c r="G492" s="4"/>
      <c r="H492" s="4"/>
      <c r="I492" s="85"/>
      <c r="J492" s="4"/>
      <c r="K492" s="4"/>
      <c r="L492" s="4"/>
      <c r="M492" s="4"/>
      <c r="N492" s="4"/>
      <c r="O492" s="4"/>
      <c r="P492" s="4"/>
    </row>
    <row r="493" spans="1:16" ht="18.600000000000001" customHeight="1" x14ac:dyDescent="0.2">
      <c r="A493" s="6">
        <f t="shared" si="99"/>
        <v>9</v>
      </c>
      <c r="B493" s="24"/>
      <c r="C493" s="24"/>
      <c r="D493" s="163"/>
      <c r="E493" s="4"/>
      <c r="F493" s="4"/>
      <c r="G493" s="4"/>
      <c r="H493" s="4"/>
      <c r="I493" s="85"/>
      <c r="J493" s="4"/>
      <c r="K493" s="4"/>
      <c r="L493" s="4"/>
      <c r="M493" s="4"/>
      <c r="N493" s="4"/>
      <c r="O493" s="4"/>
      <c r="P493" s="4"/>
    </row>
    <row r="494" spans="1:16" ht="18.600000000000001" customHeight="1" x14ac:dyDescent="0.2">
      <c r="A494" s="10">
        <f t="shared" si="99"/>
        <v>10</v>
      </c>
      <c r="B494" s="24"/>
      <c r="C494" s="24"/>
      <c r="D494" s="163"/>
      <c r="E494" s="12"/>
      <c r="F494" s="12"/>
      <c r="G494" s="12"/>
      <c r="H494" s="12"/>
      <c r="I494" s="86"/>
      <c r="J494" s="12"/>
      <c r="K494" s="12"/>
      <c r="L494" s="12"/>
      <c r="M494" s="12"/>
      <c r="N494" s="12"/>
      <c r="O494" s="12"/>
      <c r="P494" s="12"/>
    </row>
    <row r="495" spans="1:16" ht="18.600000000000001" customHeight="1" x14ac:dyDescent="0.2">
      <c r="A495" s="35">
        <f t="shared" si="99"/>
        <v>11</v>
      </c>
      <c r="B495" s="24"/>
      <c r="C495" s="24"/>
      <c r="D495" s="163"/>
      <c r="E495" s="14"/>
      <c r="F495" s="14"/>
      <c r="G495" s="14"/>
      <c r="H495" s="14"/>
      <c r="I495" s="87"/>
      <c r="J495" s="14"/>
      <c r="K495" s="14"/>
      <c r="L495" s="14"/>
      <c r="M495" s="14"/>
      <c r="N495" s="14"/>
      <c r="O495" s="14"/>
      <c r="P495" s="14"/>
    </row>
    <row r="496" spans="1:16" ht="18.600000000000001" customHeight="1" x14ac:dyDescent="0.2">
      <c r="A496" s="7">
        <f t="shared" si="99"/>
        <v>12</v>
      </c>
      <c r="B496" s="25"/>
      <c r="C496" s="25"/>
      <c r="D496" s="25"/>
      <c r="E496" s="4"/>
      <c r="F496" s="4"/>
      <c r="G496" s="4"/>
      <c r="H496" s="4"/>
      <c r="I496" s="85"/>
      <c r="J496" s="4"/>
      <c r="K496" s="4"/>
      <c r="L496" s="4"/>
      <c r="M496" s="4"/>
      <c r="N496" s="4"/>
      <c r="O496" s="4"/>
      <c r="P496" s="4"/>
    </row>
    <row r="497" spans="1:16" ht="18.600000000000001" customHeight="1" x14ac:dyDescent="0.2">
      <c r="A497" s="7">
        <f t="shared" si="99"/>
        <v>13</v>
      </c>
      <c r="B497" s="24"/>
      <c r="C497" s="24"/>
      <c r="D497" s="163"/>
      <c r="E497" s="4"/>
      <c r="F497" s="4"/>
      <c r="G497" s="4"/>
      <c r="H497" s="4"/>
      <c r="I497" s="85"/>
      <c r="J497" s="4"/>
      <c r="K497" s="4"/>
      <c r="L497" s="4"/>
      <c r="M497" s="4"/>
      <c r="N497" s="4"/>
      <c r="O497" s="4"/>
      <c r="P497" s="4"/>
    </row>
    <row r="498" spans="1:16" ht="18.600000000000001" customHeight="1" x14ac:dyDescent="0.2">
      <c r="A498" s="7">
        <f t="shared" si="99"/>
        <v>14</v>
      </c>
      <c r="B498" s="24"/>
      <c r="C498" s="24"/>
      <c r="D498" s="163"/>
      <c r="E498" s="4"/>
      <c r="F498" s="4"/>
      <c r="G498" s="4"/>
      <c r="H498" s="4"/>
      <c r="I498" s="85"/>
      <c r="J498" s="4"/>
      <c r="K498" s="4"/>
      <c r="L498" s="4"/>
      <c r="M498" s="4"/>
      <c r="N498" s="4"/>
      <c r="O498" s="4"/>
      <c r="P498" s="4"/>
    </row>
    <row r="499" spans="1:16" ht="18.600000000000001" customHeight="1" x14ac:dyDescent="0.2">
      <c r="A499" s="6">
        <f t="shared" si="99"/>
        <v>15</v>
      </c>
      <c r="B499" s="24"/>
      <c r="C499" s="24"/>
      <c r="D499" s="163"/>
      <c r="E499" s="16"/>
      <c r="F499" s="16"/>
      <c r="G499" s="16"/>
      <c r="H499" s="16"/>
      <c r="I499" s="83"/>
      <c r="J499" s="16"/>
      <c r="K499" s="16"/>
      <c r="L499" s="16"/>
      <c r="M499" s="16"/>
      <c r="N499" s="16"/>
      <c r="O499" s="16"/>
      <c r="P499" s="16"/>
    </row>
    <row r="500" spans="1:16" ht="18.600000000000001" customHeight="1" x14ac:dyDescent="0.2">
      <c r="A500" s="32">
        <f t="shared" si="99"/>
        <v>16</v>
      </c>
      <c r="B500" s="25"/>
      <c r="C500" s="25"/>
      <c r="D500" s="163"/>
      <c r="E500" s="2"/>
      <c r="F500" s="2"/>
      <c r="G500" s="2"/>
      <c r="H500" s="2"/>
      <c r="I500" s="84"/>
      <c r="J500" s="2"/>
      <c r="K500" s="2"/>
      <c r="L500" s="2"/>
      <c r="M500" s="2"/>
      <c r="N500" s="2"/>
      <c r="O500" s="2"/>
      <c r="P500" s="2"/>
    </row>
    <row r="501" spans="1:16" ht="18.600000000000001" customHeight="1" x14ac:dyDescent="0.2">
      <c r="A501" s="7">
        <f t="shared" si="99"/>
        <v>17</v>
      </c>
      <c r="B501" s="24"/>
      <c r="C501" s="24"/>
      <c r="D501" s="163"/>
      <c r="E501" s="4"/>
      <c r="F501" s="4"/>
      <c r="G501" s="4"/>
      <c r="H501" s="4"/>
      <c r="I501" s="85"/>
      <c r="J501" s="4"/>
      <c r="K501" s="4"/>
      <c r="L501" s="4"/>
      <c r="M501" s="4"/>
      <c r="N501" s="4"/>
      <c r="O501" s="4"/>
      <c r="P501" s="4"/>
    </row>
    <row r="502" spans="1:16" ht="18.600000000000001" customHeight="1" x14ac:dyDescent="0.2">
      <c r="A502" s="7">
        <f t="shared" si="99"/>
        <v>18</v>
      </c>
      <c r="B502" s="24"/>
      <c r="C502" s="24"/>
      <c r="D502" s="163"/>
      <c r="E502" s="4"/>
      <c r="F502" s="4"/>
      <c r="G502" s="4"/>
      <c r="H502" s="4"/>
      <c r="I502" s="85"/>
      <c r="J502" s="4"/>
      <c r="K502" s="4"/>
      <c r="L502" s="4"/>
      <c r="M502" s="4"/>
      <c r="N502" s="4"/>
      <c r="O502" s="4"/>
      <c r="P502" s="4"/>
    </row>
    <row r="503" spans="1:16" ht="18.600000000000001" customHeight="1" x14ac:dyDescent="0.2">
      <c r="A503" s="7">
        <f t="shared" si="99"/>
        <v>19</v>
      </c>
      <c r="B503" s="24"/>
      <c r="C503" s="24"/>
      <c r="D503" s="163"/>
      <c r="E503" s="4"/>
      <c r="F503" s="4"/>
      <c r="G503" s="4"/>
      <c r="H503" s="4"/>
      <c r="I503" s="85"/>
      <c r="J503" s="4"/>
      <c r="K503" s="4"/>
      <c r="L503" s="4"/>
      <c r="M503" s="4"/>
      <c r="N503" s="4"/>
      <c r="O503" s="4"/>
      <c r="P503" s="4"/>
    </row>
    <row r="504" spans="1:16" ht="18.600000000000001" customHeight="1" x14ac:dyDescent="0.2">
      <c r="A504" s="10">
        <f t="shared" si="99"/>
        <v>20</v>
      </c>
      <c r="B504" s="24"/>
      <c r="C504" s="24"/>
      <c r="D504" s="26"/>
      <c r="E504" s="12"/>
      <c r="F504" s="12"/>
      <c r="G504" s="12"/>
      <c r="H504" s="12"/>
      <c r="I504" s="86"/>
      <c r="J504" s="12"/>
      <c r="K504" s="12"/>
      <c r="L504" s="12"/>
      <c r="M504" s="12"/>
      <c r="N504" s="12"/>
      <c r="O504" s="12"/>
      <c r="P504" s="12"/>
    </row>
    <row r="505" spans="1:16" ht="18.600000000000001" customHeight="1" x14ac:dyDescent="0.2">
      <c r="A505" s="35">
        <f t="shared" si="99"/>
        <v>21</v>
      </c>
      <c r="B505" s="24"/>
      <c r="C505" s="24"/>
      <c r="D505" s="163"/>
      <c r="E505" s="14"/>
      <c r="F505" s="14"/>
      <c r="G505" s="14"/>
      <c r="H505" s="14"/>
      <c r="I505" s="87"/>
      <c r="J505" s="14"/>
      <c r="K505" s="14"/>
      <c r="L505" s="14"/>
      <c r="M505" s="14"/>
      <c r="N505" s="14"/>
      <c r="O505" s="14"/>
      <c r="P505" s="14"/>
    </row>
    <row r="506" spans="1:16" ht="18.600000000000001" customHeight="1" x14ac:dyDescent="0.2">
      <c r="A506" s="7">
        <f t="shared" si="99"/>
        <v>22</v>
      </c>
      <c r="B506" s="24"/>
      <c r="C506" s="24"/>
      <c r="D506" s="163"/>
      <c r="E506" s="4"/>
      <c r="F506" s="4"/>
      <c r="G506" s="4"/>
      <c r="H506" s="4"/>
      <c r="I506" s="85"/>
      <c r="J506" s="4"/>
      <c r="K506" s="4"/>
      <c r="L506" s="4"/>
      <c r="M506" s="4"/>
      <c r="N506" s="4"/>
      <c r="O506" s="4"/>
      <c r="P506" s="4"/>
    </row>
    <row r="507" spans="1:16" ht="18.600000000000001" customHeight="1" x14ac:dyDescent="0.2">
      <c r="A507" s="35">
        <f t="shared" si="99"/>
        <v>23</v>
      </c>
      <c r="B507" s="3"/>
      <c r="C507" s="4"/>
      <c r="D507" s="8"/>
      <c r="E507" s="4"/>
      <c r="F507" s="4"/>
      <c r="G507" s="4"/>
      <c r="H507" s="4"/>
      <c r="I507" s="85"/>
      <c r="J507" s="4"/>
      <c r="K507" s="4"/>
      <c r="L507" s="4"/>
      <c r="M507" s="4"/>
      <c r="N507" s="4"/>
      <c r="O507" s="4"/>
      <c r="P507" s="4"/>
    </row>
    <row r="508" spans="1:16" ht="18.600000000000001" customHeight="1" x14ac:dyDescent="0.2">
      <c r="A508" s="7">
        <f t="shared" si="99"/>
        <v>24</v>
      </c>
      <c r="B508" s="3"/>
      <c r="C508" s="4"/>
      <c r="D508" s="8"/>
      <c r="E508" s="4"/>
      <c r="F508" s="4"/>
      <c r="G508" s="4"/>
      <c r="H508" s="4"/>
      <c r="I508" s="85"/>
      <c r="J508" s="4"/>
      <c r="K508" s="4"/>
      <c r="L508" s="4"/>
      <c r="M508" s="4"/>
      <c r="N508" s="4"/>
      <c r="O508" s="4"/>
      <c r="P508" s="4"/>
    </row>
    <row r="509" spans="1:16" ht="18.600000000000001" customHeight="1" x14ac:dyDescent="0.2">
      <c r="A509" s="35">
        <f t="shared" si="99"/>
        <v>25</v>
      </c>
      <c r="B509" s="11"/>
      <c r="C509" s="12"/>
      <c r="D509" s="9"/>
      <c r="E509" s="12"/>
      <c r="F509" s="12"/>
      <c r="G509" s="12"/>
      <c r="H509" s="12"/>
      <c r="I509" s="86"/>
      <c r="J509" s="12"/>
      <c r="K509" s="12"/>
      <c r="L509" s="12"/>
      <c r="M509" s="12"/>
      <c r="N509" s="12"/>
      <c r="O509" s="12"/>
      <c r="P509" s="12"/>
    </row>
    <row r="510" spans="1:16" ht="18.600000000000001" customHeight="1" x14ac:dyDescent="0.3">
      <c r="A510" s="147"/>
      <c r="B510" s="148"/>
      <c r="C510" s="147"/>
      <c r="D510" s="149"/>
      <c r="E510" s="150">
        <f>SUBTOTAL(9,E485:E509)</f>
        <v>0</v>
      </c>
      <c r="F510" s="152"/>
      <c r="G510" s="150">
        <f t="shared" ref="G510" si="100">SUBTOTAL(9,G485:G509)</f>
        <v>0</v>
      </c>
      <c r="H510" s="152"/>
      <c r="I510" s="150">
        <f t="shared" ref="I510" si="101">SUBTOTAL(9,I485:I509)</f>
        <v>0</v>
      </c>
      <c r="J510" s="152"/>
      <c r="K510" s="152"/>
      <c r="L510" s="152"/>
      <c r="M510" s="150">
        <f t="shared" ref="M510" si="102">SUBTOTAL(9,M485:M509)</f>
        <v>0</v>
      </c>
      <c r="N510" s="152"/>
      <c r="O510" s="150">
        <f t="shared" ref="O510" si="103">SUBTOTAL(9,O485:O509)</f>
        <v>0</v>
      </c>
      <c r="P510" s="152"/>
    </row>
    <row r="511" spans="1:16" ht="18.600000000000001" customHeight="1" x14ac:dyDescent="0.2">
      <c r="A511" s="434" t="s">
        <v>1028</v>
      </c>
      <c r="B511" s="434"/>
      <c r="C511" s="434"/>
      <c r="D511" s="434"/>
      <c r="E511" s="434"/>
      <c r="F511" s="434"/>
      <c r="G511" s="434"/>
      <c r="H511" s="434"/>
      <c r="I511" s="92" t="s">
        <v>1321</v>
      </c>
      <c r="J511" s="48"/>
      <c r="K511" s="48"/>
      <c r="L511" s="48"/>
      <c r="M511" s="41"/>
      <c r="N511" s="41"/>
      <c r="O511" s="41"/>
      <c r="P511" s="41"/>
    </row>
    <row r="512" spans="1:16" ht="18.600000000000001" customHeight="1" x14ac:dyDescent="0.2">
      <c r="A512" s="28"/>
      <c r="B512" s="29"/>
      <c r="C512" s="30"/>
      <c r="D512" s="36"/>
      <c r="E512" s="28"/>
      <c r="F512" s="28"/>
      <c r="G512" s="28"/>
      <c r="H512" s="28"/>
      <c r="I512" s="79"/>
      <c r="J512" s="28"/>
      <c r="K512" s="28"/>
      <c r="L512" s="28"/>
      <c r="M512" s="28"/>
      <c r="N512" s="28"/>
      <c r="O512" s="28"/>
      <c r="P512" s="28"/>
    </row>
    <row r="513" spans="1:16" ht="18.600000000000001" customHeight="1" x14ac:dyDescent="0.2">
      <c r="A513" s="435" t="s">
        <v>374</v>
      </c>
      <c r="B513" s="435" t="s">
        <v>380</v>
      </c>
      <c r="C513" s="435" t="s">
        <v>383</v>
      </c>
      <c r="D513" s="437" t="s">
        <v>384</v>
      </c>
      <c r="E513" s="438" t="s">
        <v>385</v>
      </c>
      <c r="F513" s="439"/>
      <c r="G513" s="432" t="str">
        <f>$R$1</f>
        <v>Hè 1</v>
      </c>
      <c r="H513" s="433"/>
      <c r="I513" s="432" t="str">
        <f>$T$1</f>
        <v>Hè 2</v>
      </c>
      <c r="J513" s="433"/>
      <c r="K513" s="432" t="str">
        <f>$V$1</f>
        <v>Hè 3</v>
      </c>
      <c r="L513" s="433"/>
      <c r="M513" s="432" t="str">
        <f>$X$1</f>
        <v>.</v>
      </c>
      <c r="N513" s="433"/>
      <c r="O513" s="432" t="str">
        <f>$Z$1</f>
        <v>.</v>
      </c>
      <c r="P513" s="433"/>
    </row>
    <row r="514" spans="1:16" ht="18.600000000000001" customHeight="1" x14ac:dyDescent="0.2">
      <c r="A514" s="436"/>
      <c r="B514" s="436"/>
      <c r="C514" s="436"/>
      <c r="D514" s="436"/>
      <c r="E514" s="31" t="s">
        <v>381</v>
      </c>
      <c r="F514" s="31" t="s">
        <v>382</v>
      </c>
      <c r="G514" s="31" t="s">
        <v>381</v>
      </c>
      <c r="H514" s="31" t="s">
        <v>382</v>
      </c>
      <c r="I514" s="80" t="s">
        <v>381</v>
      </c>
      <c r="J514" s="31" t="s">
        <v>382</v>
      </c>
      <c r="K514" s="80" t="s">
        <v>381</v>
      </c>
      <c r="L514" s="31" t="s">
        <v>382</v>
      </c>
      <c r="M514" s="31" t="s">
        <v>381</v>
      </c>
      <c r="N514" s="31" t="s">
        <v>382</v>
      </c>
      <c r="O514" s="31" t="s">
        <v>381</v>
      </c>
      <c r="P514" s="31" t="s">
        <v>382</v>
      </c>
    </row>
    <row r="515" spans="1:16" ht="18.600000000000001" customHeight="1" x14ac:dyDescent="0.2">
      <c r="A515" s="32">
        <v>1</v>
      </c>
      <c r="B515" s="24"/>
      <c r="C515" s="24"/>
      <c r="D515" s="163"/>
      <c r="E515" s="32"/>
      <c r="F515" s="34"/>
      <c r="G515" s="32"/>
      <c r="H515" s="93"/>
      <c r="I515" s="81"/>
      <c r="J515" s="34"/>
      <c r="K515" s="34"/>
      <c r="L515" s="34"/>
      <c r="M515" s="32"/>
      <c r="N515" s="34"/>
      <c r="O515" s="32"/>
      <c r="P515" s="34"/>
    </row>
    <row r="516" spans="1:16" ht="18.600000000000001" customHeight="1" x14ac:dyDescent="0.3">
      <c r="A516" s="7">
        <f t="shared" ref="A516:A539" si="104">A515+1</f>
        <v>2</v>
      </c>
      <c r="B516" s="143"/>
      <c r="C516" s="143"/>
      <c r="D516" s="143"/>
      <c r="E516" s="7"/>
      <c r="F516" s="7"/>
      <c r="G516" s="7"/>
      <c r="H516" s="7"/>
      <c r="I516" s="82"/>
      <c r="J516" s="7"/>
      <c r="K516" s="7"/>
      <c r="L516" s="7"/>
      <c r="M516" s="7"/>
      <c r="N516" s="7"/>
      <c r="O516" s="7"/>
      <c r="P516" s="7"/>
    </row>
    <row r="517" spans="1:16" ht="18.600000000000001" customHeight="1" x14ac:dyDescent="0.2">
      <c r="A517" s="7">
        <f t="shared" si="104"/>
        <v>3</v>
      </c>
      <c r="B517" s="24"/>
      <c r="C517" s="24"/>
      <c r="D517" s="163"/>
      <c r="E517" s="7"/>
      <c r="F517" s="7"/>
      <c r="G517" s="7"/>
      <c r="H517" s="7"/>
      <c r="I517" s="82"/>
      <c r="J517" s="7"/>
      <c r="K517" s="7"/>
      <c r="L517" s="7"/>
      <c r="M517" s="7"/>
      <c r="N517" s="7"/>
      <c r="O517" s="7"/>
      <c r="P517" s="7"/>
    </row>
    <row r="518" spans="1:16" ht="18.600000000000001" customHeight="1" x14ac:dyDescent="0.2">
      <c r="A518" s="7">
        <f t="shared" si="104"/>
        <v>4</v>
      </c>
      <c r="B518" s="25"/>
      <c r="C518" s="25"/>
      <c r="D518" s="25"/>
      <c r="E518" s="7"/>
      <c r="F518" s="7"/>
      <c r="G518" s="7"/>
      <c r="H518" s="7"/>
      <c r="I518" s="82"/>
      <c r="J518" s="7"/>
      <c r="K518" s="7"/>
      <c r="L518" s="7"/>
      <c r="M518" s="7"/>
      <c r="N518" s="7"/>
      <c r="O518" s="7"/>
      <c r="P518" s="7"/>
    </row>
    <row r="519" spans="1:16" ht="18.600000000000001" customHeight="1" x14ac:dyDescent="0.2">
      <c r="A519" s="6">
        <f t="shared" si="104"/>
        <v>5</v>
      </c>
      <c r="B519" s="24"/>
      <c r="C519" s="24"/>
      <c r="D519" s="163"/>
      <c r="E519" s="16"/>
      <c r="F519" s="16"/>
      <c r="G519" s="16"/>
      <c r="H519" s="16"/>
      <c r="I519" s="83"/>
      <c r="J519" s="16"/>
      <c r="K519" s="16"/>
      <c r="L519" s="16"/>
      <c r="M519" s="16"/>
      <c r="N519" s="16"/>
      <c r="O519" s="16"/>
      <c r="P519" s="16"/>
    </row>
    <row r="520" spans="1:16" ht="18.600000000000001" customHeight="1" x14ac:dyDescent="0.2">
      <c r="A520" s="56">
        <f t="shared" si="104"/>
        <v>6</v>
      </c>
      <c r="B520" s="25"/>
      <c r="C520" s="25"/>
      <c r="D520" s="163"/>
      <c r="E520" s="2"/>
      <c r="F520" s="2"/>
      <c r="G520" s="2"/>
      <c r="H520" s="2"/>
      <c r="I520" s="84"/>
      <c r="J520" s="2"/>
      <c r="K520" s="2"/>
      <c r="L520" s="2"/>
      <c r="M520" s="2"/>
      <c r="N520" s="2"/>
      <c r="O520" s="2"/>
      <c r="P520" s="2"/>
    </row>
    <row r="521" spans="1:16" ht="18.600000000000001" customHeight="1" x14ac:dyDescent="0.3">
      <c r="A521" s="6">
        <f t="shared" si="104"/>
        <v>7</v>
      </c>
      <c r="B521" s="143"/>
      <c r="C521" s="143"/>
      <c r="D521" s="143"/>
      <c r="E521" s="4"/>
      <c r="F521" s="4"/>
      <c r="G521" s="4"/>
      <c r="H521" s="4"/>
      <c r="I521" s="85"/>
      <c r="J521" s="4"/>
      <c r="K521" s="4"/>
      <c r="L521" s="4"/>
      <c r="M521" s="4"/>
      <c r="N521" s="4"/>
      <c r="O521" s="4"/>
      <c r="P521" s="4"/>
    </row>
    <row r="522" spans="1:16" ht="18.600000000000001" customHeight="1" x14ac:dyDescent="0.2">
      <c r="A522" s="6">
        <f t="shared" si="104"/>
        <v>8</v>
      </c>
      <c r="B522" s="24"/>
      <c r="C522" s="24"/>
      <c r="D522" s="163"/>
      <c r="E522" s="4"/>
      <c r="F522" s="4"/>
      <c r="G522" s="4"/>
      <c r="H522" s="4"/>
      <c r="I522" s="85"/>
      <c r="J522" s="4"/>
      <c r="K522" s="4"/>
      <c r="L522" s="4"/>
      <c r="M522" s="4"/>
      <c r="N522" s="4"/>
      <c r="O522" s="4"/>
      <c r="P522" s="4"/>
    </row>
    <row r="523" spans="1:16" ht="18.600000000000001" customHeight="1" x14ac:dyDescent="0.2">
      <c r="A523" s="6">
        <f t="shared" si="104"/>
        <v>9</v>
      </c>
      <c r="B523" s="24"/>
      <c r="C523" s="24"/>
      <c r="D523" s="163"/>
      <c r="E523" s="4"/>
      <c r="F523" s="4"/>
      <c r="G523" s="4"/>
      <c r="H523" s="4"/>
      <c r="I523" s="85"/>
      <c r="J523" s="4"/>
      <c r="K523" s="4"/>
      <c r="L523" s="4"/>
      <c r="M523" s="4"/>
      <c r="N523" s="4"/>
      <c r="O523" s="4"/>
      <c r="P523" s="4"/>
    </row>
    <row r="524" spans="1:16" ht="18.600000000000001" customHeight="1" x14ac:dyDescent="0.2">
      <c r="A524" s="10">
        <f t="shared" si="104"/>
        <v>10</v>
      </c>
      <c r="B524" s="24"/>
      <c r="C524" s="24"/>
      <c r="D524" s="163"/>
      <c r="E524" s="12"/>
      <c r="F524" s="12"/>
      <c r="G524" s="12"/>
      <c r="H524" s="12"/>
      <c r="I524" s="86"/>
      <c r="J524" s="12"/>
      <c r="K524" s="12"/>
      <c r="L524" s="12"/>
      <c r="M524" s="12"/>
      <c r="N524" s="12"/>
      <c r="O524" s="12"/>
      <c r="P524" s="12"/>
    </row>
    <row r="525" spans="1:16" ht="18.600000000000001" customHeight="1" x14ac:dyDescent="0.2">
      <c r="A525" s="35">
        <f t="shared" si="104"/>
        <v>11</v>
      </c>
      <c r="B525" s="24"/>
      <c r="C525" s="24"/>
      <c r="D525" s="163"/>
      <c r="E525" s="14"/>
      <c r="F525" s="14"/>
      <c r="G525" s="14"/>
      <c r="H525" s="14"/>
      <c r="I525" s="87"/>
      <c r="J525" s="14"/>
      <c r="K525" s="14"/>
      <c r="L525" s="14"/>
      <c r="M525" s="14"/>
      <c r="N525" s="14"/>
      <c r="O525" s="14"/>
      <c r="P525" s="14"/>
    </row>
    <row r="526" spans="1:16" ht="18.600000000000001" customHeight="1" x14ac:dyDescent="0.2">
      <c r="A526" s="7">
        <f t="shared" si="104"/>
        <v>12</v>
      </c>
      <c r="B526" s="24"/>
      <c r="C526" s="24"/>
      <c r="D526" s="163"/>
      <c r="E526" s="4"/>
      <c r="F526" s="4"/>
      <c r="G526" s="4"/>
      <c r="H526" s="4"/>
      <c r="I526" s="85"/>
      <c r="J526" s="4"/>
      <c r="K526" s="4"/>
      <c r="L526" s="4"/>
      <c r="M526" s="4"/>
      <c r="N526" s="4"/>
      <c r="O526" s="4"/>
      <c r="P526" s="4"/>
    </row>
    <row r="527" spans="1:16" ht="18.600000000000001" customHeight="1" x14ac:dyDescent="0.2">
      <c r="A527" s="7">
        <f t="shared" si="104"/>
        <v>13</v>
      </c>
      <c r="B527" s="24"/>
      <c r="C527" s="24"/>
      <c r="D527" s="163"/>
      <c r="E527" s="4"/>
      <c r="F527" s="4"/>
      <c r="G527" s="4"/>
      <c r="H527" s="4"/>
      <c r="I527" s="85"/>
      <c r="J527" s="4"/>
      <c r="K527" s="4"/>
      <c r="L527" s="4"/>
      <c r="M527" s="4"/>
      <c r="N527" s="4"/>
      <c r="O527" s="4"/>
      <c r="P527" s="4"/>
    </row>
    <row r="528" spans="1:16" ht="18.600000000000001" customHeight="1" x14ac:dyDescent="0.2">
      <c r="A528" s="7">
        <f t="shared" si="104"/>
        <v>14</v>
      </c>
      <c r="B528" s="24"/>
      <c r="C528" s="24"/>
      <c r="D528" s="24"/>
      <c r="E528" s="4"/>
      <c r="F528" s="4"/>
      <c r="G528" s="4"/>
      <c r="H528" s="4"/>
      <c r="I528" s="85"/>
      <c r="J528" s="4"/>
      <c r="K528" s="4"/>
      <c r="L528" s="4"/>
      <c r="M528" s="4"/>
      <c r="N528" s="4"/>
      <c r="O528" s="4"/>
      <c r="P528" s="4"/>
    </row>
    <row r="529" spans="1:16" ht="18.600000000000001" customHeight="1" x14ac:dyDescent="0.3">
      <c r="A529" s="6">
        <f t="shared" si="104"/>
        <v>15</v>
      </c>
      <c r="B529" s="160"/>
      <c r="C529" s="143"/>
      <c r="D529" s="143"/>
      <c r="E529" s="16"/>
      <c r="F529" s="16"/>
      <c r="G529" s="16"/>
      <c r="H529" s="16"/>
      <c r="I529" s="83"/>
      <c r="J529" s="16"/>
      <c r="K529" s="16"/>
      <c r="L529" s="16"/>
      <c r="M529" s="16"/>
      <c r="N529" s="16"/>
      <c r="O529" s="16"/>
      <c r="P529" s="16"/>
    </row>
    <row r="530" spans="1:16" ht="18.600000000000001" customHeight="1" x14ac:dyDescent="0.2">
      <c r="A530" s="32">
        <f t="shared" si="104"/>
        <v>16</v>
      </c>
      <c r="B530" s="25"/>
      <c r="C530" s="25"/>
      <c r="D530" s="24"/>
      <c r="E530" s="2"/>
      <c r="F530" s="2"/>
      <c r="G530" s="2"/>
      <c r="H530" s="2"/>
      <c r="I530" s="84"/>
      <c r="J530" s="2"/>
      <c r="K530" s="2"/>
      <c r="L530" s="2"/>
      <c r="M530" s="2"/>
      <c r="N530" s="2"/>
      <c r="O530" s="2"/>
      <c r="P530" s="2"/>
    </row>
    <row r="531" spans="1:16" ht="18.600000000000001" customHeight="1" x14ac:dyDescent="0.2">
      <c r="A531" s="7">
        <f t="shared" si="104"/>
        <v>17</v>
      </c>
      <c r="B531" s="24"/>
      <c r="C531" s="24"/>
      <c r="D531" s="163"/>
      <c r="E531" s="4"/>
      <c r="F531" s="4"/>
      <c r="G531" s="4"/>
      <c r="H531" s="4"/>
      <c r="I531" s="85"/>
      <c r="J531" s="4"/>
      <c r="K531" s="4"/>
      <c r="L531" s="4"/>
      <c r="M531" s="4"/>
      <c r="N531" s="4"/>
      <c r="O531" s="4"/>
      <c r="P531" s="4"/>
    </row>
    <row r="532" spans="1:16" ht="18.600000000000001" customHeight="1" x14ac:dyDescent="0.3">
      <c r="A532" s="7">
        <f t="shared" si="104"/>
        <v>18</v>
      </c>
      <c r="B532" s="143"/>
      <c r="C532" s="143"/>
      <c r="D532" s="143"/>
      <c r="E532" s="4"/>
      <c r="F532" s="4"/>
      <c r="G532" s="4"/>
      <c r="H532" s="4"/>
      <c r="I532" s="85"/>
      <c r="J532" s="4"/>
      <c r="K532" s="4"/>
      <c r="L532" s="4"/>
      <c r="M532" s="4"/>
      <c r="N532" s="4"/>
      <c r="O532" s="4"/>
      <c r="P532" s="4"/>
    </row>
    <row r="533" spans="1:16" ht="18.600000000000001" customHeight="1" x14ac:dyDescent="0.2">
      <c r="A533" s="7">
        <f t="shared" si="104"/>
        <v>19</v>
      </c>
      <c r="B533" s="24"/>
      <c r="C533" s="24"/>
      <c r="D533" s="163"/>
      <c r="E533" s="4"/>
      <c r="F533" s="4"/>
      <c r="G533" s="4"/>
      <c r="H533" s="4"/>
      <c r="I533" s="85"/>
      <c r="J533" s="4"/>
      <c r="K533" s="4"/>
      <c r="L533" s="4"/>
      <c r="M533" s="4"/>
      <c r="N533" s="4"/>
      <c r="O533" s="4"/>
      <c r="P533" s="4"/>
    </row>
    <row r="534" spans="1:16" ht="18.600000000000001" customHeight="1" x14ac:dyDescent="0.2">
      <c r="A534" s="10">
        <f t="shared" si="104"/>
        <v>20</v>
      </c>
      <c r="B534" s="24"/>
      <c r="C534" s="24"/>
      <c r="D534" s="163"/>
      <c r="E534" s="12"/>
      <c r="F534" s="12"/>
      <c r="G534" s="12"/>
      <c r="H534" s="12"/>
      <c r="I534" s="86"/>
      <c r="J534" s="12"/>
      <c r="K534" s="12"/>
      <c r="L534" s="12"/>
      <c r="M534" s="12"/>
      <c r="N534" s="12"/>
      <c r="O534" s="12"/>
      <c r="P534" s="12"/>
    </row>
    <row r="535" spans="1:16" ht="18.600000000000001" customHeight="1" x14ac:dyDescent="0.2">
      <c r="A535" s="35">
        <f t="shared" si="104"/>
        <v>21</v>
      </c>
      <c r="B535" s="24"/>
      <c r="C535" s="24"/>
      <c r="D535" s="163"/>
      <c r="E535" s="14"/>
      <c r="F535" s="14"/>
      <c r="G535" s="14"/>
      <c r="H535" s="14"/>
      <c r="I535" s="87"/>
      <c r="J535" s="14"/>
      <c r="K535" s="14"/>
      <c r="L535" s="14"/>
      <c r="M535" s="14"/>
      <c r="N535" s="14"/>
      <c r="O535" s="14"/>
      <c r="P535" s="14"/>
    </row>
    <row r="536" spans="1:16" ht="18.600000000000001" customHeight="1" x14ac:dyDescent="0.2">
      <c r="A536" s="7">
        <f t="shared" si="104"/>
        <v>22</v>
      </c>
      <c r="B536" s="24"/>
      <c r="C536" s="24"/>
      <c r="D536" s="163"/>
      <c r="E536" s="4"/>
      <c r="F536" s="4"/>
      <c r="G536" s="4"/>
      <c r="H536" s="4"/>
      <c r="I536" s="85"/>
      <c r="J536" s="4"/>
      <c r="K536" s="4"/>
      <c r="L536" s="4"/>
      <c r="M536" s="4"/>
      <c r="N536" s="4"/>
      <c r="O536" s="4"/>
      <c r="P536" s="4"/>
    </row>
    <row r="537" spans="1:16" ht="18.600000000000001" customHeight="1" x14ac:dyDescent="0.2">
      <c r="A537" s="35">
        <f t="shared" si="104"/>
        <v>23</v>
      </c>
      <c r="B537" s="24"/>
      <c r="C537" s="24"/>
      <c r="D537" s="163"/>
      <c r="E537" s="4"/>
      <c r="F537" s="4"/>
      <c r="G537" s="4"/>
      <c r="H537" s="4"/>
      <c r="I537" s="85"/>
      <c r="J537" s="4"/>
      <c r="K537" s="4"/>
      <c r="L537" s="4"/>
      <c r="M537" s="4"/>
      <c r="N537" s="4"/>
      <c r="O537" s="4"/>
      <c r="P537" s="4"/>
    </row>
    <row r="538" spans="1:16" ht="18.600000000000001" customHeight="1" x14ac:dyDescent="0.2">
      <c r="A538" s="7">
        <f t="shared" si="104"/>
        <v>24</v>
      </c>
      <c r="B538" s="25"/>
      <c r="C538" s="25"/>
      <c r="D538" s="163"/>
      <c r="E538" s="4"/>
      <c r="F538" s="4"/>
      <c r="G538" s="4"/>
      <c r="H538" s="4"/>
      <c r="I538" s="85"/>
      <c r="J538" s="4"/>
      <c r="K538" s="4"/>
      <c r="L538" s="4"/>
      <c r="M538" s="4"/>
      <c r="N538" s="4"/>
      <c r="O538" s="4"/>
      <c r="P538" s="4"/>
    </row>
    <row r="539" spans="1:16" ht="18.600000000000001" customHeight="1" x14ac:dyDescent="0.2">
      <c r="A539" s="35">
        <f t="shared" si="104"/>
        <v>25</v>
      </c>
      <c r="B539" s="24"/>
      <c r="C539" s="24"/>
      <c r="D539" s="163"/>
      <c r="E539" s="12"/>
      <c r="F539" s="12"/>
      <c r="G539" s="12"/>
      <c r="H539" s="12"/>
      <c r="I539" s="86"/>
      <c r="J539" s="12"/>
      <c r="K539" s="12"/>
      <c r="L539" s="12"/>
      <c r="M539" s="12"/>
      <c r="N539" s="12"/>
      <c r="O539" s="12"/>
      <c r="P539" s="12"/>
    </row>
    <row r="540" spans="1:16" ht="18.600000000000001" customHeight="1" x14ac:dyDescent="0.3">
      <c r="A540" s="147"/>
      <c r="B540" s="148"/>
      <c r="C540" s="147"/>
      <c r="D540" s="149"/>
      <c r="E540" s="150">
        <f>SUBTOTAL(9,E515:E539)</f>
        <v>0</v>
      </c>
      <c r="F540" s="152"/>
      <c r="G540" s="150">
        <f t="shared" ref="G540" si="105">SUBTOTAL(9,G515:G539)</f>
        <v>0</v>
      </c>
      <c r="H540" s="152"/>
      <c r="I540" s="150">
        <f t="shared" ref="I540" si="106">SUBTOTAL(9,I515:I539)</f>
        <v>0</v>
      </c>
      <c r="J540" s="152"/>
      <c r="K540" s="152"/>
      <c r="L540" s="152"/>
      <c r="M540" s="150">
        <f t="shared" ref="M540" si="107">SUBTOTAL(9,M515:M539)</f>
        <v>0</v>
      </c>
      <c r="N540" s="152"/>
      <c r="O540" s="150">
        <f t="shared" ref="O540" si="108">SUBTOTAL(9,O515:O539)</f>
        <v>0</v>
      </c>
      <c r="P540" s="152"/>
    </row>
    <row r="541" spans="1:16" ht="18.600000000000001" customHeight="1" x14ac:dyDescent="0.2">
      <c r="A541" s="434" t="str">
        <f>A511</f>
        <v>DANH SÁCH LỚP KET</v>
      </c>
      <c r="B541" s="434"/>
      <c r="C541" s="434"/>
      <c r="D541" s="434"/>
      <c r="E541" s="434"/>
      <c r="F541" s="434"/>
      <c r="G541" s="434"/>
      <c r="H541" s="434"/>
      <c r="I541" s="92" t="s">
        <v>1032</v>
      </c>
      <c r="J541" s="48"/>
      <c r="K541" s="48"/>
      <c r="L541" s="48"/>
      <c r="M541" s="41"/>
      <c r="N541" s="41"/>
      <c r="O541" s="41"/>
      <c r="P541" s="41"/>
    </row>
    <row r="542" spans="1:16" ht="18.600000000000001" customHeight="1" x14ac:dyDescent="0.2">
      <c r="A542" s="28"/>
      <c r="B542" s="29"/>
      <c r="C542" s="30"/>
      <c r="D542" s="36"/>
      <c r="E542" s="28"/>
      <c r="F542" s="28"/>
      <c r="G542" s="28"/>
      <c r="H542" s="28"/>
      <c r="I542" s="79"/>
      <c r="J542" s="28"/>
      <c r="K542" s="28"/>
      <c r="L542" s="28"/>
      <c r="M542" s="28"/>
      <c r="N542" s="28"/>
      <c r="O542" s="28"/>
      <c r="P542" s="28"/>
    </row>
    <row r="543" spans="1:16" ht="18.600000000000001" customHeight="1" x14ac:dyDescent="0.2">
      <c r="A543" s="435" t="s">
        <v>374</v>
      </c>
      <c r="B543" s="435" t="s">
        <v>380</v>
      </c>
      <c r="C543" s="435" t="s">
        <v>383</v>
      </c>
      <c r="D543" s="437" t="s">
        <v>384</v>
      </c>
      <c r="E543" s="438" t="s">
        <v>385</v>
      </c>
      <c r="F543" s="439"/>
      <c r="G543" s="432" t="str">
        <f>$R$1</f>
        <v>Hè 1</v>
      </c>
      <c r="H543" s="433"/>
      <c r="I543" s="432" t="str">
        <f>$T$1</f>
        <v>Hè 2</v>
      </c>
      <c r="J543" s="433"/>
      <c r="K543" s="432" t="str">
        <f>$V$1</f>
        <v>Hè 3</v>
      </c>
      <c r="L543" s="433"/>
      <c r="M543" s="432" t="str">
        <f>$X$1</f>
        <v>.</v>
      </c>
      <c r="N543" s="433"/>
      <c r="O543" s="432" t="str">
        <f>$Z$1</f>
        <v>.</v>
      </c>
      <c r="P543" s="433"/>
    </row>
    <row r="544" spans="1:16" ht="18.600000000000001" customHeight="1" x14ac:dyDescent="0.2">
      <c r="A544" s="436"/>
      <c r="B544" s="436"/>
      <c r="C544" s="436"/>
      <c r="D544" s="436"/>
      <c r="E544" s="31" t="s">
        <v>381</v>
      </c>
      <c r="F544" s="31" t="s">
        <v>382</v>
      </c>
      <c r="G544" s="31" t="s">
        <v>381</v>
      </c>
      <c r="H544" s="31" t="s">
        <v>382</v>
      </c>
      <c r="I544" s="80" t="s">
        <v>381</v>
      </c>
      <c r="J544" s="31" t="s">
        <v>382</v>
      </c>
      <c r="K544" s="80" t="s">
        <v>381</v>
      </c>
      <c r="L544" s="31" t="s">
        <v>382</v>
      </c>
      <c r="M544" s="31" t="s">
        <v>381</v>
      </c>
      <c r="N544" s="31" t="s">
        <v>382</v>
      </c>
      <c r="O544" s="31" t="s">
        <v>381</v>
      </c>
      <c r="P544" s="31" t="s">
        <v>382</v>
      </c>
    </row>
    <row r="545" spans="1:16" ht="18.600000000000001" customHeight="1" x14ac:dyDescent="0.2">
      <c r="A545" s="32">
        <v>1</v>
      </c>
      <c r="B545" s="25"/>
      <c r="C545" s="25"/>
      <c r="D545" s="163"/>
      <c r="E545" s="32"/>
      <c r="F545" s="34"/>
      <c r="G545" s="32"/>
      <c r="H545" s="93"/>
      <c r="I545" s="81"/>
      <c r="J545" s="34"/>
      <c r="K545" s="34"/>
      <c r="L545" s="34"/>
      <c r="M545" s="32"/>
      <c r="N545" s="34"/>
      <c r="O545" s="32"/>
      <c r="P545" s="34"/>
    </row>
    <row r="546" spans="1:16" ht="18.600000000000001" customHeight="1" x14ac:dyDescent="0.2">
      <c r="A546" s="7">
        <f t="shared" ref="A546:A569" si="109">A545+1</f>
        <v>2</v>
      </c>
      <c r="B546" s="24"/>
      <c r="C546" s="24"/>
      <c r="D546" s="163"/>
      <c r="E546" s="7"/>
      <c r="F546" s="7"/>
      <c r="G546" s="7"/>
      <c r="H546" s="7"/>
      <c r="I546" s="82"/>
      <c r="J546" s="7"/>
      <c r="K546" s="7"/>
      <c r="L546" s="7"/>
      <c r="M546" s="7"/>
      <c r="N546" s="7"/>
      <c r="O546" s="7"/>
      <c r="P546" s="7"/>
    </row>
    <row r="547" spans="1:16" ht="18.600000000000001" customHeight="1" x14ac:dyDescent="0.2">
      <c r="A547" s="7">
        <f t="shared" si="109"/>
        <v>3</v>
      </c>
      <c r="B547" s="25"/>
      <c r="C547" s="25"/>
      <c r="D547" s="163"/>
      <c r="E547" s="7"/>
      <c r="F547" s="7"/>
      <c r="G547" s="7"/>
      <c r="H547" s="7"/>
      <c r="I547" s="82"/>
      <c r="J547" s="7"/>
      <c r="K547" s="7"/>
      <c r="L547" s="7"/>
      <c r="M547" s="7"/>
      <c r="N547" s="7"/>
      <c r="O547" s="7"/>
      <c r="P547" s="7"/>
    </row>
    <row r="548" spans="1:16" ht="18.600000000000001" customHeight="1" x14ac:dyDescent="0.2">
      <c r="A548" s="7">
        <f t="shared" si="109"/>
        <v>4</v>
      </c>
      <c r="B548" s="24"/>
      <c r="C548" s="24"/>
      <c r="D548" s="163"/>
      <c r="E548" s="7"/>
      <c r="F548" s="7"/>
      <c r="G548" s="7"/>
      <c r="H548" s="7"/>
      <c r="I548" s="82"/>
      <c r="J548" s="7"/>
      <c r="K548" s="7"/>
      <c r="L548" s="7"/>
      <c r="M548" s="7"/>
      <c r="N548" s="7"/>
      <c r="O548" s="7"/>
      <c r="P548" s="7"/>
    </row>
    <row r="549" spans="1:16" ht="18.600000000000001" customHeight="1" x14ac:dyDescent="0.2">
      <c r="A549" s="6">
        <f t="shared" si="109"/>
        <v>5</v>
      </c>
      <c r="B549" s="24"/>
      <c r="C549" s="24"/>
      <c r="D549" s="25"/>
      <c r="E549" s="16"/>
      <c r="F549" s="16"/>
      <c r="G549" s="16"/>
      <c r="H549" s="16"/>
      <c r="I549" s="83"/>
      <c r="J549" s="16"/>
      <c r="K549" s="16"/>
      <c r="L549" s="16"/>
      <c r="M549" s="16"/>
      <c r="N549" s="16"/>
      <c r="O549" s="16"/>
      <c r="P549" s="16"/>
    </row>
    <row r="550" spans="1:16" ht="18.600000000000001" customHeight="1" x14ac:dyDescent="0.2">
      <c r="A550" s="56">
        <f t="shared" si="109"/>
        <v>6</v>
      </c>
      <c r="B550" s="25"/>
      <c r="C550" s="25"/>
      <c r="D550" s="163"/>
      <c r="E550" s="2"/>
      <c r="F550" s="2"/>
      <c r="G550" s="2"/>
      <c r="H550" s="2"/>
      <c r="I550" s="84"/>
      <c r="J550" s="2"/>
      <c r="K550" s="2"/>
      <c r="L550" s="2"/>
      <c r="M550" s="2"/>
      <c r="N550" s="2"/>
      <c r="O550" s="2"/>
      <c r="P550" s="2"/>
    </row>
    <row r="551" spans="1:16" ht="18.600000000000001" customHeight="1" x14ac:dyDescent="0.2">
      <c r="A551" s="6">
        <f t="shared" si="109"/>
        <v>7</v>
      </c>
      <c r="B551" s="24"/>
      <c r="C551" s="24"/>
      <c r="D551" s="163"/>
      <c r="E551" s="4"/>
      <c r="F551" s="4"/>
      <c r="G551" s="4"/>
      <c r="H551" s="4"/>
      <c r="I551" s="85"/>
      <c r="J551" s="4"/>
      <c r="K551" s="4"/>
      <c r="L551" s="4"/>
      <c r="M551" s="4"/>
      <c r="N551" s="4"/>
      <c r="O551" s="4"/>
      <c r="P551" s="4"/>
    </row>
    <row r="552" spans="1:16" ht="18.600000000000001" customHeight="1" x14ac:dyDescent="0.2">
      <c r="A552" s="6">
        <f t="shared" si="109"/>
        <v>8</v>
      </c>
      <c r="B552" s="24"/>
      <c r="C552" s="24"/>
      <c r="D552" s="163"/>
      <c r="E552" s="4"/>
      <c r="F552" s="4"/>
      <c r="G552" s="4"/>
      <c r="H552" s="4"/>
      <c r="I552" s="85"/>
      <c r="J552" s="4"/>
      <c r="K552" s="4"/>
      <c r="L552" s="4"/>
      <c r="M552" s="4"/>
      <c r="N552" s="4"/>
      <c r="O552" s="4"/>
      <c r="P552" s="4"/>
    </row>
    <row r="553" spans="1:16" ht="18.600000000000001" customHeight="1" x14ac:dyDescent="0.2">
      <c r="A553" s="6">
        <f t="shared" si="109"/>
        <v>9</v>
      </c>
      <c r="B553" s="24"/>
      <c r="C553" s="24"/>
      <c r="D553" s="163"/>
      <c r="E553" s="4"/>
      <c r="F553" s="4"/>
      <c r="G553" s="4"/>
      <c r="H553" s="4"/>
      <c r="I553" s="85"/>
      <c r="J553" s="4"/>
      <c r="K553" s="4"/>
      <c r="L553" s="4"/>
      <c r="M553" s="4"/>
      <c r="N553" s="4"/>
      <c r="O553" s="4"/>
      <c r="P553" s="4"/>
    </row>
    <row r="554" spans="1:16" ht="18.600000000000001" customHeight="1" x14ac:dyDescent="0.2">
      <c r="A554" s="10">
        <f t="shared" si="109"/>
        <v>10</v>
      </c>
      <c r="B554" s="24"/>
      <c r="C554" s="24"/>
      <c r="D554" s="163"/>
      <c r="E554" s="12"/>
      <c r="F554" s="12"/>
      <c r="G554" s="12"/>
      <c r="H554" s="12"/>
      <c r="I554" s="86"/>
      <c r="J554" s="12"/>
      <c r="K554" s="12"/>
      <c r="L554" s="12"/>
      <c r="M554" s="12"/>
      <c r="N554" s="12"/>
      <c r="O554" s="12"/>
      <c r="P554" s="12"/>
    </row>
    <row r="555" spans="1:16" ht="18.600000000000001" customHeight="1" x14ac:dyDescent="0.2">
      <c r="A555" s="35">
        <f t="shared" si="109"/>
        <v>11</v>
      </c>
      <c r="B555" s="24"/>
      <c r="C555" s="24"/>
      <c r="D555" s="163"/>
      <c r="E555" s="14"/>
      <c r="F555" s="14"/>
      <c r="G555" s="14"/>
      <c r="H555" s="14"/>
      <c r="I555" s="87"/>
      <c r="J555" s="14"/>
      <c r="K555" s="14"/>
      <c r="L555" s="14"/>
      <c r="M555" s="14"/>
      <c r="N555" s="14"/>
      <c r="O555" s="14"/>
      <c r="P555" s="14"/>
    </row>
    <row r="556" spans="1:16" ht="18.600000000000001" customHeight="1" x14ac:dyDescent="0.2">
      <c r="A556" s="7">
        <f t="shared" si="109"/>
        <v>12</v>
      </c>
      <c r="B556" s="24"/>
      <c r="C556" s="24"/>
      <c r="D556" s="163"/>
      <c r="E556" s="4"/>
      <c r="F556" s="4"/>
      <c r="G556" s="4"/>
      <c r="H556" s="4"/>
      <c r="I556" s="85"/>
      <c r="J556" s="4"/>
      <c r="K556" s="4"/>
      <c r="L556" s="4"/>
      <c r="M556" s="4"/>
      <c r="N556" s="4"/>
      <c r="O556" s="4"/>
      <c r="P556" s="4"/>
    </row>
    <row r="557" spans="1:16" ht="18.600000000000001" customHeight="1" x14ac:dyDescent="0.2">
      <c r="A557" s="7">
        <f t="shared" si="109"/>
        <v>13</v>
      </c>
      <c r="B557" s="25"/>
      <c r="C557" s="25"/>
      <c r="D557" s="163"/>
      <c r="E557" s="4"/>
      <c r="F557" s="4"/>
      <c r="G557" s="4"/>
      <c r="H557" s="4"/>
      <c r="I557" s="85"/>
      <c r="J557" s="4"/>
      <c r="K557" s="4"/>
      <c r="L557" s="4"/>
      <c r="M557" s="4"/>
      <c r="N557" s="4"/>
      <c r="O557" s="4"/>
      <c r="P557" s="4"/>
    </row>
    <row r="558" spans="1:16" ht="18.600000000000001" customHeight="1" x14ac:dyDescent="0.3">
      <c r="A558" s="7">
        <f t="shared" si="109"/>
        <v>14</v>
      </c>
      <c r="B558" s="143"/>
      <c r="C558" s="143"/>
      <c r="D558" s="143"/>
      <c r="E558" s="4"/>
      <c r="F558" s="4"/>
      <c r="G558" s="4"/>
      <c r="H558" s="4"/>
      <c r="I558" s="85"/>
      <c r="J558" s="4"/>
      <c r="K558" s="4"/>
      <c r="L558" s="4"/>
      <c r="M558" s="4"/>
      <c r="N558" s="4"/>
      <c r="O558" s="4"/>
      <c r="P558" s="4"/>
    </row>
    <row r="559" spans="1:16" ht="18.600000000000001" customHeight="1" x14ac:dyDescent="0.2">
      <c r="A559" s="6">
        <f t="shared" si="109"/>
        <v>15</v>
      </c>
      <c r="B559" s="25"/>
      <c r="C559" s="25"/>
      <c r="D559" s="163"/>
      <c r="E559" s="16"/>
      <c r="F559" s="16"/>
      <c r="G559" s="16"/>
      <c r="H559" s="16"/>
      <c r="I559" s="83"/>
      <c r="J559" s="16"/>
      <c r="K559" s="16"/>
      <c r="L559" s="16"/>
      <c r="M559" s="16"/>
      <c r="N559" s="16"/>
      <c r="O559" s="16"/>
      <c r="P559" s="16"/>
    </row>
    <row r="560" spans="1:16" ht="18.600000000000001" customHeight="1" x14ac:dyDescent="0.2">
      <c r="A560" s="32">
        <f t="shared" si="109"/>
        <v>16</v>
      </c>
      <c r="B560" s="24"/>
      <c r="C560" s="24"/>
      <c r="D560" s="163"/>
      <c r="E560" s="2"/>
      <c r="F560" s="2"/>
      <c r="G560" s="2"/>
      <c r="H560" s="2"/>
      <c r="I560" s="84"/>
      <c r="J560" s="2"/>
      <c r="K560" s="2"/>
      <c r="L560" s="2"/>
      <c r="M560" s="2"/>
      <c r="N560" s="2"/>
      <c r="O560" s="2"/>
      <c r="P560" s="2"/>
    </row>
    <row r="561" spans="1:16" ht="18.600000000000001" customHeight="1" x14ac:dyDescent="0.2">
      <c r="A561" s="7">
        <f t="shared" si="109"/>
        <v>17</v>
      </c>
      <c r="B561" s="24"/>
      <c r="C561" s="24"/>
      <c r="D561" s="25"/>
      <c r="E561" s="4"/>
      <c r="F561" s="4"/>
      <c r="G561" s="4"/>
      <c r="H561" s="4"/>
      <c r="I561" s="85"/>
      <c r="J561" s="4"/>
      <c r="K561" s="4"/>
      <c r="L561" s="4"/>
      <c r="M561" s="4"/>
      <c r="N561" s="4"/>
      <c r="O561" s="4"/>
      <c r="P561" s="4"/>
    </row>
    <row r="562" spans="1:16" ht="18.600000000000001" customHeight="1" x14ac:dyDescent="0.2">
      <c r="A562" s="7">
        <f t="shared" si="109"/>
        <v>18</v>
      </c>
      <c r="B562" s="24"/>
      <c r="C562" s="24"/>
      <c r="D562" s="163"/>
      <c r="E562" s="4"/>
      <c r="F562" s="4"/>
      <c r="G562" s="4"/>
      <c r="H562" s="4"/>
      <c r="I562" s="85"/>
      <c r="J562" s="4"/>
      <c r="K562" s="4"/>
      <c r="L562" s="4"/>
      <c r="M562" s="4"/>
      <c r="N562" s="4"/>
      <c r="O562" s="4"/>
      <c r="P562" s="4"/>
    </row>
    <row r="563" spans="1:16" ht="18.600000000000001" customHeight="1" x14ac:dyDescent="0.2">
      <c r="A563" s="7">
        <f t="shared" si="109"/>
        <v>19</v>
      </c>
      <c r="B563" s="24"/>
      <c r="C563" s="24"/>
      <c r="D563" s="163"/>
      <c r="E563" s="4"/>
      <c r="F563" s="4"/>
      <c r="G563" s="4"/>
      <c r="H563" s="4"/>
      <c r="I563" s="85"/>
      <c r="J563" s="4"/>
      <c r="K563" s="4"/>
      <c r="L563" s="4"/>
      <c r="M563" s="4"/>
      <c r="N563" s="4"/>
      <c r="O563" s="4"/>
      <c r="P563" s="4"/>
    </row>
    <row r="564" spans="1:16" ht="18.600000000000001" customHeight="1" x14ac:dyDescent="0.3">
      <c r="A564" s="10">
        <f t="shared" si="109"/>
        <v>20</v>
      </c>
      <c r="B564" s="143"/>
      <c r="C564" s="143"/>
      <c r="D564" s="143"/>
      <c r="E564" s="12"/>
      <c r="F564" s="12"/>
      <c r="G564" s="12"/>
      <c r="H564" s="12"/>
      <c r="I564" s="86"/>
      <c r="J564" s="12"/>
      <c r="K564" s="12"/>
      <c r="L564" s="12"/>
      <c r="M564" s="12"/>
      <c r="N564" s="12"/>
      <c r="O564" s="12"/>
      <c r="P564" s="12"/>
    </row>
    <row r="565" spans="1:16" ht="18.600000000000001" customHeight="1" x14ac:dyDescent="0.2">
      <c r="A565" s="35">
        <f t="shared" si="109"/>
        <v>21</v>
      </c>
      <c r="B565" s="26"/>
      <c r="C565" s="26"/>
      <c r="D565" s="163"/>
      <c r="E565" s="14"/>
      <c r="F565" s="14"/>
      <c r="G565" s="14"/>
      <c r="H565" s="14"/>
      <c r="I565" s="87"/>
      <c r="J565" s="14"/>
      <c r="K565" s="14"/>
      <c r="L565" s="14"/>
      <c r="M565" s="14"/>
      <c r="N565" s="14"/>
      <c r="O565" s="14"/>
      <c r="P565" s="14"/>
    </row>
    <row r="566" spans="1:16" ht="18.600000000000001" customHeight="1" x14ac:dyDescent="0.2">
      <c r="A566" s="7">
        <f t="shared" si="109"/>
        <v>22</v>
      </c>
      <c r="B566" s="25"/>
      <c r="C566" s="25"/>
      <c r="D566" s="163"/>
      <c r="E566" s="4"/>
      <c r="F566" s="4"/>
      <c r="G566" s="4"/>
      <c r="H566" s="4"/>
      <c r="I566" s="85"/>
      <c r="J566" s="4"/>
      <c r="K566" s="4"/>
      <c r="L566" s="4"/>
      <c r="M566" s="4"/>
      <c r="N566" s="4"/>
      <c r="O566" s="4"/>
      <c r="P566" s="4"/>
    </row>
    <row r="567" spans="1:16" ht="18.600000000000001" customHeight="1" x14ac:dyDescent="0.3">
      <c r="A567" s="35">
        <f t="shared" si="109"/>
        <v>23</v>
      </c>
      <c r="B567" s="143"/>
      <c r="C567" s="143"/>
      <c r="D567" s="143"/>
      <c r="E567" s="4"/>
      <c r="F567" s="4"/>
      <c r="G567" s="4"/>
      <c r="H567" s="4"/>
      <c r="I567" s="85"/>
      <c r="J567" s="4"/>
      <c r="K567" s="4"/>
      <c r="L567" s="4"/>
      <c r="M567" s="4"/>
      <c r="N567" s="4"/>
      <c r="O567" s="4"/>
      <c r="P567" s="4"/>
    </row>
    <row r="568" spans="1:16" ht="18.600000000000001" customHeight="1" x14ac:dyDescent="0.2">
      <c r="A568" s="7">
        <f t="shared" si="109"/>
        <v>24</v>
      </c>
      <c r="B568" s="25"/>
      <c r="C568" s="25"/>
      <c r="D568" s="163"/>
      <c r="E568" s="4"/>
      <c r="F568" s="4"/>
      <c r="G568" s="4"/>
      <c r="H568" s="4"/>
      <c r="I568" s="85"/>
      <c r="J568" s="4"/>
      <c r="K568" s="4"/>
      <c r="L568" s="4"/>
      <c r="M568" s="4"/>
      <c r="N568" s="4"/>
      <c r="O568" s="4"/>
      <c r="P568" s="4"/>
    </row>
    <row r="569" spans="1:16" ht="18.600000000000001" customHeight="1" x14ac:dyDescent="0.2">
      <c r="A569" s="35">
        <f t="shared" si="109"/>
        <v>25</v>
      </c>
      <c r="B569" s="24"/>
      <c r="C569" s="24"/>
      <c r="D569" s="163"/>
      <c r="E569" s="12"/>
      <c r="F569" s="12"/>
      <c r="G569" s="12"/>
      <c r="H569" s="12"/>
      <c r="I569" s="86"/>
      <c r="J569" s="12"/>
      <c r="K569" s="12"/>
      <c r="L569" s="12"/>
      <c r="M569" s="12"/>
      <c r="N569" s="12"/>
      <c r="O569" s="12"/>
      <c r="P569" s="12"/>
    </row>
    <row r="570" spans="1:16" ht="18.600000000000001" customHeight="1" x14ac:dyDescent="0.3">
      <c r="A570" s="147"/>
      <c r="B570" s="148"/>
      <c r="C570" s="147"/>
      <c r="D570" s="149"/>
      <c r="E570" s="150">
        <f>SUBTOTAL(9,E545:E569)</f>
        <v>0</v>
      </c>
      <c r="F570" s="152"/>
      <c r="G570" s="150">
        <f t="shared" ref="G570" si="110">SUBTOTAL(9,G545:G569)</f>
        <v>0</v>
      </c>
      <c r="H570" s="152"/>
      <c r="I570" s="150">
        <f t="shared" ref="I570" si="111">SUBTOTAL(9,I545:I569)</f>
        <v>0</v>
      </c>
      <c r="J570" s="152"/>
      <c r="K570" s="152"/>
      <c r="L570" s="152"/>
      <c r="M570" s="150">
        <f t="shared" ref="M570" si="112">SUBTOTAL(9,M545:M569)</f>
        <v>0</v>
      </c>
      <c r="N570" s="152"/>
      <c r="O570" s="150">
        <f t="shared" ref="O570" si="113">SUBTOTAL(9,O545:O569)</f>
        <v>0</v>
      </c>
      <c r="P570" s="152"/>
    </row>
    <row r="571" spans="1:16" ht="18.600000000000001" customHeight="1" x14ac:dyDescent="0.2">
      <c r="A571" s="434" t="str">
        <f>A541</f>
        <v>DANH SÁCH LỚP KET</v>
      </c>
      <c r="B571" s="434"/>
      <c r="C571" s="434"/>
      <c r="D571" s="434"/>
      <c r="E571" s="434"/>
      <c r="F571" s="434"/>
      <c r="G571" s="434"/>
      <c r="H571" s="434"/>
      <c r="I571" s="92" t="s">
        <v>1033</v>
      </c>
      <c r="J571" s="48"/>
      <c r="K571" s="48"/>
      <c r="L571" s="48"/>
      <c r="M571" s="41"/>
      <c r="N571" s="41"/>
      <c r="O571" s="41"/>
      <c r="P571" s="41"/>
    </row>
    <row r="572" spans="1:16" ht="18.600000000000001" customHeight="1" x14ac:dyDescent="0.2">
      <c r="A572" s="28"/>
      <c r="B572" s="29"/>
      <c r="C572" s="30"/>
      <c r="D572" s="36"/>
      <c r="E572" s="28"/>
      <c r="F572" s="28"/>
      <c r="G572" s="28"/>
      <c r="H572" s="28"/>
      <c r="I572" s="79"/>
      <c r="J572" s="28"/>
      <c r="K572" s="28"/>
      <c r="L572" s="28"/>
      <c r="M572" s="28"/>
      <c r="N572" s="28"/>
      <c r="O572" s="28"/>
      <c r="P572" s="28"/>
    </row>
    <row r="573" spans="1:16" ht="18.600000000000001" customHeight="1" x14ac:dyDescent="0.2">
      <c r="A573" s="435" t="s">
        <v>374</v>
      </c>
      <c r="B573" s="435" t="s">
        <v>380</v>
      </c>
      <c r="C573" s="435" t="s">
        <v>383</v>
      </c>
      <c r="D573" s="437" t="s">
        <v>384</v>
      </c>
      <c r="E573" s="438" t="s">
        <v>385</v>
      </c>
      <c r="F573" s="439"/>
      <c r="G573" s="432" t="str">
        <f>$R$1</f>
        <v>Hè 1</v>
      </c>
      <c r="H573" s="433"/>
      <c r="I573" s="432" t="str">
        <f>$T$1</f>
        <v>Hè 2</v>
      </c>
      <c r="J573" s="433"/>
      <c r="K573" s="432" t="str">
        <f>$V$1</f>
        <v>Hè 3</v>
      </c>
      <c r="L573" s="433"/>
      <c r="M573" s="432" t="str">
        <f>$X$1</f>
        <v>.</v>
      </c>
      <c r="N573" s="433"/>
      <c r="O573" s="432" t="str">
        <f>$Z$1</f>
        <v>.</v>
      </c>
      <c r="P573" s="433"/>
    </row>
    <row r="574" spans="1:16" ht="18.600000000000001" customHeight="1" x14ac:dyDescent="0.2">
      <c r="A574" s="436"/>
      <c r="B574" s="436"/>
      <c r="C574" s="436"/>
      <c r="D574" s="436"/>
      <c r="E574" s="31" t="s">
        <v>381</v>
      </c>
      <c r="F574" s="31" t="s">
        <v>382</v>
      </c>
      <c r="G574" s="31" t="s">
        <v>381</v>
      </c>
      <c r="H574" s="31" t="s">
        <v>382</v>
      </c>
      <c r="I574" s="80" t="s">
        <v>381</v>
      </c>
      <c r="J574" s="31" t="s">
        <v>382</v>
      </c>
      <c r="K574" s="80" t="s">
        <v>381</v>
      </c>
      <c r="L574" s="31" t="s">
        <v>382</v>
      </c>
      <c r="M574" s="31" t="s">
        <v>381</v>
      </c>
      <c r="N574" s="31" t="s">
        <v>382</v>
      </c>
      <c r="O574" s="31" t="s">
        <v>381</v>
      </c>
      <c r="P574" s="31" t="s">
        <v>382</v>
      </c>
    </row>
    <row r="575" spans="1:16" ht="18.600000000000001" customHeight="1" x14ac:dyDescent="0.2">
      <c r="A575" s="32">
        <v>1</v>
      </c>
      <c r="B575" s="24"/>
      <c r="C575" s="24"/>
      <c r="D575" s="24"/>
      <c r="E575" s="32"/>
      <c r="F575" s="34"/>
      <c r="G575" s="32"/>
      <c r="H575" s="93"/>
      <c r="I575" s="81"/>
      <c r="J575" s="34"/>
      <c r="K575" s="34"/>
      <c r="L575" s="34"/>
      <c r="M575" s="32"/>
      <c r="N575" s="34"/>
      <c r="O575" s="32"/>
      <c r="P575" s="34"/>
    </row>
    <row r="576" spans="1:16" ht="18.600000000000001" customHeight="1" x14ac:dyDescent="0.2">
      <c r="A576" s="7">
        <f t="shared" ref="A576:A599" si="114">A575+1</f>
        <v>2</v>
      </c>
      <c r="B576" s="24"/>
      <c r="C576" s="24"/>
      <c r="D576" s="24"/>
      <c r="E576" s="7"/>
      <c r="F576" s="7"/>
      <c r="G576" s="7"/>
      <c r="H576" s="7"/>
      <c r="I576" s="82"/>
      <c r="J576" s="7"/>
      <c r="K576" s="7"/>
      <c r="L576" s="7"/>
      <c r="M576" s="7"/>
      <c r="N576" s="7"/>
      <c r="O576" s="7"/>
      <c r="P576" s="7"/>
    </row>
    <row r="577" spans="1:16" ht="18.600000000000001" customHeight="1" x14ac:dyDescent="0.2">
      <c r="A577" s="7">
        <f t="shared" si="114"/>
        <v>3</v>
      </c>
      <c r="B577" s="25"/>
      <c r="C577" s="25"/>
      <c r="D577" s="163"/>
      <c r="E577" s="7"/>
      <c r="F577" s="7"/>
      <c r="G577" s="7"/>
      <c r="H577" s="7"/>
      <c r="I577" s="82"/>
      <c r="J577" s="7"/>
      <c r="K577" s="7"/>
      <c r="L577" s="7"/>
      <c r="M577" s="7"/>
      <c r="N577" s="7"/>
      <c r="O577" s="7"/>
      <c r="P577" s="7"/>
    </row>
    <row r="578" spans="1:16" ht="18.600000000000001" customHeight="1" x14ac:dyDescent="0.2">
      <c r="A578" s="7">
        <f t="shared" si="114"/>
        <v>4</v>
      </c>
      <c r="B578" s="24"/>
      <c r="C578" s="24"/>
      <c r="D578" s="163"/>
      <c r="E578" s="7"/>
      <c r="F578" s="7"/>
      <c r="G578" s="7"/>
      <c r="H578" s="7"/>
      <c r="I578" s="82"/>
      <c r="J578" s="7"/>
      <c r="K578" s="7"/>
      <c r="L578" s="7"/>
      <c r="M578" s="7"/>
      <c r="N578" s="7"/>
      <c r="O578" s="7"/>
      <c r="P578" s="7"/>
    </row>
    <row r="579" spans="1:16" ht="18.600000000000001" customHeight="1" x14ac:dyDescent="0.2">
      <c r="A579" s="6">
        <f t="shared" si="114"/>
        <v>5</v>
      </c>
      <c r="B579" s="24"/>
      <c r="C579" s="24"/>
      <c r="D579" s="25"/>
      <c r="E579" s="16"/>
      <c r="F579" s="16"/>
      <c r="G579" s="16"/>
      <c r="H579" s="16"/>
      <c r="I579" s="83"/>
      <c r="J579" s="16"/>
      <c r="K579" s="16"/>
      <c r="L579" s="16"/>
      <c r="M579" s="16"/>
      <c r="N579" s="16"/>
      <c r="O579" s="16"/>
      <c r="P579" s="16"/>
    </row>
    <row r="580" spans="1:16" ht="18.600000000000001" customHeight="1" x14ac:dyDescent="0.2">
      <c r="A580" s="56">
        <f t="shared" si="114"/>
        <v>6</v>
      </c>
      <c r="B580" s="25"/>
      <c r="C580" s="25"/>
      <c r="D580" s="163"/>
      <c r="E580" s="2"/>
      <c r="F580" s="2"/>
      <c r="G580" s="2"/>
      <c r="H580" s="2"/>
      <c r="I580" s="84"/>
      <c r="J580" s="2"/>
      <c r="K580" s="2"/>
      <c r="L580" s="2"/>
      <c r="M580" s="2"/>
      <c r="N580" s="2"/>
      <c r="O580" s="2"/>
      <c r="P580" s="2"/>
    </row>
    <row r="581" spans="1:16" ht="18.600000000000001" customHeight="1" x14ac:dyDescent="0.2">
      <c r="A581" s="6">
        <f t="shared" si="114"/>
        <v>7</v>
      </c>
      <c r="B581" s="24"/>
      <c r="C581" s="24"/>
      <c r="D581" s="163"/>
      <c r="E581" s="4"/>
      <c r="F581" s="4"/>
      <c r="G581" s="4"/>
      <c r="H581" s="4"/>
      <c r="I581" s="85"/>
      <c r="J581" s="4"/>
      <c r="K581" s="4"/>
      <c r="L581" s="4"/>
      <c r="M581" s="4"/>
      <c r="N581" s="4"/>
      <c r="O581" s="4"/>
      <c r="P581" s="4"/>
    </row>
    <row r="582" spans="1:16" ht="18.600000000000001" customHeight="1" x14ac:dyDescent="0.2">
      <c r="A582" s="6">
        <f t="shared" si="114"/>
        <v>8</v>
      </c>
      <c r="B582" s="24"/>
      <c r="C582" s="24"/>
      <c r="D582" s="163"/>
      <c r="E582" s="4"/>
      <c r="F582" s="4"/>
      <c r="G582" s="4"/>
      <c r="H582" s="4"/>
      <c r="I582" s="85"/>
      <c r="J582" s="4"/>
      <c r="K582" s="4"/>
      <c r="L582" s="4"/>
      <c r="M582" s="4"/>
      <c r="N582" s="4"/>
      <c r="O582" s="4"/>
      <c r="P582" s="4"/>
    </row>
    <row r="583" spans="1:16" ht="18.600000000000001" customHeight="1" x14ac:dyDescent="0.2">
      <c r="A583" s="6">
        <f t="shared" si="114"/>
        <v>9</v>
      </c>
      <c r="B583" s="25"/>
      <c r="C583" s="25"/>
      <c r="D583" s="163"/>
      <c r="E583" s="4"/>
      <c r="F583" s="4"/>
      <c r="G583" s="4"/>
      <c r="H583" s="4"/>
      <c r="I583" s="85"/>
      <c r="J583" s="4"/>
      <c r="K583" s="4"/>
      <c r="L583" s="4"/>
      <c r="M583" s="4"/>
      <c r="N583" s="4"/>
      <c r="O583" s="4"/>
      <c r="P583" s="4"/>
    </row>
    <row r="584" spans="1:16" ht="18.600000000000001" customHeight="1" x14ac:dyDescent="0.2">
      <c r="A584" s="10">
        <f t="shared" si="114"/>
        <v>10</v>
      </c>
      <c r="B584" s="24"/>
      <c r="C584" s="24"/>
      <c r="D584" s="24"/>
      <c r="E584" s="12"/>
      <c r="F584" s="12"/>
      <c r="G584" s="12"/>
      <c r="H584" s="12"/>
      <c r="I584" s="86"/>
      <c r="J584" s="12"/>
      <c r="K584" s="12"/>
      <c r="L584" s="12"/>
      <c r="M584" s="12"/>
      <c r="N584" s="12"/>
      <c r="O584" s="12"/>
      <c r="P584" s="12"/>
    </row>
    <row r="585" spans="1:16" ht="18.600000000000001" customHeight="1" x14ac:dyDescent="0.2">
      <c r="A585" s="35">
        <f t="shared" si="114"/>
        <v>11</v>
      </c>
      <c r="B585" s="24"/>
      <c r="C585" s="24"/>
      <c r="D585" s="163"/>
      <c r="E585" s="14"/>
      <c r="F585" s="14"/>
      <c r="G585" s="14"/>
      <c r="H585" s="14"/>
      <c r="I585" s="87"/>
      <c r="J585" s="14"/>
      <c r="K585" s="14"/>
      <c r="L585" s="14"/>
      <c r="M585" s="14"/>
      <c r="N585" s="14"/>
      <c r="O585" s="14"/>
      <c r="P585" s="14"/>
    </row>
    <row r="586" spans="1:16" ht="18.600000000000001" customHeight="1" x14ac:dyDescent="0.2">
      <c r="A586" s="7">
        <f t="shared" si="114"/>
        <v>12</v>
      </c>
      <c r="B586" s="24"/>
      <c r="C586" s="24"/>
      <c r="D586" s="27"/>
      <c r="E586" s="4"/>
      <c r="F586" s="4"/>
      <c r="G586" s="4"/>
      <c r="H586" s="4"/>
      <c r="I586" s="85"/>
      <c r="J586" s="4"/>
      <c r="K586" s="4"/>
      <c r="L586" s="4"/>
      <c r="M586" s="4"/>
      <c r="N586" s="4"/>
      <c r="O586" s="4"/>
      <c r="P586" s="4"/>
    </row>
    <row r="587" spans="1:16" ht="18.600000000000001" customHeight="1" x14ac:dyDescent="0.2">
      <c r="A587" s="7">
        <f t="shared" si="114"/>
        <v>13</v>
      </c>
      <c r="B587" s="25"/>
      <c r="C587" s="25"/>
      <c r="D587" s="163"/>
      <c r="E587" s="4"/>
      <c r="F587" s="4"/>
      <c r="G587" s="4"/>
      <c r="H587" s="4"/>
      <c r="I587" s="85"/>
      <c r="J587" s="4"/>
      <c r="K587" s="4"/>
      <c r="L587" s="4"/>
      <c r="M587" s="4"/>
      <c r="N587" s="4"/>
      <c r="O587" s="4"/>
      <c r="P587" s="4"/>
    </row>
    <row r="588" spans="1:16" ht="18.600000000000001" customHeight="1" x14ac:dyDescent="0.2">
      <c r="A588" s="7">
        <f t="shared" si="114"/>
        <v>14</v>
      </c>
      <c r="B588" s="24"/>
      <c r="C588" s="24"/>
      <c r="D588" s="163"/>
      <c r="E588" s="4"/>
      <c r="F588" s="4"/>
      <c r="G588" s="4"/>
      <c r="H588" s="4"/>
      <c r="I588" s="85"/>
      <c r="J588" s="4"/>
      <c r="K588" s="4"/>
      <c r="L588" s="4"/>
      <c r="M588" s="4"/>
      <c r="N588" s="4"/>
      <c r="O588" s="4"/>
      <c r="P588" s="4"/>
    </row>
    <row r="589" spans="1:16" ht="18.600000000000001" customHeight="1" x14ac:dyDescent="0.2">
      <c r="A589" s="6">
        <f t="shared" si="114"/>
        <v>15</v>
      </c>
      <c r="B589" s="25"/>
      <c r="C589" s="25"/>
      <c r="D589" s="25"/>
      <c r="E589" s="16"/>
      <c r="F589" s="16"/>
      <c r="G589" s="16"/>
      <c r="H589" s="16"/>
      <c r="I589" s="83"/>
      <c r="J589" s="16"/>
      <c r="K589" s="16"/>
      <c r="L589" s="16"/>
      <c r="M589" s="16"/>
      <c r="N589" s="16"/>
      <c r="O589" s="16"/>
      <c r="P589" s="16"/>
    </row>
    <row r="590" spans="1:16" ht="18.600000000000001" customHeight="1" x14ac:dyDescent="0.2">
      <c r="A590" s="32">
        <f t="shared" si="114"/>
        <v>16</v>
      </c>
      <c r="B590" s="24"/>
      <c r="C590" s="24"/>
      <c r="D590" s="163"/>
      <c r="E590" s="2"/>
      <c r="F590" s="2"/>
      <c r="G590" s="2"/>
      <c r="H590" s="2"/>
      <c r="I590" s="84"/>
      <c r="J590" s="2"/>
      <c r="K590" s="2"/>
      <c r="L590" s="2"/>
      <c r="M590" s="2"/>
      <c r="N590" s="2"/>
      <c r="O590" s="2"/>
      <c r="P590" s="2"/>
    </row>
    <row r="591" spans="1:16" ht="18.600000000000001" customHeight="1" x14ac:dyDescent="0.2">
      <c r="A591" s="7">
        <f t="shared" si="114"/>
        <v>17</v>
      </c>
      <c r="B591" s="26"/>
      <c r="C591" s="26"/>
      <c r="D591" s="26"/>
      <c r="E591" s="4"/>
      <c r="F591" s="4"/>
      <c r="G591" s="4"/>
      <c r="H591" s="4"/>
      <c r="I591" s="85"/>
      <c r="J591" s="4"/>
      <c r="K591" s="4"/>
      <c r="L591" s="4"/>
      <c r="M591" s="4"/>
      <c r="N591" s="4"/>
      <c r="O591" s="4"/>
      <c r="P591" s="4"/>
    </row>
    <row r="592" spans="1:16" ht="18.600000000000001" customHeight="1" x14ac:dyDescent="0.2">
      <c r="A592" s="7">
        <f t="shared" si="114"/>
        <v>18</v>
      </c>
      <c r="B592" s="3"/>
      <c r="C592" s="4"/>
      <c r="D592" s="8"/>
      <c r="E592" s="4"/>
      <c r="F592" s="4"/>
      <c r="G592" s="4"/>
      <c r="H592" s="4"/>
      <c r="I592" s="85"/>
      <c r="J592" s="4"/>
      <c r="K592" s="4"/>
      <c r="L592" s="4"/>
      <c r="M592" s="4"/>
      <c r="N592" s="4"/>
      <c r="O592" s="4"/>
      <c r="P592" s="4"/>
    </row>
    <row r="593" spans="1:16" ht="18.600000000000001" customHeight="1" x14ac:dyDescent="0.2">
      <c r="A593" s="7">
        <f t="shared" si="114"/>
        <v>19</v>
      </c>
      <c r="B593" s="3"/>
      <c r="C593" s="4"/>
      <c r="D593" s="8"/>
      <c r="E593" s="4"/>
      <c r="F593" s="4"/>
      <c r="G593" s="4"/>
      <c r="H593" s="4"/>
      <c r="I593" s="85"/>
      <c r="J593" s="4"/>
      <c r="K593" s="4"/>
      <c r="L593" s="4"/>
      <c r="M593" s="4"/>
      <c r="N593" s="4"/>
      <c r="O593" s="4"/>
      <c r="P593" s="4"/>
    </row>
    <row r="594" spans="1:16" ht="18.600000000000001" customHeight="1" x14ac:dyDescent="0.2">
      <c r="A594" s="10">
        <f t="shared" si="114"/>
        <v>20</v>
      </c>
      <c r="B594" s="11"/>
      <c r="C594" s="12"/>
      <c r="D594" s="9"/>
      <c r="E594" s="12"/>
      <c r="F594" s="12"/>
      <c r="G594" s="12"/>
      <c r="H594" s="12"/>
      <c r="I594" s="86"/>
      <c r="J594" s="12"/>
      <c r="K594" s="12"/>
      <c r="L594" s="12"/>
      <c r="M594" s="12"/>
      <c r="N594" s="12"/>
      <c r="O594" s="12"/>
      <c r="P594" s="12"/>
    </row>
    <row r="595" spans="1:16" ht="18.600000000000001" customHeight="1" x14ac:dyDescent="0.2">
      <c r="A595" s="35">
        <f t="shared" si="114"/>
        <v>21</v>
      </c>
      <c r="B595" s="13"/>
      <c r="C595" s="14"/>
      <c r="D595" s="37"/>
      <c r="E595" s="14"/>
      <c r="F595" s="14"/>
      <c r="G595" s="14"/>
      <c r="H595" s="14"/>
      <c r="I595" s="87"/>
      <c r="J595" s="14"/>
      <c r="K595" s="14"/>
      <c r="L595" s="14"/>
      <c r="M595" s="14"/>
      <c r="N595" s="14"/>
      <c r="O595" s="14"/>
      <c r="P595" s="14"/>
    </row>
    <row r="596" spans="1:16" ht="18.600000000000001" customHeight="1" x14ac:dyDescent="0.2">
      <c r="A596" s="7">
        <f t="shared" si="114"/>
        <v>22</v>
      </c>
      <c r="B596" s="3"/>
      <c r="C596" s="4"/>
      <c r="D596" s="8"/>
      <c r="E596" s="4"/>
      <c r="F596" s="4"/>
      <c r="G596" s="4"/>
      <c r="H596" s="4"/>
      <c r="I596" s="85"/>
      <c r="J596" s="4"/>
      <c r="K596" s="4"/>
      <c r="L596" s="4"/>
      <c r="M596" s="4"/>
      <c r="N596" s="4"/>
      <c r="O596" s="4"/>
      <c r="P596" s="4"/>
    </row>
    <row r="597" spans="1:16" ht="18.600000000000001" customHeight="1" x14ac:dyDescent="0.2">
      <c r="A597" s="35">
        <f t="shared" si="114"/>
        <v>23</v>
      </c>
      <c r="B597" s="3"/>
      <c r="C597" s="4"/>
      <c r="D597" s="8"/>
      <c r="E597" s="4"/>
      <c r="F597" s="4"/>
      <c r="G597" s="4"/>
      <c r="H597" s="4"/>
      <c r="I597" s="85"/>
      <c r="J597" s="4"/>
      <c r="K597" s="4"/>
      <c r="L597" s="4"/>
      <c r="M597" s="4"/>
      <c r="N597" s="4"/>
      <c r="O597" s="4"/>
      <c r="P597" s="4"/>
    </row>
    <row r="598" spans="1:16" ht="18.600000000000001" customHeight="1" x14ac:dyDescent="0.2">
      <c r="A598" s="7">
        <f t="shared" si="114"/>
        <v>24</v>
      </c>
      <c r="B598" s="3"/>
      <c r="C598" s="4"/>
      <c r="D598" s="8"/>
      <c r="E598" s="4"/>
      <c r="F598" s="4"/>
      <c r="G598" s="4"/>
      <c r="H598" s="4"/>
      <c r="I598" s="85"/>
      <c r="J598" s="4"/>
      <c r="K598" s="4"/>
      <c r="L598" s="4"/>
      <c r="M598" s="4"/>
      <c r="N598" s="4"/>
      <c r="O598" s="4"/>
      <c r="P598" s="4"/>
    </row>
    <row r="599" spans="1:16" ht="18.600000000000001" customHeight="1" x14ac:dyDescent="0.2">
      <c r="A599" s="35">
        <f t="shared" si="114"/>
        <v>25</v>
      </c>
      <c r="B599" s="11"/>
      <c r="C599" s="12"/>
      <c r="D599" s="9"/>
      <c r="E599" s="12"/>
      <c r="F599" s="12"/>
      <c r="G599" s="12"/>
      <c r="H599" s="12"/>
      <c r="I599" s="86"/>
      <c r="J599" s="12"/>
      <c r="K599" s="12"/>
      <c r="L599" s="12"/>
      <c r="M599" s="12"/>
      <c r="N599" s="12"/>
      <c r="O599" s="12"/>
      <c r="P599" s="12"/>
    </row>
    <row r="600" spans="1:16" ht="18.600000000000001" customHeight="1" x14ac:dyDescent="0.3">
      <c r="A600" s="147"/>
      <c r="B600" s="148"/>
      <c r="C600" s="147"/>
      <c r="D600" s="149"/>
      <c r="E600" s="150">
        <f>SUBTOTAL(9,E575:E599)</f>
        <v>0</v>
      </c>
      <c r="F600" s="152"/>
      <c r="G600" s="150">
        <f t="shared" ref="G600" si="115">SUBTOTAL(9,G575:G599)</f>
        <v>0</v>
      </c>
      <c r="H600" s="152"/>
      <c r="I600" s="150">
        <f t="shared" ref="I600" si="116">SUBTOTAL(9,I575:I599)</f>
        <v>0</v>
      </c>
      <c r="J600" s="152"/>
      <c r="K600" s="152"/>
      <c r="L600" s="152"/>
      <c r="M600" s="150">
        <f t="shared" ref="M600" si="117">SUBTOTAL(9,M575:M599)</f>
        <v>0</v>
      </c>
      <c r="N600" s="152"/>
      <c r="O600" s="150">
        <f t="shared" ref="O600" si="118">SUBTOTAL(9,O575:O599)</f>
        <v>0</v>
      </c>
      <c r="P600" s="152"/>
    </row>
    <row r="601" spans="1:16" ht="18.600000000000001" customHeight="1" x14ac:dyDescent="0.2">
      <c r="A601" s="434" t="str">
        <f>A571</f>
        <v>DANH SÁCH LỚP KET</v>
      </c>
      <c r="B601" s="434"/>
      <c r="C601" s="434"/>
      <c r="D601" s="434"/>
      <c r="E601" s="434"/>
      <c r="F601" s="434"/>
      <c r="G601" s="434"/>
      <c r="H601" s="434"/>
      <c r="I601" s="92" t="s">
        <v>1034</v>
      </c>
      <c r="J601" s="48"/>
      <c r="K601" s="48"/>
      <c r="L601" s="48"/>
      <c r="M601" s="41"/>
      <c r="N601" s="41"/>
      <c r="O601" s="41"/>
      <c r="P601" s="41"/>
    </row>
    <row r="602" spans="1:16" ht="18.600000000000001" customHeight="1" x14ac:dyDescent="0.2">
      <c r="A602" s="28"/>
      <c r="B602" s="29"/>
      <c r="C602" s="30"/>
      <c r="D602" s="36"/>
      <c r="E602" s="28"/>
      <c r="F602" s="28"/>
      <c r="G602" s="28"/>
      <c r="H602" s="28"/>
      <c r="I602" s="79"/>
      <c r="J602" s="28"/>
      <c r="K602" s="28"/>
      <c r="L602" s="28"/>
      <c r="M602" s="28"/>
      <c r="N602" s="28"/>
      <c r="O602" s="28"/>
      <c r="P602" s="28"/>
    </row>
    <row r="603" spans="1:16" ht="18.600000000000001" customHeight="1" x14ac:dyDescent="0.2">
      <c r="A603" s="435" t="s">
        <v>374</v>
      </c>
      <c r="B603" s="435" t="s">
        <v>380</v>
      </c>
      <c r="C603" s="435" t="s">
        <v>383</v>
      </c>
      <c r="D603" s="437" t="s">
        <v>384</v>
      </c>
      <c r="E603" s="438" t="s">
        <v>385</v>
      </c>
      <c r="F603" s="439"/>
      <c r="G603" s="432" t="str">
        <f>$R$1</f>
        <v>Hè 1</v>
      </c>
      <c r="H603" s="433"/>
      <c r="I603" s="432" t="str">
        <f>$T$1</f>
        <v>Hè 2</v>
      </c>
      <c r="J603" s="433"/>
      <c r="K603" s="432" t="str">
        <f>$V$1</f>
        <v>Hè 3</v>
      </c>
      <c r="L603" s="433"/>
      <c r="M603" s="432" t="str">
        <f>$X$1</f>
        <v>.</v>
      </c>
      <c r="N603" s="433"/>
      <c r="O603" s="432" t="str">
        <f>$Z$1</f>
        <v>.</v>
      </c>
      <c r="P603" s="433"/>
    </row>
    <row r="604" spans="1:16" ht="18.600000000000001" customHeight="1" x14ac:dyDescent="0.2">
      <c r="A604" s="436"/>
      <c r="B604" s="436"/>
      <c r="C604" s="436"/>
      <c r="D604" s="436"/>
      <c r="E604" s="31" t="s">
        <v>381</v>
      </c>
      <c r="F604" s="31" t="s">
        <v>382</v>
      </c>
      <c r="G604" s="31" t="s">
        <v>381</v>
      </c>
      <c r="H604" s="31" t="s">
        <v>382</v>
      </c>
      <c r="I604" s="80" t="s">
        <v>381</v>
      </c>
      <c r="J604" s="31" t="s">
        <v>382</v>
      </c>
      <c r="K604" s="80" t="s">
        <v>381</v>
      </c>
      <c r="L604" s="31" t="s">
        <v>382</v>
      </c>
      <c r="M604" s="31" t="s">
        <v>381</v>
      </c>
      <c r="N604" s="31" t="s">
        <v>382</v>
      </c>
      <c r="O604" s="31" t="s">
        <v>381</v>
      </c>
      <c r="P604" s="31" t="s">
        <v>382</v>
      </c>
    </row>
    <row r="605" spans="1:16" ht="18.600000000000001" customHeight="1" x14ac:dyDescent="0.2">
      <c r="A605" s="32">
        <v>1</v>
      </c>
      <c r="B605" s="24"/>
      <c r="C605" s="24"/>
      <c r="D605" s="25"/>
      <c r="E605" s="32"/>
      <c r="F605" s="34"/>
      <c r="G605" s="32"/>
      <c r="H605" s="93"/>
      <c r="I605" s="81"/>
      <c r="J605" s="34"/>
      <c r="K605" s="34"/>
      <c r="L605" s="34"/>
      <c r="M605" s="32"/>
      <c r="N605" s="34"/>
      <c r="O605" s="32"/>
      <c r="P605" s="34"/>
    </row>
    <row r="606" spans="1:16" ht="18.600000000000001" customHeight="1" x14ac:dyDescent="0.2">
      <c r="A606" s="7">
        <f t="shared" ref="A606:A629" si="119">A605+1</f>
        <v>2</v>
      </c>
      <c r="B606" s="24"/>
      <c r="C606" s="24"/>
      <c r="D606" s="24"/>
      <c r="E606" s="7"/>
      <c r="F606" s="7"/>
      <c r="G606" s="7"/>
      <c r="H606" s="7"/>
      <c r="I606" s="82"/>
      <c r="J606" s="7"/>
      <c r="K606" s="7"/>
      <c r="L606" s="7"/>
      <c r="M606" s="7"/>
      <c r="N606" s="7"/>
      <c r="O606" s="7"/>
      <c r="P606" s="7"/>
    </row>
    <row r="607" spans="1:16" ht="18.600000000000001" customHeight="1" x14ac:dyDescent="0.3">
      <c r="A607" s="7">
        <f t="shared" si="119"/>
        <v>3</v>
      </c>
      <c r="B607" s="143"/>
      <c r="C607" s="143"/>
      <c r="D607" s="143"/>
      <c r="E607" s="7"/>
      <c r="F607" s="7"/>
      <c r="G607" s="7"/>
      <c r="H607" s="7"/>
      <c r="I607" s="82"/>
      <c r="J607" s="7"/>
      <c r="K607" s="7"/>
      <c r="L607" s="7"/>
      <c r="M607" s="7"/>
      <c r="N607" s="7"/>
      <c r="O607" s="7"/>
      <c r="P607" s="7"/>
    </row>
    <row r="608" spans="1:16" ht="18.600000000000001" customHeight="1" x14ac:dyDescent="0.2">
      <c r="A608" s="7">
        <f t="shared" si="119"/>
        <v>4</v>
      </c>
      <c r="B608" s="24"/>
      <c r="C608" s="24"/>
      <c r="D608" s="163"/>
      <c r="E608" s="7"/>
      <c r="F608" s="7"/>
      <c r="G608" s="7"/>
      <c r="H608" s="7"/>
      <c r="I608" s="82"/>
      <c r="J608" s="7"/>
      <c r="K608" s="7"/>
      <c r="L608" s="7"/>
      <c r="M608" s="7"/>
      <c r="N608" s="7"/>
      <c r="O608" s="7"/>
      <c r="P608" s="7"/>
    </row>
    <row r="609" spans="1:16" ht="18.600000000000001" customHeight="1" x14ac:dyDescent="0.2">
      <c r="A609" s="6">
        <f t="shared" si="119"/>
        <v>5</v>
      </c>
      <c r="B609" s="25"/>
      <c r="C609" s="25"/>
      <c r="D609" s="163"/>
      <c r="E609" s="16"/>
      <c r="F609" s="16"/>
      <c r="G609" s="16"/>
      <c r="H609" s="16"/>
      <c r="I609" s="83"/>
      <c r="J609" s="16"/>
      <c r="K609" s="16"/>
      <c r="L609" s="16"/>
      <c r="M609" s="16"/>
      <c r="N609" s="16"/>
      <c r="O609" s="16"/>
      <c r="P609" s="16"/>
    </row>
    <row r="610" spans="1:16" ht="18.600000000000001" customHeight="1" x14ac:dyDescent="0.2">
      <c r="A610" s="56">
        <f t="shared" si="119"/>
        <v>6</v>
      </c>
      <c r="B610" s="24"/>
      <c r="C610" s="24"/>
      <c r="D610" s="24"/>
      <c r="E610" s="2"/>
      <c r="F610" s="2"/>
      <c r="G610" s="2"/>
      <c r="H610" s="2"/>
      <c r="I610" s="84"/>
      <c r="J610" s="2"/>
      <c r="K610" s="2"/>
      <c r="L610" s="2"/>
      <c r="M610" s="2"/>
      <c r="N610" s="2"/>
      <c r="O610" s="2"/>
      <c r="P610" s="2"/>
    </row>
    <row r="611" spans="1:16" ht="18.600000000000001" customHeight="1" x14ac:dyDescent="0.3">
      <c r="A611" s="6">
        <f t="shared" si="119"/>
        <v>7</v>
      </c>
      <c r="B611" s="143"/>
      <c r="C611" s="143"/>
      <c r="D611" s="143"/>
      <c r="E611" s="4"/>
      <c r="F611" s="4"/>
      <c r="G611" s="4"/>
      <c r="H611" s="4"/>
      <c r="I611" s="85"/>
      <c r="J611" s="4"/>
      <c r="K611" s="4"/>
      <c r="L611" s="4"/>
      <c r="M611" s="4"/>
      <c r="N611" s="4"/>
      <c r="O611" s="4"/>
      <c r="P611" s="4"/>
    </row>
    <row r="612" spans="1:16" ht="18.600000000000001" customHeight="1" x14ac:dyDescent="0.2">
      <c r="A612" s="6">
        <f t="shared" si="119"/>
        <v>8</v>
      </c>
      <c r="B612" s="24"/>
      <c r="C612" s="24"/>
      <c r="D612" s="163"/>
      <c r="E612" s="4"/>
      <c r="F612" s="4"/>
      <c r="G612" s="4"/>
      <c r="H612" s="4"/>
      <c r="I612" s="85"/>
      <c r="J612" s="4"/>
      <c r="K612" s="4"/>
      <c r="L612" s="4"/>
      <c r="M612" s="4"/>
      <c r="N612" s="4"/>
      <c r="O612" s="4"/>
      <c r="P612" s="4"/>
    </row>
    <row r="613" spans="1:16" ht="18.600000000000001" customHeight="1" x14ac:dyDescent="0.2">
      <c r="A613" s="6">
        <f t="shared" si="119"/>
        <v>9</v>
      </c>
      <c r="B613" s="24"/>
      <c r="C613" s="24"/>
      <c r="D613" s="163"/>
      <c r="E613" s="4"/>
      <c r="F613" s="4"/>
      <c r="G613" s="4"/>
      <c r="H613" s="4"/>
      <c r="I613" s="85"/>
      <c r="J613" s="4"/>
      <c r="K613" s="4"/>
      <c r="L613" s="4"/>
      <c r="M613" s="4"/>
      <c r="N613" s="4"/>
      <c r="O613" s="4"/>
      <c r="P613" s="4"/>
    </row>
    <row r="614" spans="1:16" ht="18.600000000000001" customHeight="1" x14ac:dyDescent="0.2">
      <c r="A614" s="10">
        <f t="shared" si="119"/>
        <v>10</v>
      </c>
      <c r="B614" s="24"/>
      <c r="C614" s="24"/>
      <c r="D614" s="163"/>
      <c r="E614" s="12"/>
      <c r="F614" s="12"/>
      <c r="G614" s="12"/>
      <c r="H614" s="12"/>
      <c r="I614" s="86"/>
      <c r="J614" s="12"/>
      <c r="K614" s="12"/>
      <c r="L614" s="12"/>
      <c r="M614" s="12"/>
      <c r="N614" s="12"/>
      <c r="O614" s="12"/>
      <c r="P614" s="12"/>
    </row>
    <row r="615" spans="1:16" ht="18.600000000000001" customHeight="1" x14ac:dyDescent="0.2">
      <c r="A615" s="35">
        <f t="shared" si="119"/>
        <v>11</v>
      </c>
      <c r="B615" s="25"/>
      <c r="C615" s="25"/>
      <c r="D615" s="163"/>
      <c r="E615" s="14"/>
      <c r="F615" s="14"/>
      <c r="G615" s="14"/>
      <c r="H615" s="14"/>
      <c r="I615" s="87"/>
      <c r="J615" s="14"/>
      <c r="K615" s="14"/>
      <c r="L615" s="14"/>
      <c r="M615" s="14"/>
      <c r="N615" s="14"/>
      <c r="O615" s="14"/>
      <c r="P615" s="14"/>
    </row>
    <row r="616" spans="1:16" ht="18.600000000000001" customHeight="1" x14ac:dyDescent="0.2">
      <c r="A616" s="7">
        <f t="shared" si="119"/>
        <v>12</v>
      </c>
      <c r="B616" s="25"/>
      <c r="C616" s="25"/>
      <c r="D616" s="163"/>
      <c r="E616" s="4"/>
      <c r="F616" s="4"/>
      <c r="G616" s="4"/>
      <c r="H616" s="4"/>
      <c r="I616" s="85"/>
      <c r="J616" s="4"/>
      <c r="K616" s="4"/>
      <c r="L616" s="4"/>
      <c r="M616" s="4"/>
      <c r="N616" s="4"/>
      <c r="O616" s="4"/>
      <c r="P616" s="4"/>
    </row>
    <row r="617" spans="1:16" ht="18.600000000000001" customHeight="1" x14ac:dyDescent="0.2">
      <c r="A617" s="7">
        <f t="shared" si="119"/>
        <v>13</v>
      </c>
      <c r="B617" s="3"/>
      <c r="C617" s="26"/>
      <c r="D617" s="26"/>
      <c r="E617" s="4"/>
      <c r="F617" s="4"/>
      <c r="G617" s="4"/>
      <c r="H617" s="4"/>
      <c r="I617" s="85"/>
      <c r="J617" s="4"/>
      <c r="K617" s="4"/>
      <c r="L617" s="4"/>
      <c r="M617" s="4"/>
      <c r="N617" s="4"/>
      <c r="O617" s="4"/>
      <c r="P617" s="4"/>
    </row>
    <row r="618" spans="1:16" ht="18.600000000000001" customHeight="1" x14ac:dyDescent="0.2">
      <c r="A618" s="7">
        <f t="shared" si="119"/>
        <v>14</v>
      </c>
      <c r="B618" s="24"/>
      <c r="C618" s="63"/>
      <c r="D618" s="25"/>
      <c r="E618" s="4"/>
      <c r="F618" s="4"/>
      <c r="G618" s="4"/>
      <c r="H618" s="4"/>
      <c r="I618" s="85"/>
      <c r="J618" s="4"/>
      <c r="K618" s="4"/>
      <c r="L618" s="4"/>
      <c r="M618" s="4"/>
      <c r="N618" s="4"/>
      <c r="O618" s="4"/>
      <c r="P618" s="4"/>
    </row>
    <row r="619" spans="1:16" ht="18.600000000000001" customHeight="1" x14ac:dyDescent="0.2">
      <c r="A619" s="6">
        <f t="shared" si="119"/>
        <v>15</v>
      </c>
      <c r="B619" s="25"/>
      <c r="C619" s="25"/>
      <c r="D619" s="163"/>
      <c r="E619" s="16"/>
      <c r="F619" s="16"/>
      <c r="G619" s="16"/>
      <c r="H619" s="16"/>
      <c r="I619" s="83"/>
      <c r="J619" s="16"/>
      <c r="K619" s="16"/>
      <c r="L619" s="16"/>
      <c r="M619" s="16"/>
      <c r="N619" s="16"/>
      <c r="O619" s="16"/>
      <c r="P619" s="16"/>
    </row>
    <row r="620" spans="1:16" ht="18.600000000000001" customHeight="1" x14ac:dyDescent="0.2">
      <c r="A620" s="32">
        <f t="shared" si="119"/>
        <v>16</v>
      </c>
      <c r="B620" s="25"/>
      <c r="C620" s="25"/>
      <c r="D620" s="163"/>
      <c r="E620" s="2"/>
      <c r="F620" s="2"/>
      <c r="G620" s="2"/>
      <c r="H620" s="2"/>
      <c r="I620" s="84"/>
      <c r="J620" s="2"/>
      <c r="K620" s="2"/>
      <c r="L620" s="2"/>
      <c r="M620" s="2"/>
      <c r="N620" s="2"/>
      <c r="O620" s="2"/>
      <c r="P620" s="2"/>
    </row>
    <row r="621" spans="1:16" ht="18.600000000000001" customHeight="1" x14ac:dyDescent="0.2">
      <c r="A621" s="7">
        <f t="shared" si="119"/>
        <v>17</v>
      </c>
      <c r="B621" s="25"/>
      <c r="C621" s="25"/>
      <c r="D621" s="163"/>
      <c r="E621" s="4"/>
      <c r="F621" s="4"/>
      <c r="G621" s="4"/>
      <c r="H621" s="4"/>
      <c r="I621" s="85"/>
      <c r="J621" s="4"/>
      <c r="K621" s="4"/>
      <c r="L621" s="4"/>
      <c r="M621" s="4"/>
      <c r="N621" s="4"/>
      <c r="O621" s="4"/>
      <c r="P621" s="4"/>
    </row>
    <row r="622" spans="1:16" ht="18.600000000000001" customHeight="1" x14ac:dyDescent="0.2">
      <c r="A622" s="7">
        <f t="shared" si="119"/>
        <v>18</v>
      </c>
      <c r="B622" s="24"/>
      <c r="C622" s="24"/>
      <c r="D622" s="163"/>
      <c r="E622" s="4"/>
      <c r="F622" s="4"/>
      <c r="G622" s="4"/>
      <c r="H622" s="4"/>
      <c r="I622" s="85"/>
      <c r="J622" s="4"/>
      <c r="K622" s="4"/>
      <c r="L622" s="4"/>
      <c r="M622" s="4"/>
      <c r="N622" s="4"/>
      <c r="O622" s="4"/>
      <c r="P622" s="4"/>
    </row>
    <row r="623" spans="1:16" ht="18.600000000000001" customHeight="1" x14ac:dyDescent="0.3">
      <c r="A623" s="7">
        <f t="shared" si="119"/>
        <v>19</v>
      </c>
      <c r="B623" s="143"/>
      <c r="C623" s="143"/>
      <c r="D623" s="163"/>
      <c r="E623" s="4"/>
      <c r="F623" s="4"/>
      <c r="G623" s="4"/>
      <c r="H623" s="4"/>
      <c r="I623" s="85"/>
      <c r="J623" s="4"/>
      <c r="K623" s="4"/>
      <c r="L623" s="4"/>
      <c r="M623" s="4"/>
      <c r="N623" s="4"/>
      <c r="O623" s="4"/>
      <c r="P623" s="4"/>
    </row>
    <row r="624" spans="1:16" ht="18.600000000000001" customHeight="1" x14ac:dyDescent="0.3">
      <c r="A624" s="10">
        <f t="shared" si="119"/>
        <v>20</v>
      </c>
      <c r="B624" s="25"/>
      <c r="C624" s="25"/>
      <c r="D624" s="143"/>
      <c r="E624" s="12"/>
      <c r="F624" s="12"/>
      <c r="G624" s="12"/>
      <c r="H624" s="12"/>
      <c r="I624" s="86"/>
      <c r="J624" s="12"/>
      <c r="K624" s="12"/>
      <c r="L624" s="12"/>
      <c r="M624" s="12"/>
      <c r="N624" s="12"/>
      <c r="O624" s="12"/>
      <c r="P624" s="12"/>
    </row>
    <row r="625" spans="1:16" ht="18.600000000000001" customHeight="1" x14ac:dyDescent="0.2">
      <c r="A625" s="35">
        <f t="shared" si="119"/>
        <v>21</v>
      </c>
      <c r="B625" s="25"/>
      <c r="C625" s="25"/>
      <c r="D625" s="163"/>
      <c r="E625" s="14"/>
      <c r="F625" s="14"/>
      <c r="G625" s="14"/>
      <c r="H625" s="14"/>
      <c r="I625" s="87"/>
      <c r="J625" s="14"/>
      <c r="K625" s="14"/>
      <c r="L625" s="14"/>
      <c r="M625" s="14"/>
      <c r="N625" s="14"/>
      <c r="O625" s="14"/>
      <c r="P625" s="14"/>
    </row>
    <row r="626" spans="1:16" ht="18.600000000000001" customHeight="1" x14ac:dyDescent="0.3">
      <c r="A626" s="7">
        <f t="shared" si="119"/>
        <v>22</v>
      </c>
      <c r="B626" s="143"/>
      <c r="C626" s="143"/>
      <c r="D626" s="163"/>
      <c r="E626" s="4"/>
      <c r="F626" s="4"/>
      <c r="G626" s="4"/>
      <c r="H626" s="4"/>
      <c r="I626" s="85"/>
      <c r="J626" s="4"/>
      <c r="K626" s="4"/>
      <c r="L626" s="4"/>
      <c r="M626" s="4"/>
      <c r="N626" s="4"/>
      <c r="O626" s="4"/>
      <c r="P626" s="4"/>
    </row>
    <row r="627" spans="1:16" ht="18.600000000000001" customHeight="1" x14ac:dyDescent="0.3">
      <c r="A627" s="35">
        <f t="shared" si="119"/>
        <v>23</v>
      </c>
      <c r="B627" s="26"/>
      <c r="C627" s="26"/>
      <c r="D627" s="143"/>
      <c r="E627" s="4"/>
      <c r="F627" s="4"/>
      <c r="G627" s="4"/>
      <c r="H627" s="4"/>
      <c r="I627" s="85"/>
      <c r="J627" s="4"/>
      <c r="K627" s="4"/>
      <c r="L627" s="4"/>
      <c r="M627" s="4"/>
      <c r="N627" s="4"/>
      <c r="O627" s="4"/>
      <c r="P627" s="4"/>
    </row>
    <row r="628" spans="1:16" ht="18.600000000000001" customHeight="1" x14ac:dyDescent="0.3">
      <c r="A628" s="7">
        <f t="shared" si="119"/>
        <v>24</v>
      </c>
      <c r="B628" s="143"/>
      <c r="C628" s="143"/>
      <c r="D628" s="26"/>
      <c r="E628" s="4"/>
      <c r="F628" s="4"/>
      <c r="G628" s="4"/>
      <c r="H628" s="4"/>
      <c r="I628" s="85"/>
      <c r="J628" s="4"/>
      <c r="K628" s="4"/>
      <c r="L628" s="4"/>
      <c r="M628" s="4"/>
      <c r="N628" s="4"/>
      <c r="O628" s="4"/>
      <c r="P628" s="4"/>
    </row>
    <row r="629" spans="1:16" ht="18.600000000000001" customHeight="1" x14ac:dyDescent="0.3">
      <c r="A629" s="35">
        <f t="shared" si="119"/>
        <v>25</v>
      </c>
      <c r="B629" s="24"/>
      <c r="C629" s="63"/>
      <c r="D629" s="143"/>
      <c r="E629" s="12"/>
      <c r="F629" s="12"/>
      <c r="G629" s="12"/>
      <c r="H629" s="12"/>
      <c r="I629" s="86"/>
      <c r="J629" s="12"/>
      <c r="K629" s="12"/>
      <c r="L629" s="12"/>
      <c r="M629" s="12"/>
      <c r="N629" s="12"/>
      <c r="O629" s="12"/>
      <c r="P629" s="12"/>
    </row>
    <row r="630" spans="1:16" ht="18.600000000000001" customHeight="1" x14ac:dyDescent="0.3">
      <c r="A630" s="147"/>
      <c r="B630" s="148"/>
      <c r="C630" s="147"/>
      <c r="D630" s="149"/>
      <c r="E630" s="150">
        <f>SUBTOTAL(9,E605:E629)</f>
        <v>0</v>
      </c>
      <c r="F630" s="152"/>
      <c r="G630" s="150">
        <f t="shared" ref="G630" si="120">SUBTOTAL(9,G605:G629)</f>
        <v>0</v>
      </c>
      <c r="H630" s="152"/>
      <c r="I630" s="150">
        <f t="shared" ref="I630" si="121">SUBTOTAL(9,I605:I629)</f>
        <v>0</v>
      </c>
      <c r="J630" s="152"/>
      <c r="K630" s="152"/>
      <c r="L630" s="152"/>
      <c r="M630" s="150">
        <f t="shared" ref="M630" si="122">SUBTOTAL(9,M605:M629)</f>
        <v>0</v>
      </c>
      <c r="N630" s="152"/>
      <c r="O630" s="150">
        <f t="shared" ref="O630" si="123">SUBTOTAL(9,O605:O629)</f>
        <v>0</v>
      </c>
      <c r="P630" s="152"/>
    </row>
    <row r="631" spans="1:16" ht="18.600000000000001" customHeight="1" x14ac:dyDescent="0.2">
      <c r="A631" s="434" t="str">
        <f>A601</f>
        <v>DANH SÁCH LỚP KET</v>
      </c>
      <c r="B631" s="434"/>
      <c r="C631" s="434"/>
      <c r="D631" s="434"/>
      <c r="E631" s="434"/>
      <c r="F631" s="434"/>
      <c r="G631" s="434"/>
      <c r="H631" s="434"/>
      <c r="I631" s="92" t="s">
        <v>1035</v>
      </c>
      <c r="J631" s="48"/>
      <c r="K631" s="48"/>
      <c r="L631" s="48"/>
      <c r="M631" s="41"/>
      <c r="N631" s="41"/>
      <c r="O631" s="41"/>
      <c r="P631" s="41"/>
    </row>
    <row r="632" spans="1:16" ht="18.600000000000001" customHeight="1" x14ac:dyDescent="0.2">
      <c r="A632" s="28"/>
      <c r="B632" s="29"/>
      <c r="C632" s="30"/>
      <c r="D632" s="36"/>
      <c r="E632" s="28"/>
      <c r="F632" s="28"/>
      <c r="G632" s="28"/>
      <c r="H632" s="28"/>
      <c r="I632" s="79"/>
      <c r="J632" s="28"/>
      <c r="K632" s="28"/>
      <c r="L632" s="28"/>
      <c r="M632" s="28"/>
      <c r="N632" s="28"/>
      <c r="O632" s="28"/>
      <c r="P632" s="28"/>
    </row>
    <row r="633" spans="1:16" ht="18.600000000000001" customHeight="1" x14ac:dyDescent="0.2">
      <c r="A633" s="435" t="s">
        <v>374</v>
      </c>
      <c r="B633" s="435" t="s">
        <v>380</v>
      </c>
      <c r="C633" s="435" t="s">
        <v>383</v>
      </c>
      <c r="D633" s="437" t="s">
        <v>384</v>
      </c>
      <c r="E633" s="438" t="s">
        <v>385</v>
      </c>
      <c r="F633" s="439"/>
      <c r="G633" s="432" t="str">
        <f>$R$1</f>
        <v>Hè 1</v>
      </c>
      <c r="H633" s="433"/>
      <c r="I633" s="432" t="str">
        <f>$T$1</f>
        <v>Hè 2</v>
      </c>
      <c r="J633" s="433"/>
      <c r="K633" s="432" t="str">
        <f>$V$1</f>
        <v>Hè 3</v>
      </c>
      <c r="L633" s="433"/>
      <c r="M633" s="432" t="str">
        <f>$X$1</f>
        <v>.</v>
      </c>
      <c r="N633" s="433"/>
      <c r="O633" s="432" t="str">
        <f>$Z$1</f>
        <v>.</v>
      </c>
      <c r="P633" s="433"/>
    </row>
    <row r="634" spans="1:16" ht="18.600000000000001" customHeight="1" x14ac:dyDescent="0.2">
      <c r="A634" s="436"/>
      <c r="B634" s="436"/>
      <c r="C634" s="436"/>
      <c r="D634" s="436"/>
      <c r="E634" s="31" t="s">
        <v>381</v>
      </c>
      <c r="F634" s="31" t="s">
        <v>382</v>
      </c>
      <c r="G634" s="31" t="s">
        <v>381</v>
      </c>
      <c r="H634" s="31" t="s">
        <v>382</v>
      </c>
      <c r="I634" s="80" t="s">
        <v>381</v>
      </c>
      <c r="J634" s="31" t="s">
        <v>382</v>
      </c>
      <c r="K634" s="80" t="s">
        <v>381</v>
      </c>
      <c r="L634" s="31" t="s">
        <v>382</v>
      </c>
      <c r="M634" s="31" t="s">
        <v>381</v>
      </c>
      <c r="N634" s="31" t="s">
        <v>382</v>
      </c>
      <c r="O634" s="31" t="s">
        <v>381</v>
      </c>
      <c r="P634" s="31" t="s">
        <v>382</v>
      </c>
    </row>
    <row r="635" spans="1:16" ht="18.600000000000001" customHeight="1" x14ac:dyDescent="0.2">
      <c r="A635" s="32">
        <v>1</v>
      </c>
      <c r="B635" s="24"/>
      <c r="C635" s="24"/>
      <c r="D635" s="163"/>
      <c r="E635" s="32"/>
      <c r="F635" s="34"/>
      <c r="G635" s="32"/>
      <c r="H635" s="93"/>
      <c r="I635" s="81"/>
      <c r="J635" s="34"/>
      <c r="K635" s="34"/>
      <c r="L635" s="34"/>
      <c r="M635" s="32"/>
      <c r="N635" s="34"/>
      <c r="O635" s="32"/>
      <c r="P635" s="34"/>
    </row>
    <row r="636" spans="1:16" ht="18.600000000000001" customHeight="1" x14ac:dyDescent="0.2">
      <c r="A636" s="7">
        <f t="shared" ref="A636:A659" si="124">A635+1</f>
        <v>2</v>
      </c>
      <c r="B636" s="25"/>
      <c r="C636" s="25"/>
      <c r="D636" s="24"/>
      <c r="E636" s="7"/>
      <c r="F636" s="7"/>
      <c r="G636" s="7"/>
      <c r="H636" s="7"/>
      <c r="I636" s="82"/>
      <c r="J636" s="7"/>
      <c r="K636" s="7"/>
      <c r="L636" s="7"/>
      <c r="M636" s="7"/>
      <c r="N636" s="7"/>
      <c r="O636" s="7"/>
      <c r="P636" s="7"/>
    </row>
    <row r="637" spans="1:16" ht="18.600000000000001" customHeight="1" x14ac:dyDescent="0.2">
      <c r="A637" s="7">
        <f t="shared" si="124"/>
        <v>3</v>
      </c>
      <c r="B637" s="24"/>
      <c r="C637" s="24"/>
      <c r="D637" s="163"/>
      <c r="E637" s="7"/>
      <c r="F637" s="7"/>
      <c r="G637" s="7"/>
      <c r="H637" s="7"/>
      <c r="I637" s="82"/>
      <c r="J637" s="7"/>
      <c r="K637" s="7"/>
      <c r="L637" s="7"/>
      <c r="M637" s="7"/>
      <c r="N637" s="7"/>
      <c r="O637" s="7"/>
      <c r="P637" s="7"/>
    </row>
    <row r="638" spans="1:16" ht="18.600000000000001" customHeight="1" x14ac:dyDescent="0.3">
      <c r="A638" s="7">
        <f t="shared" si="124"/>
        <v>4</v>
      </c>
      <c r="B638" s="143"/>
      <c r="C638" s="143"/>
      <c r="D638" s="143"/>
      <c r="E638" s="7"/>
      <c r="F638" s="7"/>
      <c r="G638" s="7"/>
      <c r="H638" s="7"/>
      <c r="I638" s="82"/>
      <c r="J638" s="7"/>
      <c r="K638" s="7"/>
      <c r="L638" s="7"/>
      <c r="M638" s="7"/>
      <c r="N638" s="7"/>
      <c r="O638" s="7"/>
      <c r="P638" s="7"/>
    </row>
    <row r="639" spans="1:16" ht="18.600000000000001" customHeight="1" x14ac:dyDescent="0.2">
      <c r="A639" s="6">
        <f t="shared" si="124"/>
        <v>5</v>
      </c>
      <c r="B639" s="25"/>
      <c r="C639" s="25"/>
      <c r="D639" s="163"/>
      <c r="E639" s="16"/>
      <c r="F639" s="16"/>
      <c r="G639" s="16"/>
      <c r="H639" s="16"/>
      <c r="I639" s="83"/>
      <c r="J639" s="16"/>
      <c r="K639" s="16"/>
      <c r="L639" s="16"/>
      <c r="M639" s="16"/>
      <c r="N639" s="16"/>
      <c r="O639" s="16"/>
      <c r="P639" s="16"/>
    </row>
    <row r="640" spans="1:16" ht="18.600000000000001" customHeight="1" x14ac:dyDescent="0.2">
      <c r="A640" s="56">
        <f t="shared" si="124"/>
        <v>6</v>
      </c>
      <c r="B640" s="26"/>
      <c r="C640" s="26"/>
      <c r="D640" s="26"/>
      <c r="E640" s="2"/>
      <c r="F640" s="2"/>
      <c r="G640" s="2"/>
      <c r="H640" s="2"/>
      <c r="I640" s="84"/>
      <c r="J640" s="2"/>
      <c r="K640" s="2"/>
      <c r="L640" s="2"/>
      <c r="M640" s="2"/>
      <c r="N640" s="2"/>
      <c r="O640" s="2"/>
      <c r="P640" s="2"/>
    </row>
    <row r="641" spans="1:16" ht="18.600000000000001" customHeight="1" x14ac:dyDescent="0.2">
      <c r="A641" s="6">
        <f t="shared" si="124"/>
        <v>7</v>
      </c>
      <c r="B641" s="24"/>
      <c r="C641" s="24"/>
      <c r="D641" s="26"/>
      <c r="E641" s="4"/>
      <c r="F641" s="4"/>
      <c r="G641" s="4"/>
      <c r="H641" s="4"/>
      <c r="I641" s="85"/>
      <c r="J641" s="4"/>
      <c r="K641" s="4"/>
      <c r="L641" s="4"/>
      <c r="M641" s="4"/>
      <c r="N641" s="4"/>
      <c r="O641" s="4"/>
      <c r="P641" s="4"/>
    </row>
    <row r="642" spans="1:16" ht="18.600000000000001" customHeight="1" x14ac:dyDescent="0.2">
      <c r="A642" s="6">
        <f t="shared" si="124"/>
        <v>8</v>
      </c>
      <c r="B642" s="26"/>
      <c r="C642" s="26"/>
      <c r="D642" s="26"/>
      <c r="E642" s="4"/>
      <c r="F642" s="4"/>
      <c r="G642" s="4"/>
      <c r="H642" s="4"/>
      <c r="I642" s="85"/>
      <c r="J642" s="4"/>
      <c r="K642" s="4"/>
      <c r="L642" s="4"/>
      <c r="M642" s="4"/>
      <c r="N642" s="4"/>
      <c r="O642" s="4"/>
      <c r="P642" s="4"/>
    </row>
    <row r="643" spans="1:16" ht="18.600000000000001" customHeight="1" x14ac:dyDescent="0.2">
      <c r="A643" s="6">
        <f t="shared" si="124"/>
        <v>9</v>
      </c>
      <c r="B643" s="24"/>
      <c r="C643" s="24"/>
      <c r="D643" s="163"/>
      <c r="E643" s="4"/>
      <c r="F643" s="4"/>
      <c r="G643" s="4"/>
      <c r="H643" s="4"/>
      <c r="I643" s="85"/>
      <c r="J643" s="4"/>
      <c r="K643" s="4"/>
      <c r="L643" s="4"/>
      <c r="M643" s="4"/>
      <c r="N643" s="4"/>
      <c r="O643" s="4"/>
      <c r="P643" s="4"/>
    </row>
    <row r="644" spans="1:16" ht="18.600000000000001" customHeight="1" x14ac:dyDescent="0.2">
      <c r="A644" s="10">
        <f t="shared" si="124"/>
        <v>10</v>
      </c>
      <c r="B644" s="26"/>
      <c r="C644" s="26"/>
      <c r="D644" s="26"/>
      <c r="E644" s="12"/>
      <c r="F644" s="12"/>
      <c r="G644" s="12"/>
      <c r="H644" s="12"/>
      <c r="I644" s="86"/>
      <c r="J644" s="12"/>
      <c r="K644" s="12"/>
      <c r="L644" s="12"/>
      <c r="M644" s="12"/>
      <c r="N644" s="12"/>
      <c r="O644" s="12"/>
      <c r="P644" s="12"/>
    </row>
    <row r="645" spans="1:16" ht="18.600000000000001" customHeight="1" x14ac:dyDescent="0.2">
      <c r="A645" s="35">
        <f t="shared" si="124"/>
        <v>11</v>
      </c>
      <c r="B645" s="24"/>
      <c r="C645" s="24"/>
      <c r="D645" s="163"/>
      <c r="E645" s="14"/>
      <c r="F645" s="14"/>
      <c r="G645" s="14"/>
      <c r="H645" s="14"/>
      <c r="I645" s="87"/>
      <c r="J645" s="14"/>
      <c r="K645" s="14"/>
      <c r="L645" s="14"/>
      <c r="M645" s="14"/>
      <c r="N645" s="14"/>
      <c r="O645" s="14"/>
      <c r="P645" s="14"/>
    </row>
    <row r="646" spans="1:16" ht="18.600000000000001" customHeight="1" x14ac:dyDescent="0.3">
      <c r="A646" s="7">
        <f t="shared" si="124"/>
        <v>12</v>
      </c>
      <c r="B646" s="143"/>
      <c r="C646" s="143"/>
      <c r="D646" s="143"/>
      <c r="E646" s="4"/>
      <c r="F646" s="4"/>
      <c r="G646" s="4"/>
      <c r="H646" s="4"/>
      <c r="I646" s="85"/>
      <c r="J646" s="4"/>
      <c r="K646" s="4"/>
      <c r="L646" s="4"/>
      <c r="M646" s="4"/>
      <c r="N646" s="4"/>
      <c r="O646" s="4"/>
      <c r="P646" s="4"/>
    </row>
    <row r="647" spans="1:16" ht="18.600000000000001" customHeight="1" x14ac:dyDescent="0.2">
      <c r="A647" s="7">
        <f t="shared" si="124"/>
        <v>13</v>
      </c>
      <c r="B647" s="24"/>
      <c r="C647" s="24"/>
      <c r="D647" s="26"/>
      <c r="E647" s="4"/>
      <c r="F647" s="4"/>
      <c r="G647" s="4"/>
      <c r="H647" s="4"/>
      <c r="I647" s="85"/>
      <c r="J647" s="4"/>
      <c r="K647" s="4"/>
      <c r="L647" s="4"/>
      <c r="M647" s="4"/>
      <c r="N647" s="4"/>
      <c r="O647" s="4"/>
      <c r="P647" s="4"/>
    </row>
    <row r="648" spans="1:16" ht="18.600000000000001" customHeight="1" x14ac:dyDescent="0.2">
      <c r="A648" s="7">
        <f t="shared" si="124"/>
        <v>14</v>
      </c>
      <c r="B648" s="24"/>
      <c r="C648" s="24"/>
      <c r="D648" s="163"/>
      <c r="E648" s="4"/>
      <c r="F648" s="4"/>
      <c r="G648" s="4"/>
      <c r="H648" s="4"/>
      <c r="I648" s="85"/>
      <c r="J648" s="4"/>
      <c r="K648" s="4"/>
      <c r="L648" s="4"/>
      <c r="M648" s="4"/>
      <c r="N648" s="4"/>
      <c r="O648" s="4"/>
      <c r="P648" s="4"/>
    </row>
    <row r="649" spans="1:16" ht="18.600000000000001" customHeight="1" x14ac:dyDescent="0.2">
      <c r="A649" s="6">
        <f t="shared" si="124"/>
        <v>15</v>
      </c>
      <c r="B649" s="64"/>
      <c r="C649" s="25"/>
      <c r="D649" s="24"/>
      <c r="E649" s="16"/>
      <c r="F649" s="16"/>
      <c r="G649" s="16"/>
      <c r="H649" s="16"/>
      <c r="I649" s="83"/>
      <c r="J649" s="16"/>
      <c r="K649" s="16"/>
      <c r="L649" s="16"/>
      <c r="M649" s="16"/>
      <c r="N649" s="16"/>
      <c r="O649" s="16"/>
      <c r="P649" s="16"/>
    </row>
    <row r="650" spans="1:16" ht="18.600000000000001" customHeight="1" x14ac:dyDescent="0.2">
      <c r="A650" s="32">
        <f t="shared" si="124"/>
        <v>16</v>
      </c>
      <c r="B650" s="25"/>
      <c r="C650" s="25"/>
      <c r="D650" s="26"/>
      <c r="E650" s="2"/>
      <c r="F650" s="2"/>
      <c r="G650" s="2"/>
      <c r="H650" s="2"/>
      <c r="I650" s="84"/>
      <c r="J650" s="2"/>
      <c r="K650" s="2"/>
      <c r="L650" s="2"/>
      <c r="M650" s="2"/>
      <c r="N650" s="2"/>
      <c r="O650" s="2"/>
      <c r="P650" s="2"/>
    </row>
    <row r="651" spans="1:16" ht="18.600000000000001" customHeight="1" x14ac:dyDescent="0.2">
      <c r="A651" s="7">
        <f t="shared" si="124"/>
        <v>17</v>
      </c>
      <c r="B651" s="25"/>
      <c r="C651" s="25"/>
      <c r="D651" s="163"/>
      <c r="E651" s="4"/>
      <c r="F651" s="4"/>
      <c r="G651" s="4"/>
      <c r="H651" s="4"/>
      <c r="I651" s="85"/>
      <c r="J651" s="4"/>
      <c r="K651" s="4"/>
      <c r="L651" s="4"/>
      <c r="M651" s="4"/>
      <c r="N651" s="4"/>
      <c r="O651" s="4"/>
      <c r="P651" s="4"/>
    </row>
    <row r="652" spans="1:16" ht="18.600000000000001" customHeight="1" x14ac:dyDescent="0.3">
      <c r="A652" s="7">
        <f t="shared" si="124"/>
        <v>18</v>
      </c>
      <c r="B652" s="143"/>
      <c r="C652" s="143"/>
      <c r="D652" s="143"/>
      <c r="E652" s="4"/>
      <c r="F652" s="4"/>
      <c r="G652" s="4"/>
      <c r="H652" s="4"/>
      <c r="I652" s="85"/>
      <c r="J652" s="4"/>
      <c r="K652" s="4"/>
      <c r="L652" s="4"/>
      <c r="M652" s="4"/>
      <c r="N652" s="4"/>
      <c r="O652" s="4"/>
      <c r="P652" s="4"/>
    </row>
    <row r="653" spans="1:16" ht="18.600000000000001" customHeight="1" x14ac:dyDescent="0.2">
      <c r="A653" s="7">
        <f t="shared" si="124"/>
        <v>19</v>
      </c>
      <c r="B653" s="25"/>
      <c r="C653" s="25"/>
      <c r="D653" s="163"/>
      <c r="E653" s="4"/>
      <c r="F653" s="4"/>
      <c r="G653" s="4"/>
      <c r="H653" s="4"/>
      <c r="I653" s="85"/>
      <c r="J653" s="4"/>
      <c r="K653" s="4"/>
      <c r="L653" s="4"/>
      <c r="M653" s="4"/>
      <c r="N653" s="4"/>
      <c r="O653" s="4"/>
      <c r="P653" s="4"/>
    </row>
    <row r="654" spans="1:16" ht="18.600000000000001" customHeight="1" x14ac:dyDescent="0.2">
      <c r="A654" s="10">
        <f t="shared" si="124"/>
        <v>20</v>
      </c>
      <c r="B654" s="64"/>
      <c r="C654" s="25"/>
      <c r="D654" s="24"/>
      <c r="E654" s="12"/>
      <c r="F654" s="12"/>
      <c r="G654" s="12"/>
      <c r="H654" s="12"/>
      <c r="I654" s="86"/>
      <c r="J654" s="12"/>
      <c r="K654" s="12"/>
      <c r="L654" s="12"/>
      <c r="M654" s="12"/>
      <c r="N654" s="12"/>
      <c r="O654" s="12"/>
      <c r="P654" s="12"/>
    </row>
    <row r="655" spans="1:16" ht="18.600000000000001" customHeight="1" x14ac:dyDescent="0.3">
      <c r="A655" s="35">
        <f t="shared" si="124"/>
        <v>21</v>
      </c>
      <c r="B655" s="143"/>
      <c r="C655" s="143"/>
      <c r="D655" s="143"/>
      <c r="E655" s="14"/>
      <c r="F655" s="14"/>
      <c r="G655" s="14"/>
      <c r="H655" s="14"/>
      <c r="I655" s="87"/>
      <c r="J655" s="14"/>
      <c r="K655" s="14"/>
      <c r="L655" s="14"/>
      <c r="M655" s="14"/>
      <c r="N655" s="14"/>
      <c r="O655" s="14"/>
      <c r="P655" s="14"/>
    </row>
    <row r="656" spans="1:16" ht="18.600000000000001" customHeight="1" x14ac:dyDescent="0.2">
      <c r="A656" s="7">
        <f t="shared" si="124"/>
        <v>22</v>
      </c>
      <c r="B656" s="24"/>
      <c r="C656" s="24"/>
      <c r="D656" s="24"/>
      <c r="E656" s="4"/>
      <c r="F656" s="4"/>
      <c r="G656" s="4"/>
      <c r="H656" s="4"/>
      <c r="I656" s="85"/>
      <c r="J656" s="4"/>
      <c r="K656" s="4"/>
      <c r="L656" s="4"/>
      <c r="M656" s="4"/>
      <c r="N656" s="4"/>
      <c r="O656" s="4"/>
      <c r="P656" s="4"/>
    </row>
    <row r="657" spans="1:16" ht="18.600000000000001" customHeight="1" x14ac:dyDescent="0.3">
      <c r="A657" s="35">
        <f t="shared" si="124"/>
        <v>23</v>
      </c>
      <c r="B657" s="143"/>
      <c r="C657" s="143"/>
      <c r="D657" s="143"/>
      <c r="E657" s="4"/>
      <c r="F657" s="4"/>
      <c r="G657" s="4"/>
      <c r="H657" s="4"/>
      <c r="I657" s="85"/>
      <c r="J657" s="4"/>
      <c r="K657" s="4"/>
      <c r="L657" s="4"/>
      <c r="M657" s="4"/>
      <c r="N657" s="4"/>
      <c r="O657" s="4"/>
      <c r="P657" s="4"/>
    </row>
    <row r="658" spans="1:16" ht="18.600000000000001" customHeight="1" x14ac:dyDescent="0.2">
      <c r="A658" s="7">
        <f t="shared" si="124"/>
        <v>24</v>
      </c>
      <c r="B658" s="24"/>
      <c r="C658" s="24"/>
      <c r="D658" s="24"/>
      <c r="E658" s="4"/>
      <c r="F658" s="4"/>
      <c r="G658" s="4"/>
      <c r="H658" s="4"/>
      <c r="I658" s="85"/>
      <c r="J658" s="4"/>
      <c r="K658" s="4"/>
      <c r="L658" s="4"/>
      <c r="M658" s="4"/>
      <c r="N658" s="4"/>
      <c r="O658" s="4"/>
      <c r="P658" s="4"/>
    </row>
    <row r="659" spans="1:16" ht="18.600000000000001" customHeight="1" x14ac:dyDescent="0.2">
      <c r="A659" s="35">
        <f t="shared" si="124"/>
        <v>25</v>
      </c>
      <c r="B659" s="11"/>
      <c r="C659" s="12"/>
      <c r="D659" s="9"/>
      <c r="E659" s="12"/>
      <c r="F659" s="12"/>
      <c r="G659" s="12"/>
      <c r="H659" s="12"/>
      <c r="I659" s="86"/>
      <c r="J659" s="12"/>
      <c r="K659" s="12"/>
      <c r="L659" s="12"/>
      <c r="M659" s="12"/>
      <c r="N659" s="12"/>
      <c r="O659" s="12"/>
      <c r="P659" s="12"/>
    </row>
    <row r="660" spans="1:16" ht="18.600000000000001" customHeight="1" x14ac:dyDescent="0.3">
      <c r="A660" s="147"/>
      <c r="B660" s="148"/>
      <c r="C660" s="147"/>
      <c r="D660" s="149"/>
      <c r="E660" s="150">
        <f>SUBTOTAL(9,E635:E659)</f>
        <v>0</v>
      </c>
      <c r="F660" s="152"/>
      <c r="G660" s="150">
        <f t="shared" ref="G660" si="125">SUBTOTAL(9,G635:G659)</f>
        <v>0</v>
      </c>
      <c r="H660" s="152"/>
      <c r="I660" s="150">
        <f t="shared" ref="I660" si="126">SUBTOTAL(9,I635:I659)</f>
        <v>0</v>
      </c>
      <c r="J660" s="152"/>
      <c r="K660" s="152"/>
      <c r="L660" s="152"/>
      <c r="M660" s="150">
        <f t="shared" ref="M660" si="127">SUBTOTAL(9,M635:M659)</f>
        <v>0</v>
      </c>
      <c r="N660" s="152"/>
      <c r="O660" s="150">
        <f t="shared" ref="O660" si="128">SUBTOTAL(9,O635:O659)</f>
        <v>0</v>
      </c>
      <c r="P660" s="152"/>
    </row>
    <row r="661" spans="1:16" ht="18.600000000000001" customHeight="1" x14ac:dyDescent="0.2">
      <c r="A661" s="434" t="str">
        <f>A631</f>
        <v>DANH SÁCH LỚP KET</v>
      </c>
      <c r="B661" s="434"/>
      <c r="C661" s="434"/>
      <c r="D661" s="434"/>
      <c r="E661" s="434"/>
      <c r="F661" s="434"/>
      <c r="G661" s="434"/>
      <c r="H661" s="434"/>
      <c r="I661" s="92" t="s">
        <v>1036</v>
      </c>
      <c r="J661" s="48"/>
      <c r="K661" s="48"/>
      <c r="L661" s="48"/>
      <c r="M661" s="41"/>
      <c r="N661" s="41"/>
      <c r="O661" s="41"/>
      <c r="P661" s="41"/>
    </row>
    <row r="662" spans="1:16" ht="18.600000000000001" customHeight="1" x14ac:dyDescent="0.2">
      <c r="A662" s="28"/>
      <c r="B662" s="29"/>
      <c r="C662" s="30"/>
      <c r="D662" s="36"/>
      <c r="E662" s="28"/>
      <c r="F662" s="28"/>
      <c r="G662" s="28"/>
      <c r="H662" s="28"/>
      <c r="I662" s="79"/>
      <c r="J662" s="28"/>
      <c r="K662" s="28"/>
      <c r="L662" s="28"/>
      <c r="M662" s="28"/>
      <c r="N662" s="28"/>
      <c r="O662" s="28"/>
      <c r="P662" s="28"/>
    </row>
    <row r="663" spans="1:16" ht="18.600000000000001" customHeight="1" x14ac:dyDescent="0.2">
      <c r="A663" s="435" t="s">
        <v>374</v>
      </c>
      <c r="B663" s="435" t="s">
        <v>380</v>
      </c>
      <c r="C663" s="435" t="s">
        <v>383</v>
      </c>
      <c r="D663" s="437" t="s">
        <v>384</v>
      </c>
      <c r="E663" s="438" t="s">
        <v>385</v>
      </c>
      <c r="F663" s="439"/>
      <c r="G663" s="432" t="str">
        <f>$R$1</f>
        <v>Hè 1</v>
      </c>
      <c r="H663" s="433"/>
      <c r="I663" s="432" t="str">
        <f>$T$1</f>
        <v>Hè 2</v>
      </c>
      <c r="J663" s="433"/>
      <c r="K663" s="432" t="str">
        <f>$V$1</f>
        <v>Hè 3</v>
      </c>
      <c r="L663" s="433"/>
      <c r="M663" s="432" t="str">
        <f>$X$1</f>
        <v>.</v>
      </c>
      <c r="N663" s="433"/>
      <c r="O663" s="432" t="str">
        <f>$Z$1</f>
        <v>.</v>
      </c>
      <c r="P663" s="433"/>
    </row>
    <row r="664" spans="1:16" ht="18.600000000000001" customHeight="1" x14ac:dyDescent="0.2">
      <c r="A664" s="436"/>
      <c r="B664" s="436"/>
      <c r="C664" s="436"/>
      <c r="D664" s="436"/>
      <c r="E664" s="31" t="s">
        <v>381</v>
      </c>
      <c r="F664" s="31" t="s">
        <v>382</v>
      </c>
      <c r="G664" s="31" t="s">
        <v>381</v>
      </c>
      <c r="H664" s="31" t="s">
        <v>382</v>
      </c>
      <c r="I664" s="80" t="s">
        <v>381</v>
      </c>
      <c r="J664" s="31" t="s">
        <v>382</v>
      </c>
      <c r="K664" s="80" t="s">
        <v>381</v>
      </c>
      <c r="L664" s="31" t="s">
        <v>382</v>
      </c>
      <c r="M664" s="31" t="s">
        <v>381</v>
      </c>
      <c r="N664" s="31" t="s">
        <v>382</v>
      </c>
      <c r="O664" s="31" t="s">
        <v>381</v>
      </c>
      <c r="P664" s="31" t="s">
        <v>382</v>
      </c>
    </row>
    <row r="665" spans="1:16" ht="18.600000000000001" customHeight="1" x14ac:dyDescent="0.2">
      <c r="A665" s="32">
        <v>1</v>
      </c>
      <c r="B665" s="24"/>
      <c r="C665" s="24"/>
      <c r="D665" s="24"/>
      <c r="E665" s="32"/>
      <c r="F665" s="34"/>
      <c r="G665" s="32"/>
      <c r="H665" s="93"/>
      <c r="I665" s="81"/>
      <c r="J665" s="34"/>
      <c r="K665" s="34"/>
      <c r="L665" s="34"/>
      <c r="M665" s="32"/>
      <c r="N665" s="34"/>
      <c r="O665" s="32"/>
      <c r="P665" s="34"/>
    </row>
    <row r="666" spans="1:16" ht="18.600000000000001" customHeight="1" x14ac:dyDescent="0.2">
      <c r="A666" s="7">
        <f t="shared" ref="A666:A689" si="129">A665+1</f>
        <v>2</v>
      </c>
      <c r="B666" s="24"/>
      <c r="C666" s="24"/>
      <c r="D666" s="163"/>
      <c r="E666" s="7"/>
      <c r="F666" s="7"/>
      <c r="G666" s="7"/>
      <c r="H666" s="7"/>
      <c r="I666" s="82"/>
      <c r="J666" s="7"/>
      <c r="K666" s="7"/>
      <c r="L666" s="7"/>
      <c r="M666" s="7"/>
      <c r="N666" s="7"/>
      <c r="O666" s="7"/>
      <c r="P666" s="7"/>
    </row>
    <row r="667" spans="1:16" ht="18.600000000000001" customHeight="1" x14ac:dyDescent="0.2">
      <c r="A667" s="7">
        <f t="shared" si="129"/>
        <v>3</v>
      </c>
      <c r="B667" s="24"/>
      <c r="C667" s="24"/>
      <c r="D667" s="24"/>
      <c r="E667" s="7"/>
      <c r="F667" s="7"/>
      <c r="G667" s="7"/>
      <c r="H667" s="7"/>
      <c r="I667" s="82"/>
      <c r="J667" s="7"/>
      <c r="K667" s="7"/>
      <c r="L667" s="7"/>
      <c r="M667" s="7"/>
      <c r="N667" s="7"/>
      <c r="O667" s="7"/>
      <c r="P667" s="7"/>
    </row>
    <row r="668" spans="1:16" ht="18.600000000000001" customHeight="1" x14ac:dyDescent="0.2">
      <c r="A668" s="7">
        <f t="shared" si="129"/>
        <v>4</v>
      </c>
      <c r="B668" s="24"/>
      <c r="C668" s="24"/>
      <c r="D668" s="24"/>
      <c r="E668" s="7"/>
      <c r="F668" s="7"/>
      <c r="G668" s="7"/>
      <c r="H668" s="7"/>
      <c r="I668" s="82"/>
      <c r="J668" s="7"/>
      <c r="K668" s="7"/>
      <c r="L668" s="7"/>
      <c r="M668" s="7"/>
      <c r="N668" s="7"/>
      <c r="O668" s="7"/>
      <c r="P668" s="7"/>
    </row>
    <row r="669" spans="1:16" ht="18.600000000000001" customHeight="1" x14ac:dyDescent="0.2">
      <c r="A669" s="6">
        <f t="shared" si="129"/>
        <v>5</v>
      </c>
      <c r="B669" s="64"/>
      <c r="C669" s="25"/>
      <c r="D669" s="24"/>
      <c r="E669" s="16"/>
      <c r="F669" s="16"/>
      <c r="G669" s="16"/>
      <c r="H669" s="16"/>
      <c r="I669" s="83"/>
      <c r="J669" s="16"/>
      <c r="K669" s="16"/>
      <c r="L669" s="16"/>
      <c r="M669" s="16"/>
      <c r="N669" s="16"/>
      <c r="O669" s="16"/>
      <c r="P669" s="16"/>
    </row>
    <row r="670" spans="1:16" ht="18.600000000000001" customHeight="1" x14ac:dyDescent="0.2">
      <c r="A670" s="56">
        <f t="shared" si="129"/>
        <v>6</v>
      </c>
      <c r="B670" s="24"/>
      <c r="C670" s="24"/>
      <c r="D670" s="163"/>
      <c r="E670" s="2"/>
      <c r="F670" s="2"/>
      <c r="G670" s="2"/>
      <c r="H670" s="2"/>
      <c r="I670" s="84"/>
      <c r="J670" s="2"/>
      <c r="K670" s="2"/>
      <c r="L670" s="2"/>
      <c r="M670" s="2"/>
      <c r="N670" s="2"/>
      <c r="O670" s="2"/>
      <c r="P670" s="2"/>
    </row>
    <row r="671" spans="1:16" ht="18.600000000000001" customHeight="1" x14ac:dyDescent="0.2">
      <c r="A671" s="6">
        <f t="shared" si="129"/>
        <v>7</v>
      </c>
      <c r="B671" s="24"/>
      <c r="C671" s="24"/>
      <c r="D671" s="26"/>
      <c r="E671" s="4"/>
      <c r="F671" s="4"/>
      <c r="G671" s="4"/>
      <c r="H671" s="4"/>
      <c r="I671" s="85"/>
      <c r="J671" s="4"/>
      <c r="K671" s="4"/>
      <c r="L671" s="4"/>
      <c r="M671" s="4"/>
      <c r="N671" s="4"/>
      <c r="O671" s="4"/>
      <c r="P671" s="4"/>
    </row>
    <row r="672" spans="1:16" ht="18.600000000000001" customHeight="1" x14ac:dyDescent="0.2">
      <c r="A672" s="6">
        <f t="shared" si="129"/>
        <v>8</v>
      </c>
      <c r="B672" s="25"/>
      <c r="C672" s="25"/>
      <c r="D672" s="163"/>
      <c r="E672" s="4"/>
      <c r="F672" s="4"/>
      <c r="G672" s="4"/>
      <c r="H672" s="4"/>
      <c r="I672" s="85"/>
      <c r="J672" s="4"/>
      <c r="K672" s="4"/>
      <c r="L672" s="4"/>
      <c r="M672" s="4"/>
      <c r="N672" s="4"/>
      <c r="O672" s="4"/>
      <c r="P672" s="4"/>
    </row>
    <row r="673" spans="1:16" ht="18.600000000000001" customHeight="1" x14ac:dyDescent="0.2">
      <c r="A673" s="6">
        <f t="shared" si="129"/>
        <v>9</v>
      </c>
      <c r="B673" s="64"/>
      <c r="C673" s="25"/>
      <c r="D673" s="24"/>
      <c r="E673" s="4"/>
      <c r="F673" s="4"/>
      <c r="G673" s="4"/>
      <c r="H673" s="4"/>
      <c r="I673" s="85"/>
      <c r="J673" s="4"/>
      <c r="K673" s="4"/>
      <c r="L673" s="4"/>
      <c r="M673" s="4"/>
      <c r="N673" s="4"/>
      <c r="O673" s="4"/>
      <c r="P673" s="4"/>
    </row>
    <row r="674" spans="1:16" ht="18.600000000000001" customHeight="1" x14ac:dyDescent="0.2">
      <c r="A674" s="10">
        <f t="shared" si="129"/>
        <v>10</v>
      </c>
      <c r="B674" s="24"/>
      <c r="C674" s="24"/>
      <c r="D674" s="24"/>
      <c r="E674" s="12"/>
      <c r="F674" s="12"/>
      <c r="G674" s="12"/>
      <c r="H674" s="12"/>
      <c r="I674" s="86"/>
      <c r="J674" s="12"/>
      <c r="K674" s="12"/>
      <c r="L674" s="12"/>
      <c r="M674" s="12"/>
      <c r="N674" s="12"/>
      <c r="O674" s="12"/>
      <c r="P674" s="12"/>
    </row>
    <row r="675" spans="1:16" ht="18.600000000000001" customHeight="1" x14ac:dyDescent="0.3">
      <c r="A675" s="35">
        <f t="shared" si="129"/>
        <v>11</v>
      </c>
      <c r="B675" s="143"/>
      <c r="C675" s="143"/>
      <c r="D675" s="143"/>
      <c r="E675" s="14"/>
      <c r="F675" s="14"/>
      <c r="G675" s="14"/>
      <c r="H675" s="14"/>
      <c r="I675" s="87"/>
      <c r="J675" s="14"/>
      <c r="K675" s="14"/>
      <c r="L675" s="14"/>
      <c r="M675" s="14"/>
      <c r="N675" s="14"/>
      <c r="O675" s="14"/>
      <c r="P675" s="14"/>
    </row>
    <row r="676" spans="1:16" ht="18.600000000000001" customHeight="1" x14ac:dyDescent="0.2">
      <c r="A676" s="7">
        <f t="shared" si="129"/>
        <v>12</v>
      </c>
      <c r="B676" s="24"/>
      <c r="C676" s="24"/>
      <c r="D676" s="163"/>
      <c r="E676" s="4"/>
      <c r="F676" s="4"/>
      <c r="G676" s="4"/>
      <c r="H676" s="4"/>
      <c r="I676" s="85"/>
      <c r="J676" s="4"/>
      <c r="K676" s="4"/>
      <c r="L676" s="4"/>
      <c r="M676" s="4"/>
      <c r="N676" s="4"/>
      <c r="O676" s="4"/>
      <c r="P676" s="4"/>
    </row>
    <row r="677" spans="1:16" ht="18.600000000000001" customHeight="1" x14ac:dyDescent="0.2">
      <c r="A677" s="7">
        <f t="shared" si="129"/>
        <v>13</v>
      </c>
      <c r="B677" s="64"/>
      <c r="C677" s="25"/>
      <c r="D677" s="24"/>
      <c r="E677" s="4"/>
      <c r="F677" s="4"/>
      <c r="G677" s="4"/>
      <c r="H677" s="4"/>
      <c r="I677" s="85"/>
      <c r="J677" s="4"/>
      <c r="K677" s="4"/>
      <c r="L677" s="4"/>
      <c r="M677" s="4"/>
      <c r="N677" s="4"/>
      <c r="O677" s="4"/>
      <c r="P677" s="4"/>
    </row>
    <row r="678" spans="1:16" ht="18.600000000000001" customHeight="1" x14ac:dyDescent="0.2">
      <c r="A678" s="7">
        <f t="shared" si="129"/>
        <v>14</v>
      </c>
      <c r="B678" s="25"/>
      <c r="C678" s="25"/>
      <c r="D678" s="163"/>
      <c r="E678" s="4"/>
      <c r="F678" s="4"/>
      <c r="G678" s="4"/>
      <c r="H678" s="4"/>
      <c r="I678" s="85"/>
      <c r="J678" s="4"/>
      <c r="K678" s="4"/>
      <c r="L678" s="4"/>
      <c r="M678" s="4"/>
      <c r="N678" s="4"/>
      <c r="O678" s="4"/>
      <c r="P678" s="4"/>
    </row>
    <row r="679" spans="1:16" ht="18.600000000000001" customHeight="1" x14ac:dyDescent="0.2">
      <c r="A679" s="6">
        <f t="shared" si="129"/>
        <v>15</v>
      </c>
      <c r="B679" s="26"/>
      <c r="C679" s="26"/>
      <c r="D679" s="26"/>
      <c r="E679" s="16"/>
      <c r="F679" s="16"/>
      <c r="G679" s="16"/>
      <c r="H679" s="16"/>
      <c r="I679" s="83"/>
      <c r="J679" s="16"/>
      <c r="K679" s="16"/>
      <c r="L679" s="16"/>
      <c r="M679" s="16"/>
      <c r="N679" s="16"/>
      <c r="O679" s="16"/>
      <c r="P679" s="16"/>
    </row>
    <row r="680" spans="1:16" ht="18.600000000000001" customHeight="1" x14ac:dyDescent="0.2">
      <c r="A680" s="32">
        <f t="shared" si="129"/>
        <v>16</v>
      </c>
      <c r="B680" s="24"/>
      <c r="C680" s="24"/>
      <c r="D680" s="26"/>
      <c r="E680" s="2"/>
      <c r="F680" s="2"/>
      <c r="G680" s="2"/>
      <c r="H680" s="2"/>
      <c r="I680" s="84"/>
      <c r="J680" s="2"/>
      <c r="K680" s="2"/>
      <c r="L680" s="2"/>
      <c r="M680" s="2"/>
      <c r="N680" s="2"/>
      <c r="O680" s="2"/>
      <c r="P680" s="2"/>
    </row>
    <row r="681" spans="1:16" ht="18.600000000000001" customHeight="1" x14ac:dyDescent="0.2">
      <c r="A681" s="7">
        <f t="shared" si="129"/>
        <v>17</v>
      </c>
      <c r="B681" s="64"/>
      <c r="C681" s="25"/>
      <c r="D681" s="24"/>
      <c r="E681" s="4"/>
      <c r="F681" s="4"/>
      <c r="G681" s="4"/>
      <c r="H681" s="4"/>
      <c r="I681" s="85"/>
      <c r="J681" s="4"/>
      <c r="K681" s="4"/>
      <c r="L681" s="4"/>
      <c r="M681" s="4"/>
      <c r="N681" s="4"/>
      <c r="O681" s="4"/>
      <c r="P681" s="4"/>
    </row>
    <row r="682" spans="1:16" ht="18.600000000000001" customHeight="1" x14ac:dyDescent="0.2">
      <c r="A682" s="7">
        <f t="shared" si="129"/>
        <v>18</v>
      </c>
      <c r="B682" s="64"/>
      <c r="C682" s="25"/>
      <c r="D682" s="24"/>
      <c r="E682" s="4"/>
      <c r="F682" s="4"/>
      <c r="G682" s="4"/>
      <c r="H682" s="4"/>
      <c r="I682" s="85"/>
      <c r="J682" s="4"/>
      <c r="K682" s="4"/>
      <c r="L682" s="4"/>
      <c r="M682" s="4"/>
      <c r="N682" s="4"/>
      <c r="O682" s="4"/>
      <c r="P682" s="4"/>
    </row>
    <row r="683" spans="1:16" ht="18.600000000000001" customHeight="1" x14ac:dyDescent="0.2">
      <c r="A683" s="7">
        <f t="shared" si="129"/>
        <v>19</v>
      </c>
      <c r="B683" s="64"/>
      <c r="C683" s="25"/>
      <c r="D683" s="24"/>
      <c r="E683" s="4"/>
      <c r="F683" s="4"/>
      <c r="G683" s="4"/>
      <c r="H683" s="4"/>
      <c r="I683" s="85"/>
      <c r="J683" s="4"/>
      <c r="K683" s="4"/>
      <c r="L683" s="4"/>
      <c r="M683" s="4"/>
      <c r="N683" s="4"/>
      <c r="O683" s="4"/>
      <c r="P683" s="4"/>
    </row>
    <row r="684" spans="1:16" ht="18.600000000000001" customHeight="1" x14ac:dyDescent="0.2">
      <c r="A684" s="10">
        <f t="shared" si="129"/>
        <v>20</v>
      </c>
      <c r="B684" s="25"/>
      <c r="C684" s="25"/>
      <c r="D684" s="163"/>
      <c r="E684" s="12"/>
      <c r="F684" s="12"/>
      <c r="G684" s="12"/>
      <c r="H684" s="12"/>
      <c r="I684" s="86"/>
      <c r="J684" s="12"/>
      <c r="K684" s="12"/>
      <c r="L684" s="12"/>
      <c r="M684" s="12"/>
      <c r="N684" s="12"/>
      <c r="O684" s="12"/>
      <c r="P684" s="12"/>
    </row>
    <row r="685" spans="1:16" ht="18.600000000000001" customHeight="1" x14ac:dyDescent="0.2">
      <c r="A685" s="35">
        <f t="shared" si="129"/>
        <v>21</v>
      </c>
      <c r="B685" s="24"/>
      <c r="C685" s="24"/>
      <c r="D685" s="24"/>
      <c r="E685" s="14"/>
      <c r="F685" s="14"/>
      <c r="G685" s="14"/>
      <c r="H685" s="14"/>
      <c r="I685" s="87"/>
      <c r="J685" s="14"/>
      <c r="K685" s="14"/>
      <c r="L685" s="14"/>
      <c r="M685" s="14"/>
      <c r="N685" s="14"/>
      <c r="O685" s="14"/>
      <c r="P685" s="14"/>
    </row>
    <row r="686" spans="1:16" ht="18.600000000000001" customHeight="1" x14ac:dyDescent="0.2">
      <c r="A686" s="7">
        <f t="shared" si="129"/>
        <v>22</v>
      </c>
      <c r="B686" s="3"/>
      <c r="C686" s="4"/>
      <c r="D686" s="8"/>
      <c r="E686" s="4"/>
      <c r="F686" s="4"/>
      <c r="G686" s="4"/>
      <c r="H686" s="4"/>
      <c r="I686" s="85"/>
      <c r="J686" s="4"/>
      <c r="K686" s="4"/>
      <c r="L686" s="4"/>
      <c r="M686" s="4"/>
      <c r="N686" s="4"/>
      <c r="O686" s="4"/>
      <c r="P686" s="4"/>
    </row>
    <row r="687" spans="1:16" ht="18.600000000000001" customHeight="1" x14ac:dyDescent="0.2">
      <c r="A687" s="35">
        <f t="shared" si="129"/>
        <v>23</v>
      </c>
      <c r="B687" s="3"/>
      <c r="C687" s="4"/>
      <c r="D687" s="8"/>
      <c r="E687" s="4"/>
      <c r="F687" s="4"/>
      <c r="G687" s="4"/>
      <c r="H687" s="4"/>
      <c r="I687" s="85"/>
      <c r="J687" s="4"/>
      <c r="K687" s="4"/>
      <c r="L687" s="4"/>
      <c r="M687" s="4"/>
      <c r="N687" s="4"/>
      <c r="O687" s="4"/>
      <c r="P687" s="4"/>
    </row>
    <row r="688" spans="1:16" ht="18.600000000000001" customHeight="1" x14ac:dyDescent="0.2">
      <c r="A688" s="7">
        <f t="shared" si="129"/>
        <v>24</v>
      </c>
      <c r="B688" s="3"/>
      <c r="C688" s="4"/>
      <c r="D688" s="8"/>
      <c r="E688" s="4"/>
      <c r="F688" s="4"/>
      <c r="G688" s="4"/>
      <c r="H688" s="4"/>
      <c r="I688" s="85"/>
      <c r="J688" s="4"/>
      <c r="K688" s="4"/>
      <c r="L688" s="4"/>
      <c r="M688" s="4"/>
      <c r="N688" s="4"/>
      <c r="O688" s="4"/>
      <c r="P688" s="4"/>
    </row>
    <row r="689" spans="1:16" ht="18.600000000000001" customHeight="1" x14ac:dyDescent="0.2">
      <c r="A689" s="35">
        <f t="shared" si="129"/>
        <v>25</v>
      </c>
      <c r="B689" s="11"/>
      <c r="C689" s="12"/>
      <c r="D689" s="9"/>
      <c r="E689" s="12"/>
      <c r="F689" s="12"/>
      <c r="G689" s="12"/>
      <c r="H689" s="12"/>
      <c r="I689" s="86"/>
      <c r="J689" s="12"/>
      <c r="K689" s="12"/>
      <c r="L689" s="12"/>
      <c r="M689" s="12"/>
      <c r="N689" s="12"/>
      <c r="O689" s="12"/>
      <c r="P689" s="12"/>
    </row>
    <row r="690" spans="1:16" ht="18.600000000000001" customHeight="1" x14ac:dyDescent="0.3">
      <c r="A690" s="147"/>
      <c r="B690" s="148"/>
      <c r="C690" s="147"/>
      <c r="D690" s="149"/>
      <c r="E690" s="150">
        <f>SUBTOTAL(9,E665:E689)</f>
        <v>0</v>
      </c>
      <c r="F690" s="152"/>
      <c r="G690" s="150">
        <f t="shared" ref="G690" si="130">SUBTOTAL(9,G665:G689)</f>
        <v>0</v>
      </c>
      <c r="H690" s="152"/>
      <c r="I690" s="150">
        <f t="shared" ref="I690" si="131">SUBTOTAL(9,I665:I689)</f>
        <v>0</v>
      </c>
      <c r="J690" s="152"/>
      <c r="K690" s="152"/>
      <c r="L690" s="152"/>
      <c r="M690" s="150">
        <f t="shared" ref="M690" si="132">SUBTOTAL(9,M665:M689)</f>
        <v>0</v>
      </c>
      <c r="N690" s="152"/>
      <c r="O690" s="150">
        <f t="shared" ref="O690" si="133">SUBTOTAL(9,O665:O689)</f>
        <v>0</v>
      </c>
      <c r="P690" s="152"/>
    </row>
    <row r="691" spans="1:16" ht="18.600000000000001" customHeight="1" x14ac:dyDescent="0.2">
      <c r="A691" s="434" t="str">
        <f>A661</f>
        <v>DANH SÁCH LỚP KET</v>
      </c>
      <c r="B691" s="434"/>
      <c r="C691" s="434"/>
      <c r="D691" s="434"/>
      <c r="E691" s="434"/>
      <c r="F691" s="434"/>
      <c r="G691" s="434"/>
      <c r="H691" s="434"/>
      <c r="I691" s="92" t="s">
        <v>849</v>
      </c>
      <c r="J691" s="48"/>
      <c r="K691" s="48"/>
      <c r="L691" s="48"/>
      <c r="M691" s="41"/>
      <c r="N691" s="41"/>
      <c r="O691" s="41"/>
      <c r="P691" s="41"/>
    </row>
    <row r="692" spans="1:16" ht="18.600000000000001" customHeight="1" x14ac:dyDescent="0.2">
      <c r="A692" s="28"/>
      <c r="B692" s="29"/>
      <c r="C692" s="30"/>
      <c r="D692" s="36"/>
      <c r="E692" s="28"/>
      <c r="F692" s="28"/>
      <c r="G692" s="28"/>
      <c r="H692" s="28"/>
      <c r="I692" s="79"/>
      <c r="J692" s="28"/>
      <c r="K692" s="28"/>
      <c r="L692" s="28"/>
      <c r="M692" s="28"/>
      <c r="N692" s="28"/>
      <c r="O692" s="28"/>
      <c r="P692" s="28"/>
    </row>
    <row r="693" spans="1:16" ht="18.600000000000001" customHeight="1" x14ac:dyDescent="0.2">
      <c r="A693" s="435" t="s">
        <v>374</v>
      </c>
      <c r="B693" s="435" t="s">
        <v>380</v>
      </c>
      <c r="C693" s="435" t="s">
        <v>383</v>
      </c>
      <c r="D693" s="437" t="s">
        <v>384</v>
      </c>
      <c r="E693" s="438" t="s">
        <v>385</v>
      </c>
      <c r="F693" s="439"/>
      <c r="G693" s="432" t="str">
        <f>$R$1</f>
        <v>Hè 1</v>
      </c>
      <c r="H693" s="433"/>
      <c r="I693" s="432" t="str">
        <f>$T$1</f>
        <v>Hè 2</v>
      </c>
      <c r="J693" s="433"/>
      <c r="K693" s="432" t="str">
        <f>$V$1</f>
        <v>Hè 3</v>
      </c>
      <c r="L693" s="433"/>
      <c r="M693" s="432" t="str">
        <f>$X$1</f>
        <v>.</v>
      </c>
      <c r="N693" s="433"/>
      <c r="O693" s="432" t="str">
        <f>$Z$1</f>
        <v>.</v>
      </c>
      <c r="P693" s="433"/>
    </row>
    <row r="694" spans="1:16" ht="18.600000000000001" customHeight="1" x14ac:dyDescent="0.2">
      <c r="A694" s="436"/>
      <c r="B694" s="436"/>
      <c r="C694" s="436"/>
      <c r="D694" s="436"/>
      <c r="E694" s="31" t="s">
        <v>381</v>
      </c>
      <c r="F694" s="31" t="s">
        <v>382</v>
      </c>
      <c r="G694" s="31" t="s">
        <v>381</v>
      </c>
      <c r="H694" s="31" t="s">
        <v>382</v>
      </c>
      <c r="I694" s="80" t="s">
        <v>381</v>
      </c>
      <c r="J694" s="31" t="s">
        <v>382</v>
      </c>
      <c r="K694" s="80" t="s">
        <v>381</v>
      </c>
      <c r="L694" s="31" t="s">
        <v>382</v>
      </c>
      <c r="M694" s="31" t="s">
        <v>381</v>
      </c>
      <c r="N694" s="31" t="s">
        <v>382</v>
      </c>
      <c r="O694" s="31" t="s">
        <v>381</v>
      </c>
      <c r="P694" s="31" t="s">
        <v>382</v>
      </c>
    </row>
    <row r="695" spans="1:16" ht="18.600000000000001" customHeight="1" x14ac:dyDescent="0.2">
      <c r="A695" s="32">
        <v>1</v>
      </c>
      <c r="B695" s="24"/>
      <c r="C695" s="24"/>
      <c r="D695" s="163"/>
      <c r="E695" s="32"/>
      <c r="F695" s="34"/>
      <c r="G695" s="32"/>
      <c r="H695" s="93"/>
      <c r="I695" s="81"/>
      <c r="J695" s="34"/>
      <c r="K695" s="34"/>
      <c r="L695" s="34"/>
      <c r="M695" s="32"/>
      <c r="N695" s="34"/>
      <c r="O695" s="32"/>
      <c r="P695" s="34"/>
    </row>
    <row r="696" spans="1:16" ht="18.600000000000001" customHeight="1" x14ac:dyDescent="0.2">
      <c r="A696" s="7">
        <f t="shared" ref="A696:A719" si="134">A695+1</f>
        <v>2</v>
      </c>
      <c r="B696" s="24"/>
      <c r="C696" s="24"/>
      <c r="D696" s="24"/>
      <c r="E696" s="7"/>
      <c r="F696" s="7"/>
      <c r="G696" s="7"/>
      <c r="H696" s="7"/>
      <c r="I696" s="82"/>
      <c r="J696" s="7"/>
      <c r="K696" s="7"/>
      <c r="L696" s="7"/>
      <c r="M696" s="7"/>
      <c r="N696" s="7"/>
      <c r="O696" s="7"/>
      <c r="P696" s="7"/>
    </row>
    <row r="697" spans="1:16" ht="18.600000000000001" customHeight="1" x14ac:dyDescent="0.2">
      <c r="A697" s="7">
        <f t="shared" si="134"/>
        <v>3</v>
      </c>
      <c r="B697" s="24"/>
      <c r="C697" s="24"/>
      <c r="D697" s="163"/>
      <c r="E697" s="7"/>
      <c r="F697" s="7"/>
      <c r="G697" s="7"/>
      <c r="H697" s="7"/>
      <c r="I697" s="82"/>
      <c r="J697" s="7"/>
      <c r="K697" s="7"/>
      <c r="L697" s="7"/>
      <c r="M697" s="7"/>
      <c r="N697" s="7"/>
      <c r="O697" s="7"/>
      <c r="P697" s="7"/>
    </row>
    <row r="698" spans="1:16" ht="18.600000000000001" customHeight="1" x14ac:dyDescent="0.2">
      <c r="A698" s="7">
        <f t="shared" si="134"/>
        <v>4</v>
      </c>
      <c r="B698" s="24"/>
      <c r="C698" s="24"/>
      <c r="D698" s="163"/>
      <c r="E698" s="7"/>
      <c r="F698" s="7"/>
      <c r="G698" s="7"/>
      <c r="H698" s="7"/>
      <c r="I698" s="82"/>
      <c r="J698" s="7"/>
      <c r="K698" s="7"/>
      <c r="L698" s="7"/>
      <c r="M698" s="7"/>
      <c r="N698" s="7"/>
      <c r="O698" s="7"/>
      <c r="P698" s="7"/>
    </row>
    <row r="699" spans="1:16" ht="18.600000000000001" customHeight="1" x14ac:dyDescent="0.2">
      <c r="A699" s="6">
        <f t="shared" si="134"/>
        <v>5</v>
      </c>
      <c r="B699" s="25"/>
      <c r="C699" s="24"/>
      <c r="D699" s="163"/>
      <c r="E699" s="16"/>
      <c r="F699" s="16"/>
      <c r="G699" s="16"/>
      <c r="H699" s="16"/>
      <c r="I699" s="83"/>
      <c r="J699" s="16"/>
      <c r="K699" s="16"/>
      <c r="L699" s="16"/>
      <c r="M699" s="16"/>
      <c r="N699" s="16"/>
      <c r="O699" s="16"/>
      <c r="P699" s="16"/>
    </row>
    <row r="700" spans="1:16" ht="18.600000000000001" customHeight="1" x14ac:dyDescent="0.2">
      <c r="A700" s="56">
        <f t="shared" si="134"/>
        <v>6</v>
      </c>
      <c r="B700" s="24"/>
      <c r="C700" s="24"/>
      <c r="D700" s="163"/>
      <c r="E700" s="2"/>
      <c r="F700" s="2"/>
      <c r="G700" s="2"/>
      <c r="H700" s="2"/>
      <c r="I700" s="84"/>
      <c r="J700" s="2"/>
      <c r="K700" s="2"/>
      <c r="L700" s="2"/>
      <c r="M700" s="2"/>
      <c r="N700" s="2"/>
      <c r="O700" s="2"/>
      <c r="P700" s="2"/>
    </row>
    <row r="701" spans="1:16" ht="18.600000000000001" customHeight="1" x14ac:dyDescent="0.2">
      <c r="A701" s="6">
        <f t="shared" si="134"/>
        <v>7</v>
      </c>
      <c r="B701" s="24"/>
      <c r="C701" s="24"/>
      <c r="D701" s="25"/>
      <c r="E701" s="4"/>
      <c r="F701" s="4"/>
      <c r="G701" s="4"/>
      <c r="H701" s="4"/>
      <c r="I701" s="85"/>
      <c r="J701" s="4"/>
      <c r="K701" s="4"/>
      <c r="L701" s="4"/>
      <c r="M701" s="4"/>
      <c r="N701" s="4"/>
      <c r="O701" s="4"/>
      <c r="P701" s="4"/>
    </row>
    <row r="702" spans="1:16" ht="18.600000000000001" customHeight="1" x14ac:dyDescent="0.2">
      <c r="A702" s="6">
        <f t="shared" si="134"/>
        <v>8</v>
      </c>
      <c r="B702" s="24"/>
      <c r="C702" s="24"/>
      <c r="D702" s="163"/>
      <c r="E702" s="4"/>
      <c r="F702" s="4"/>
      <c r="G702" s="4"/>
      <c r="H702" s="4"/>
      <c r="I702" s="85"/>
      <c r="J702" s="4"/>
      <c r="K702" s="4"/>
      <c r="L702" s="4"/>
      <c r="M702" s="4"/>
      <c r="N702" s="4"/>
      <c r="O702" s="4"/>
      <c r="P702" s="4"/>
    </row>
    <row r="703" spans="1:16" ht="18.600000000000001" customHeight="1" x14ac:dyDescent="0.2">
      <c r="A703" s="6">
        <f t="shared" si="134"/>
        <v>9</v>
      </c>
      <c r="B703" s="24"/>
      <c r="C703" s="24"/>
      <c r="D703" s="24"/>
      <c r="E703" s="4"/>
      <c r="F703" s="4"/>
      <c r="G703" s="4"/>
      <c r="H703" s="4"/>
      <c r="I703" s="85"/>
      <c r="J703" s="4"/>
      <c r="K703" s="4"/>
      <c r="L703" s="4"/>
      <c r="M703" s="4"/>
      <c r="N703" s="4"/>
      <c r="O703" s="4"/>
      <c r="P703" s="4"/>
    </row>
    <row r="704" spans="1:16" ht="18.600000000000001" customHeight="1" x14ac:dyDescent="0.2">
      <c r="A704" s="10">
        <f t="shared" si="134"/>
        <v>10</v>
      </c>
      <c r="B704" s="24"/>
      <c r="C704" s="24"/>
      <c r="D704" s="163"/>
      <c r="E704" s="12"/>
      <c r="F704" s="12"/>
      <c r="G704" s="12"/>
      <c r="H704" s="12"/>
      <c r="I704" s="86"/>
      <c r="J704" s="12"/>
      <c r="K704" s="12"/>
      <c r="L704" s="12"/>
      <c r="M704" s="12"/>
      <c r="N704" s="12"/>
      <c r="O704" s="12"/>
      <c r="P704" s="12"/>
    </row>
    <row r="705" spans="1:16" ht="18.600000000000001" customHeight="1" x14ac:dyDescent="0.2">
      <c r="A705" s="35">
        <f t="shared" si="134"/>
        <v>11</v>
      </c>
      <c r="B705" s="24"/>
      <c r="C705" s="24"/>
      <c r="D705" s="24"/>
      <c r="E705" s="14"/>
      <c r="F705" s="14"/>
      <c r="G705" s="14"/>
      <c r="H705" s="14"/>
      <c r="I705" s="87"/>
      <c r="J705" s="14"/>
      <c r="K705" s="14"/>
      <c r="L705" s="14"/>
      <c r="M705" s="14"/>
      <c r="N705" s="14"/>
      <c r="O705" s="14"/>
      <c r="P705" s="14"/>
    </row>
    <row r="706" spans="1:16" ht="18.600000000000001" customHeight="1" x14ac:dyDescent="0.2">
      <c r="A706" s="7">
        <f t="shared" si="134"/>
        <v>12</v>
      </c>
      <c r="B706" s="25"/>
      <c r="C706" s="25"/>
      <c r="D706" s="163"/>
      <c r="E706" s="4"/>
      <c r="F706" s="4"/>
      <c r="G706" s="4"/>
      <c r="H706" s="4"/>
      <c r="I706" s="85"/>
      <c r="J706" s="4"/>
      <c r="K706" s="4"/>
      <c r="L706" s="4"/>
      <c r="M706" s="4"/>
      <c r="N706" s="4"/>
      <c r="O706" s="4"/>
      <c r="P706" s="4"/>
    </row>
    <row r="707" spans="1:16" ht="18.600000000000001" customHeight="1" x14ac:dyDescent="0.2">
      <c r="A707" s="7">
        <f t="shared" si="134"/>
        <v>13</v>
      </c>
      <c r="B707" s="24"/>
      <c r="C707" s="24"/>
      <c r="D707" s="163"/>
      <c r="E707" s="4"/>
      <c r="F707" s="4"/>
      <c r="G707" s="4"/>
      <c r="H707" s="4"/>
      <c r="I707" s="85"/>
      <c r="J707" s="4"/>
      <c r="K707" s="4"/>
      <c r="L707" s="4"/>
      <c r="M707" s="4"/>
      <c r="N707" s="4"/>
      <c r="O707" s="4"/>
      <c r="P707" s="4"/>
    </row>
    <row r="708" spans="1:16" ht="18.600000000000001" customHeight="1" x14ac:dyDescent="0.2">
      <c r="A708" s="7">
        <f t="shared" si="134"/>
        <v>14</v>
      </c>
      <c r="B708" s="24"/>
      <c r="C708" s="24"/>
      <c r="D708" s="24"/>
      <c r="E708" s="4"/>
      <c r="F708" s="4"/>
      <c r="G708" s="4"/>
      <c r="H708" s="4"/>
      <c r="I708" s="85"/>
      <c r="J708" s="4"/>
      <c r="K708" s="4"/>
      <c r="L708" s="4"/>
      <c r="M708" s="4"/>
      <c r="N708" s="4"/>
      <c r="O708" s="4"/>
      <c r="P708" s="4"/>
    </row>
    <row r="709" spans="1:16" ht="18.600000000000001" customHeight="1" x14ac:dyDescent="0.2">
      <c r="A709" s="6">
        <f t="shared" si="134"/>
        <v>15</v>
      </c>
      <c r="B709" s="15"/>
      <c r="C709" s="16"/>
      <c r="D709" s="5"/>
      <c r="E709" s="16"/>
      <c r="F709" s="16"/>
      <c r="G709" s="16"/>
      <c r="H709" s="16"/>
      <c r="I709" s="83"/>
      <c r="J709" s="16"/>
      <c r="K709" s="16"/>
      <c r="L709" s="16"/>
      <c r="M709" s="16"/>
      <c r="N709" s="16"/>
      <c r="O709" s="16"/>
      <c r="P709" s="16"/>
    </row>
    <row r="710" spans="1:16" ht="18.600000000000001" customHeight="1" x14ac:dyDescent="0.2">
      <c r="A710" s="32">
        <f t="shared" si="134"/>
        <v>16</v>
      </c>
      <c r="B710" s="1"/>
      <c r="C710" s="2"/>
      <c r="D710" s="33"/>
      <c r="E710" s="2"/>
      <c r="F710" s="2"/>
      <c r="G710" s="2"/>
      <c r="H710" s="2"/>
      <c r="I710" s="84"/>
      <c r="J710" s="2"/>
      <c r="K710" s="2"/>
      <c r="L710" s="2"/>
      <c r="M710" s="2"/>
      <c r="N710" s="2"/>
      <c r="O710" s="2"/>
      <c r="P710" s="2"/>
    </row>
    <row r="711" spans="1:16" ht="18.600000000000001" customHeight="1" x14ac:dyDescent="0.2">
      <c r="A711" s="7">
        <f t="shared" si="134"/>
        <v>17</v>
      </c>
      <c r="B711" s="3"/>
      <c r="C711" s="4"/>
      <c r="D711" s="8"/>
      <c r="E711" s="4"/>
      <c r="F711" s="4"/>
      <c r="G711" s="4"/>
      <c r="H711" s="4"/>
      <c r="I711" s="85"/>
      <c r="J711" s="4"/>
      <c r="K711" s="4"/>
      <c r="L711" s="4"/>
      <c r="M711" s="4"/>
      <c r="N711" s="4"/>
      <c r="O711" s="4"/>
      <c r="P711" s="4"/>
    </row>
    <row r="712" spans="1:16" ht="18.600000000000001" customHeight="1" x14ac:dyDescent="0.2">
      <c r="A712" s="7">
        <f t="shared" si="134"/>
        <v>18</v>
      </c>
      <c r="B712" s="3"/>
      <c r="C712" s="4"/>
      <c r="D712" s="8"/>
      <c r="E712" s="4"/>
      <c r="F712" s="4"/>
      <c r="G712" s="4"/>
      <c r="H712" s="4"/>
      <c r="I712" s="85"/>
      <c r="J712" s="4"/>
      <c r="K712" s="4"/>
      <c r="L712" s="4"/>
      <c r="M712" s="4"/>
      <c r="N712" s="4"/>
      <c r="O712" s="4"/>
      <c r="P712" s="4"/>
    </row>
    <row r="713" spans="1:16" ht="18.600000000000001" customHeight="1" x14ac:dyDescent="0.2">
      <c r="A713" s="7">
        <f t="shared" si="134"/>
        <v>19</v>
      </c>
      <c r="B713" s="3"/>
      <c r="C713" s="4"/>
      <c r="D713" s="8"/>
      <c r="E713" s="4"/>
      <c r="F713" s="4"/>
      <c r="G713" s="4"/>
      <c r="H713" s="4"/>
      <c r="I713" s="85"/>
      <c r="J713" s="4"/>
      <c r="K713" s="4"/>
      <c r="L713" s="4"/>
      <c r="M713" s="4"/>
      <c r="N713" s="4"/>
      <c r="O713" s="4"/>
      <c r="P713" s="4"/>
    </row>
    <row r="714" spans="1:16" ht="18.600000000000001" customHeight="1" x14ac:dyDescent="0.2">
      <c r="A714" s="10">
        <f t="shared" si="134"/>
        <v>20</v>
      </c>
      <c r="B714" s="11"/>
      <c r="C714" s="12"/>
      <c r="D714" s="9"/>
      <c r="E714" s="12"/>
      <c r="F714" s="12"/>
      <c r="G714" s="12"/>
      <c r="H714" s="12"/>
      <c r="I714" s="86"/>
      <c r="J714" s="12"/>
      <c r="K714" s="12"/>
      <c r="L714" s="12"/>
      <c r="M714" s="12"/>
      <c r="N714" s="12"/>
      <c r="O714" s="12"/>
      <c r="P714" s="12"/>
    </row>
    <row r="715" spans="1:16" ht="18.600000000000001" customHeight="1" x14ac:dyDescent="0.2">
      <c r="A715" s="35">
        <f t="shared" si="134"/>
        <v>21</v>
      </c>
      <c r="B715" s="13"/>
      <c r="C715" s="14"/>
      <c r="D715" s="37"/>
      <c r="E715" s="14"/>
      <c r="F715" s="14"/>
      <c r="G715" s="14"/>
      <c r="H715" s="14"/>
      <c r="I715" s="87"/>
      <c r="J715" s="14"/>
      <c r="K715" s="14"/>
      <c r="L715" s="14"/>
      <c r="M715" s="14"/>
      <c r="N715" s="14"/>
      <c r="O715" s="14"/>
      <c r="P715" s="14"/>
    </row>
    <row r="716" spans="1:16" ht="18.600000000000001" customHeight="1" x14ac:dyDescent="0.2">
      <c r="A716" s="7">
        <f t="shared" si="134"/>
        <v>22</v>
      </c>
      <c r="B716" s="3"/>
      <c r="C716" s="4"/>
      <c r="D716" s="8"/>
      <c r="E716" s="4"/>
      <c r="F716" s="4"/>
      <c r="G716" s="4"/>
      <c r="H716" s="4"/>
      <c r="I716" s="85"/>
      <c r="J716" s="4"/>
      <c r="K716" s="4"/>
      <c r="L716" s="4"/>
      <c r="M716" s="4"/>
      <c r="N716" s="4"/>
      <c r="O716" s="4"/>
      <c r="P716" s="4"/>
    </row>
    <row r="717" spans="1:16" ht="18.600000000000001" customHeight="1" x14ac:dyDescent="0.2">
      <c r="A717" s="35">
        <f t="shared" si="134"/>
        <v>23</v>
      </c>
      <c r="B717" s="3"/>
      <c r="C717" s="4"/>
      <c r="D717" s="8"/>
      <c r="E717" s="4"/>
      <c r="F717" s="4"/>
      <c r="G717" s="4"/>
      <c r="H717" s="4"/>
      <c r="I717" s="85"/>
      <c r="J717" s="4"/>
      <c r="K717" s="4"/>
      <c r="L717" s="4"/>
      <c r="M717" s="4"/>
      <c r="N717" s="4"/>
      <c r="O717" s="4"/>
      <c r="P717" s="4"/>
    </row>
    <row r="718" spans="1:16" ht="18.600000000000001" customHeight="1" x14ac:dyDescent="0.2">
      <c r="A718" s="7">
        <f t="shared" si="134"/>
        <v>24</v>
      </c>
      <c r="B718" s="3"/>
      <c r="C718" s="4"/>
      <c r="D718" s="8"/>
      <c r="E718" s="4"/>
      <c r="F718" s="4"/>
      <c r="G718" s="4"/>
      <c r="H718" s="4"/>
      <c r="I718" s="85"/>
      <c r="J718" s="4"/>
      <c r="K718" s="4"/>
      <c r="L718" s="4"/>
      <c r="M718" s="4"/>
      <c r="N718" s="4"/>
      <c r="O718" s="4"/>
      <c r="P718" s="4"/>
    </row>
    <row r="719" spans="1:16" ht="18.600000000000001" customHeight="1" x14ac:dyDescent="0.2">
      <c r="A719" s="35">
        <f t="shared" si="134"/>
        <v>25</v>
      </c>
      <c r="B719" s="11"/>
      <c r="C719" s="12"/>
      <c r="D719" s="9"/>
      <c r="E719" s="12"/>
      <c r="F719" s="12"/>
      <c r="G719" s="12"/>
      <c r="H719" s="12"/>
      <c r="I719" s="86"/>
      <c r="J719" s="12"/>
      <c r="K719" s="12"/>
      <c r="L719" s="12"/>
      <c r="M719" s="12"/>
      <c r="N719" s="12"/>
      <c r="O719" s="12"/>
      <c r="P719" s="12"/>
    </row>
    <row r="720" spans="1:16" ht="18.600000000000001" customHeight="1" x14ac:dyDescent="0.3">
      <c r="A720" s="147"/>
      <c r="B720" s="148"/>
      <c r="C720" s="147"/>
      <c r="D720" s="149"/>
      <c r="E720" s="150">
        <f>SUBTOTAL(9,E695:E719)</f>
        <v>0</v>
      </c>
      <c r="F720" s="152"/>
      <c r="G720" s="150">
        <f t="shared" ref="G720" si="135">SUBTOTAL(9,G695:G719)</f>
        <v>0</v>
      </c>
      <c r="H720" s="152"/>
      <c r="I720" s="150">
        <f t="shared" ref="I720" si="136">SUBTOTAL(9,I695:I719)</f>
        <v>0</v>
      </c>
      <c r="J720" s="152"/>
      <c r="K720" s="152"/>
      <c r="L720" s="152"/>
      <c r="M720" s="150">
        <f t="shared" ref="M720" si="137">SUBTOTAL(9,M695:M719)</f>
        <v>0</v>
      </c>
      <c r="N720" s="152"/>
      <c r="O720" s="150">
        <f t="shared" ref="O720" si="138">SUBTOTAL(9,O695:O719)</f>
        <v>0</v>
      </c>
      <c r="P720" s="152"/>
    </row>
    <row r="721" spans="1:16" ht="18.600000000000001" customHeight="1" x14ac:dyDescent="0.2">
      <c r="A721" s="434" t="str">
        <f>A691</f>
        <v>DANH SÁCH LỚP KET</v>
      </c>
      <c r="B721" s="434"/>
      <c r="C721" s="434"/>
      <c r="D721" s="434"/>
      <c r="E721" s="434"/>
      <c r="F721" s="434"/>
      <c r="G721" s="434"/>
      <c r="H721" s="434"/>
      <c r="I721" s="92" t="s">
        <v>1037</v>
      </c>
      <c r="J721" s="48"/>
      <c r="K721" s="48"/>
      <c r="L721" s="48"/>
      <c r="M721" s="41"/>
      <c r="N721" s="41"/>
      <c r="O721" s="41"/>
      <c r="P721" s="41"/>
    </row>
    <row r="722" spans="1:16" ht="18.600000000000001" customHeight="1" x14ac:dyDescent="0.2">
      <c r="A722" s="28"/>
      <c r="B722" s="29"/>
      <c r="C722" s="30"/>
      <c r="D722" s="36"/>
      <c r="E722" s="28"/>
      <c r="F722" s="28"/>
      <c r="G722" s="28"/>
      <c r="H722" s="28"/>
      <c r="I722" s="79"/>
      <c r="J722" s="28"/>
      <c r="K722" s="28"/>
      <c r="L722" s="28"/>
      <c r="M722" s="28"/>
      <c r="N722" s="28"/>
      <c r="O722" s="28"/>
      <c r="P722" s="28"/>
    </row>
    <row r="723" spans="1:16" ht="18.600000000000001" customHeight="1" x14ac:dyDescent="0.2">
      <c r="A723" s="435" t="s">
        <v>374</v>
      </c>
      <c r="B723" s="435" t="s">
        <v>380</v>
      </c>
      <c r="C723" s="435" t="s">
        <v>383</v>
      </c>
      <c r="D723" s="437" t="s">
        <v>384</v>
      </c>
      <c r="E723" s="438" t="s">
        <v>385</v>
      </c>
      <c r="F723" s="439"/>
      <c r="G723" s="432" t="str">
        <f>$R$1</f>
        <v>Hè 1</v>
      </c>
      <c r="H723" s="433"/>
      <c r="I723" s="432" t="str">
        <f>$T$1</f>
        <v>Hè 2</v>
      </c>
      <c r="J723" s="433"/>
      <c r="K723" s="432" t="str">
        <f>$V$1</f>
        <v>Hè 3</v>
      </c>
      <c r="L723" s="433"/>
      <c r="M723" s="432" t="str">
        <f>$X$1</f>
        <v>.</v>
      </c>
      <c r="N723" s="433"/>
      <c r="O723" s="432" t="str">
        <f>$Z$1</f>
        <v>.</v>
      </c>
      <c r="P723" s="433"/>
    </row>
    <row r="724" spans="1:16" ht="18.600000000000001" customHeight="1" x14ac:dyDescent="0.2">
      <c r="A724" s="436"/>
      <c r="B724" s="436"/>
      <c r="C724" s="436"/>
      <c r="D724" s="436"/>
      <c r="E724" s="31" t="s">
        <v>381</v>
      </c>
      <c r="F724" s="31" t="s">
        <v>382</v>
      </c>
      <c r="G724" s="31" t="s">
        <v>381</v>
      </c>
      <c r="H724" s="31" t="s">
        <v>382</v>
      </c>
      <c r="I724" s="80" t="s">
        <v>381</v>
      </c>
      <c r="J724" s="31" t="s">
        <v>382</v>
      </c>
      <c r="K724" s="80" t="s">
        <v>381</v>
      </c>
      <c r="L724" s="31" t="s">
        <v>382</v>
      </c>
      <c r="M724" s="31" t="s">
        <v>381</v>
      </c>
      <c r="N724" s="31" t="s">
        <v>382</v>
      </c>
      <c r="O724" s="31" t="s">
        <v>381</v>
      </c>
      <c r="P724" s="31" t="s">
        <v>382</v>
      </c>
    </row>
    <row r="725" spans="1:16" ht="18.600000000000001" customHeight="1" x14ac:dyDescent="0.2">
      <c r="A725" s="32">
        <v>1</v>
      </c>
      <c r="B725" s="24"/>
      <c r="C725" s="24"/>
      <c r="D725" s="24"/>
      <c r="E725" s="32"/>
      <c r="F725" s="34"/>
      <c r="G725" s="32"/>
      <c r="H725" s="93"/>
      <c r="I725" s="81"/>
      <c r="J725" s="34"/>
      <c r="K725" s="34"/>
      <c r="L725" s="34"/>
      <c r="M725" s="32"/>
      <c r="N725" s="34"/>
      <c r="O725" s="32"/>
      <c r="P725" s="34"/>
    </row>
    <row r="726" spans="1:16" ht="18.600000000000001" customHeight="1" x14ac:dyDescent="0.2">
      <c r="A726" s="7">
        <f t="shared" ref="A726:A749" si="139">A725+1</f>
        <v>2</v>
      </c>
      <c r="B726" s="24"/>
      <c r="C726" s="24"/>
      <c r="D726" s="24"/>
      <c r="E726" s="7"/>
      <c r="F726" s="7"/>
      <c r="G726" s="7"/>
      <c r="H726" s="7"/>
      <c r="I726" s="82"/>
      <c r="J726" s="7"/>
      <c r="K726" s="7"/>
      <c r="L726" s="7"/>
      <c r="M726" s="7"/>
      <c r="N726" s="7"/>
      <c r="O726" s="7"/>
      <c r="P726" s="7"/>
    </row>
    <row r="727" spans="1:16" ht="18.600000000000001" customHeight="1" x14ac:dyDescent="0.3">
      <c r="A727" s="7">
        <f t="shared" si="139"/>
        <v>3</v>
      </c>
      <c r="B727" s="24"/>
      <c r="C727" s="39"/>
      <c r="D727" s="24"/>
      <c r="E727" s="7"/>
      <c r="F727" s="7"/>
      <c r="G727" s="7"/>
      <c r="H727" s="7"/>
      <c r="I727" s="82"/>
      <c r="J727" s="7"/>
      <c r="K727" s="7"/>
      <c r="L727" s="7"/>
      <c r="M727" s="7"/>
      <c r="N727" s="7"/>
      <c r="O727" s="7"/>
      <c r="P727" s="7"/>
    </row>
    <row r="728" spans="1:16" ht="18.600000000000001" customHeight="1" x14ac:dyDescent="0.2">
      <c r="A728" s="7">
        <f t="shared" si="139"/>
        <v>4</v>
      </c>
      <c r="B728" s="24"/>
      <c r="C728" s="24"/>
      <c r="D728" s="163"/>
      <c r="E728" s="7"/>
      <c r="F728" s="7"/>
      <c r="G728" s="7"/>
      <c r="H728" s="7"/>
      <c r="I728" s="82"/>
      <c r="J728" s="7"/>
      <c r="K728" s="7"/>
      <c r="L728" s="7"/>
      <c r="M728" s="7"/>
      <c r="N728" s="7"/>
      <c r="O728" s="7"/>
      <c r="P728" s="7"/>
    </row>
    <row r="729" spans="1:16" ht="18.600000000000001" customHeight="1" x14ac:dyDescent="0.2">
      <c r="A729" s="6">
        <f t="shared" si="139"/>
        <v>5</v>
      </c>
      <c r="B729" s="24"/>
      <c r="C729" s="24"/>
      <c r="D729" s="24"/>
      <c r="E729" s="16"/>
      <c r="F729" s="16"/>
      <c r="G729" s="16"/>
      <c r="H729" s="16"/>
      <c r="I729" s="83"/>
      <c r="J729" s="16"/>
      <c r="K729" s="16"/>
      <c r="L729" s="16"/>
      <c r="M729" s="16"/>
      <c r="N729" s="16"/>
      <c r="O729" s="16"/>
      <c r="P729" s="16"/>
    </row>
    <row r="730" spans="1:16" ht="18.600000000000001" customHeight="1" x14ac:dyDescent="0.2">
      <c r="A730" s="56">
        <f t="shared" si="139"/>
        <v>6</v>
      </c>
      <c r="B730" s="25"/>
      <c r="C730" s="25"/>
      <c r="D730" s="163"/>
      <c r="E730" s="2"/>
      <c r="F730" s="2"/>
      <c r="G730" s="2"/>
      <c r="H730" s="2"/>
      <c r="I730" s="84"/>
      <c r="J730" s="2"/>
      <c r="K730" s="2"/>
      <c r="L730" s="2"/>
      <c r="M730" s="2"/>
      <c r="N730" s="2"/>
      <c r="O730" s="2"/>
      <c r="P730" s="2"/>
    </row>
    <row r="731" spans="1:16" ht="18.600000000000001" customHeight="1" x14ac:dyDescent="0.2">
      <c r="A731" s="6">
        <f t="shared" si="139"/>
        <v>7</v>
      </c>
      <c r="B731" s="24"/>
      <c r="C731" s="24"/>
      <c r="D731" s="24"/>
      <c r="E731" s="4"/>
      <c r="F731" s="4"/>
      <c r="G731" s="4"/>
      <c r="H731" s="4"/>
      <c r="I731" s="85"/>
      <c r="J731" s="4"/>
      <c r="K731" s="4"/>
      <c r="L731" s="4"/>
      <c r="M731" s="4"/>
      <c r="N731" s="4"/>
      <c r="O731" s="4"/>
      <c r="P731" s="4"/>
    </row>
    <row r="732" spans="1:16" ht="18.600000000000001" customHeight="1" x14ac:dyDescent="0.2">
      <c r="A732" s="6">
        <f t="shared" si="139"/>
        <v>8</v>
      </c>
      <c r="B732" s="24"/>
      <c r="C732" s="24"/>
      <c r="D732" s="25"/>
      <c r="E732" s="4"/>
      <c r="F732" s="4"/>
      <c r="G732" s="4"/>
      <c r="H732" s="4"/>
      <c r="I732" s="85"/>
      <c r="J732" s="4"/>
      <c r="K732" s="4"/>
      <c r="L732" s="4"/>
      <c r="M732" s="4"/>
      <c r="N732" s="4"/>
      <c r="O732" s="4"/>
      <c r="P732" s="4"/>
    </row>
    <row r="733" spans="1:16" ht="18.600000000000001" customHeight="1" x14ac:dyDescent="0.2">
      <c r="A733" s="6">
        <f t="shared" si="139"/>
        <v>9</v>
      </c>
      <c r="B733" s="24"/>
      <c r="C733" s="24"/>
      <c r="D733" s="24"/>
      <c r="E733" s="4"/>
      <c r="F733" s="4"/>
      <c r="G733" s="4"/>
      <c r="H733" s="4"/>
      <c r="I733" s="85"/>
      <c r="J733" s="4"/>
      <c r="K733" s="4"/>
      <c r="L733" s="4"/>
      <c r="M733" s="4"/>
      <c r="N733" s="4"/>
      <c r="O733" s="4"/>
      <c r="P733" s="4"/>
    </row>
    <row r="734" spans="1:16" ht="18.600000000000001" customHeight="1" x14ac:dyDescent="0.3">
      <c r="A734" s="10">
        <f t="shared" si="139"/>
        <v>10</v>
      </c>
      <c r="B734" s="39"/>
      <c r="C734" s="24"/>
      <c r="D734" s="163"/>
      <c r="E734" s="12"/>
      <c r="F734" s="12"/>
      <c r="G734" s="12"/>
      <c r="H734" s="12"/>
      <c r="I734" s="86"/>
      <c r="J734" s="12"/>
      <c r="K734" s="12"/>
      <c r="L734" s="12"/>
      <c r="M734" s="12"/>
      <c r="N734" s="12"/>
      <c r="O734" s="12"/>
      <c r="P734" s="12"/>
    </row>
    <row r="735" spans="1:16" ht="18.600000000000001" customHeight="1" x14ac:dyDescent="0.3">
      <c r="A735" s="35">
        <f t="shared" si="139"/>
        <v>11</v>
      </c>
      <c r="B735" s="39"/>
      <c r="C735" s="24"/>
      <c r="D735" s="163"/>
      <c r="E735" s="14"/>
      <c r="F735" s="14"/>
      <c r="G735" s="14"/>
      <c r="H735" s="14"/>
      <c r="I735" s="87"/>
      <c r="J735" s="14"/>
      <c r="K735" s="14"/>
      <c r="L735" s="14"/>
      <c r="M735" s="14"/>
      <c r="N735" s="14"/>
      <c r="O735" s="14"/>
      <c r="P735" s="14"/>
    </row>
    <row r="736" spans="1:16" ht="18.600000000000001" customHeight="1" x14ac:dyDescent="0.3">
      <c r="A736" s="7">
        <f t="shared" si="139"/>
        <v>12</v>
      </c>
      <c r="B736" s="39"/>
      <c r="C736" s="24"/>
      <c r="D736" s="163"/>
      <c r="E736" s="4"/>
      <c r="F736" s="4"/>
      <c r="G736" s="4"/>
      <c r="H736" s="4"/>
      <c r="I736" s="85"/>
      <c r="J736" s="4"/>
      <c r="K736" s="4"/>
      <c r="L736" s="4"/>
      <c r="M736" s="4"/>
      <c r="N736" s="4"/>
      <c r="O736" s="4"/>
      <c r="P736" s="4"/>
    </row>
    <row r="737" spans="1:16" ht="18.600000000000001" customHeight="1" x14ac:dyDescent="0.2">
      <c r="A737" s="7">
        <f t="shared" si="139"/>
        <v>13</v>
      </c>
      <c r="B737" s="24"/>
      <c r="C737" s="24"/>
      <c r="D737" s="24"/>
      <c r="E737" s="4"/>
      <c r="F737" s="4"/>
      <c r="G737" s="4"/>
      <c r="H737" s="4"/>
      <c r="I737" s="85"/>
      <c r="J737" s="4"/>
      <c r="K737" s="4"/>
      <c r="L737" s="4"/>
      <c r="M737" s="4"/>
      <c r="N737" s="4"/>
      <c r="O737" s="4"/>
      <c r="P737" s="4"/>
    </row>
    <row r="738" spans="1:16" ht="18.600000000000001" customHeight="1" x14ac:dyDescent="0.2">
      <c r="A738" s="7">
        <f t="shared" si="139"/>
        <v>14</v>
      </c>
      <c r="B738" s="24"/>
      <c r="C738" s="24"/>
      <c r="D738" s="24"/>
      <c r="E738" s="4"/>
      <c r="F738" s="4"/>
      <c r="G738" s="4"/>
      <c r="H738" s="4"/>
      <c r="I738" s="85"/>
      <c r="J738" s="4"/>
      <c r="K738" s="4"/>
      <c r="L738" s="4"/>
      <c r="M738" s="4"/>
      <c r="N738" s="4"/>
      <c r="O738" s="4"/>
      <c r="P738" s="4"/>
    </row>
    <row r="739" spans="1:16" ht="18.600000000000001" customHeight="1" x14ac:dyDescent="0.2">
      <c r="A739" s="6">
        <f t="shared" si="139"/>
        <v>15</v>
      </c>
      <c r="B739" s="15"/>
      <c r="C739" s="16"/>
      <c r="D739" s="5"/>
      <c r="E739" s="16"/>
      <c r="F739" s="16"/>
      <c r="G739" s="16"/>
      <c r="H739" s="16"/>
      <c r="I739" s="83"/>
      <c r="J739" s="16"/>
      <c r="K739" s="16"/>
      <c r="L739" s="16"/>
      <c r="M739" s="16"/>
      <c r="N739" s="16"/>
      <c r="O739" s="16"/>
      <c r="P739" s="16"/>
    </row>
    <row r="740" spans="1:16" ht="18.600000000000001" customHeight="1" x14ac:dyDescent="0.2">
      <c r="A740" s="32">
        <f t="shared" si="139"/>
        <v>16</v>
      </c>
      <c r="B740" s="1"/>
      <c r="C740" s="2"/>
      <c r="D740" s="33"/>
      <c r="E740" s="2"/>
      <c r="F740" s="2"/>
      <c r="G740" s="2"/>
      <c r="H740" s="2"/>
      <c r="I740" s="84"/>
      <c r="J740" s="2"/>
      <c r="K740" s="2"/>
      <c r="L740" s="2"/>
      <c r="M740" s="2"/>
      <c r="N740" s="2"/>
      <c r="O740" s="2"/>
      <c r="P740" s="2"/>
    </row>
    <row r="741" spans="1:16" ht="18.600000000000001" customHeight="1" x14ac:dyDescent="0.2">
      <c r="A741" s="7">
        <f t="shared" si="139"/>
        <v>17</v>
      </c>
      <c r="B741" s="3"/>
      <c r="C741" s="4"/>
      <c r="D741" s="8"/>
      <c r="E741" s="4"/>
      <c r="F741" s="4"/>
      <c r="G741" s="4"/>
      <c r="H741" s="4"/>
      <c r="I741" s="85"/>
      <c r="J741" s="4"/>
      <c r="K741" s="4"/>
      <c r="L741" s="4"/>
      <c r="M741" s="4"/>
      <c r="N741" s="4"/>
      <c r="O741" s="4"/>
      <c r="P741" s="4"/>
    </row>
    <row r="742" spans="1:16" ht="18.600000000000001" customHeight="1" x14ac:dyDescent="0.2">
      <c r="A742" s="7">
        <f t="shared" si="139"/>
        <v>18</v>
      </c>
      <c r="B742" s="3"/>
      <c r="C742" s="4"/>
      <c r="D742" s="8"/>
      <c r="E742" s="4"/>
      <c r="F742" s="4"/>
      <c r="G742" s="4"/>
      <c r="H742" s="4"/>
      <c r="I742" s="85"/>
      <c r="J742" s="4"/>
      <c r="K742" s="4"/>
      <c r="L742" s="4"/>
      <c r="M742" s="4"/>
      <c r="N742" s="4"/>
      <c r="O742" s="4"/>
      <c r="P742" s="4"/>
    </row>
    <row r="743" spans="1:16" ht="18.600000000000001" customHeight="1" x14ac:dyDescent="0.2">
      <c r="A743" s="7">
        <f t="shared" si="139"/>
        <v>19</v>
      </c>
      <c r="B743" s="3"/>
      <c r="C743" s="4"/>
      <c r="D743" s="8"/>
      <c r="E743" s="4"/>
      <c r="F743" s="4"/>
      <c r="G743" s="4"/>
      <c r="H743" s="4"/>
      <c r="I743" s="85"/>
      <c r="J743" s="4"/>
      <c r="K743" s="4"/>
      <c r="L743" s="4"/>
      <c r="M743" s="4"/>
      <c r="N743" s="4"/>
      <c r="O743" s="4"/>
      <c r="P743" s="4"/>
    </row>
    <row r="744" spans="1:16" ht="18.600000000000001" customHeight="1" x14ac:dyDescent="0.2">
      <c r="A744" s="10">
        <f t="shared" si="139"/>
        <v>20</v>
      </c>
      <c r="B744" s="11"/>
      <c r="C744" s="12"/>
      <c r="D744" s="9"/>
      <c r="E744" s="12"/>
      <c r="F744" s="12"/>
      <c r="G744" s="12"/>
      <c r="H744" s="12"/>
      <c r="I744" s="86"/>
      <c r="J744" s="12"/>
      <c r="K744" s="12"/>
      <c r="L744" s="12"/>
      <c r="M744" s="12"/>
      <c r="N744" s="12"/>
      <c r="O744" s="12"/>
      <c r="P744" s="12"/>
    </row>
    <row r="745" spans="1:16" ht="18.600000000000001" customHeight="1" x14ac:dyDescent="0.2">
      <c r="A745" s="35">
        <f t="shared" si="139"/>
        <v>21</v>
      </c>
      <c r="B745" s="13"/>
      <c r="C745" s="14"/>
      <c r="D745" s="37"/>
      <c r="E745" s="14"/>
      <c r="F745" s="14"/>
      <c r="G745" s="14"/>
      <c r="H745" s="14"/>
      <c r="I745" s="87"/>
      <c r="J745" s="14"/>
      <c r="K745" s="14"/>
      <c r="L745" s="14"/>
      <c r="M745" s="14"/>
      <c r="N745" s="14"/>
      <c r="O745" s="14"/>
      <c r="P745" s="14"/>
    </row>
    <row r="746" spans="1:16" ht="18.600000000000001" customHeight="1" x14ac:dyDescent="0.2">
      <c r="A746" s="7">
        <f t="shared" si="139"/>
        <v>22</v>
      </c>
      <c r="B746" s="3"/>
      <c r="C746" s="4"/>
      <c r="D746" s="8"/>
      <c r="E746" s="4"/>
      <c r="F746" s="4"/>
      <c r="G746" s="4"/>
      <c r="H746" s="4"/>
      <c r="I746" s="85"/>
      <c r="J746" s="4"/>
      <c r="K746" s="4"/>
      <c r="L746" s="4"/>
      <c r="M746" s="4"/>
      <c r="N746" s="4"/>
      <c r="O746" s="4"/>
      <c r="P746" s="4"/>
    </row>
    <row r="747" spans="1:16" ht="18.600000000000001" customHeight="1" x14ac:dyDescent="0.2">
      <c r="A747" s="35">
        <f t="shared" si="139"/>
        <v>23</v>
      </c>
      <c r="B747" s="3"/>
      <c r="C747" s="4"/>
      <c r="D747" s="8"/>
      <c r="E747" s="4"/>
      <c r="F747" s="4"/>
      <c r="G747" s="4"/>
      <c r="H747" s="4"/>
      <c r="I747" s="85"/>
      <c r="J747" s="4"/>
      <c r="K747" s="4"/>
      <c r="L747" s="4"/>
      <c r="M747" s="4"/>
      <c r="N747" s="4"/>
      <c r="O747" s="4"/>
      <c r="P747" s="4"/>
    </row>
    <row r="748" spans="1:16" ht="18.600000000000001" customHeight="1" x14ac:dyDescent="0.2">
      <c r="A748" s="7">
        <f t="shared" si="139"/>
        <v>24</v>
      </c>
      <c r="B748" s="3"/>
      <c r="C748" s="4"/>
      <c r="D748" s="8"/>
      <c r="E748" s="4"/>
      <c r="F748" s="4"/>
      <c r="G748" s="4"/>
      <c r="H748" s="4"/>
      <c r="I748" s="85"/>
      <c r="J748" s="4"/>
      <c r="K748" s="4"/>
      <c r="L748" s="4"/>
      <c r="M748" s="4"/>
      <c r="N748" s="4"/>
      <c r="O748" s="4"/>
      <c r="P748" s="4"/>
    </row>
    <row r="749" spans="1:16" ht="18.600000000000001" customHeight="1" x14ac:dyDescent="0.2">
      <c r="A749" s="35">
        <f t="shared" si="139"/>
        <v>25</v>
      </c>
      <c r="B749" s="11"/>
      <c r="C749" s="12"/>
      <c r="D749" s="9"/>
      <c r="E749" s="12"/>
      <c r="F749" s="12"/>
      <c r="G749" s="12"/>
      <c r="H749" s="12"/>
      <c r="I749" s="86"/>
      <c r="J749" s="12"/>
      <c r="K749" s="12"/>
      <c r="L749" s="12"/>
      <c r="M749" s="12"/>
      <c r="N749" s="12"/>
      <c r="O749" s="12"/>
      <c r="P749" s="12"/>
    </row>
    <row r="750" spans="1:16" ht="18.600000000000001" customHeight="1" x14ac:dyDescent="0.3">
      <c r="A750" s="147"/>
      <c r="B750" s="148"/>
      <c r="C750" s="147"/>
      <c r="D750" s="149"/>
      <c r="E750" s="150">
        <f>SUBTOTAL(9,E725:E749)</f>
        <v>0</v>
      </c>
      <c r="F750" s="152"/>
      <c r="G750" s="150">
        <f t="shared" ref="G750" si="140">SUBTOTAL(9,G725:G749)</f>
        <v>0</v>
      </c>
      <c r="H750" s="152"/>
      <c r="I750" s="150">
        <f t="shared" ref="I750" si="141">SUBTOTAL(9,I725:I749)</f>
        <v>0</v>
      </c>
      <c r="J750" s="152"/>
      <c r="K750" s="152"/>
      <c r="L750" s="152"/>
      <c r="M750" s="150">
        <f t="shared" ref="M750" si="142">SUBTOTAL(9,M725:M749)</f>
        <v>0</v>
      </c>
      <c r="N750" s="152"/>
      <c r="O750" s="150">
        <f t="shared" ref="O750" si="143">SUBTOTAL(9,O725:O749)</f>
        <v>0</v>
      </c>
      <c r="P750" s="152"/>
    </row>
    <row r="751" spans="1:16" ht="18.600000000000001" customHeight="1" x14ac:dyDescent="0.2">
      <c r="A751" s="434" t="s">
        <v>1028</v>
      </c>
      <c r="B751" s="434"/>
      <c r="C751" s="434"/>
      <c r="D751" s="434"/>
      <c r="E751" s="434"/>
      <c r="F751" s="434"/>
      <c r="G751" s="434"/>
      <c r="H751" s="434"/>
      <c r="I751" s="92" t="s">
        <v>1038</v>
      </c>
      <c r="J751" s="48"/>
      <c r="K751" s="48"/>
      <c r="L751" s="48"/>
      <c r="M751" s="41"/>
      <c r="N751" s="41"/>
      <c r="O751" s="41"/>
      <c r="P751" s="41"/>
    </row>
    <row r="752" spans="1:16" ht="18.600000000000001" customHeight="1" x14ac:dyDescent="0.2">
      <c r="A752" s="28"/>
      <c r="B752" s="29"/>
      <c r="C752" s="30"/>
      <c r="D752" s="36"/>
      <c r="E752" s="28"/>
      <c r="F752" s="28"/>
      <c r="G752" s="28"/>
      <c r="H752" s="28"/>
      <c r="I752" s="79"/>
      <c r="J752" s="28"/>
      <c r="K752" s="28"/>
      <c r="L752" s="28"/>
      <c r="M752" s="28"/>
      <c r="N752" s="28"/>
      <c r="O752" s="28"/>
      <c r="P752" s="28"/>
    </row>
    <row r="753" spans="1:16" ht="18.600000000000001" customHeight="1" x14ac:dyDescent="0.2">
      <c r="A753" s="435" t="s">
        <v>374</v>
      </c>
      <c r="B753" s="435" t="s">
        <v>380</v>
      </c>
      <c r="C753" s="435" t="s">
        <v>383</v>
      </c>
      <c r="D753" s="437" t="s">
        <v>384</v>
      </c>
      <c r="E753" s="438" t="s">
        <v>385</v>
      </c>
      <c r="F753" s="439"/>
      <c r="G753" s="432" t="str">
        <f>$R$1</f>
        <v>Hè 1</v>
      </c>
      <c r="H753" s="433"/>
      <c r="I753" s="432" t="str">
        <f>$T$1</f>
        <v>Hè 2</v>
      </c>
      <c r="J753" s="433"/>
      <c r="K753" s="432" t="str">
        <f>$V$1</f>
        <v>Hè 3</v>
      </c>
      <c r="L753" s="433"/>
      <c r="M753" s="432" t="str">
        <f>$X$1</f>
        <v>.</v>
      </c>
      <c r="N753" s="433"/>
      <c r="O753" s="432" t="str">
        <f>$Z$1</f>
        <v>.</v>
      </c>
      <c r="P753" s="433"/>
    </row>
    <row r="754" spans="1:16" ht="18.600000000000001" customHeight="1" x14ac:dyDescent="0.2">
      <c r="A754" s="436"/>
      <c r="B754" s="436"/>
      <c r="C754" s="436"/>
      <c r="D754" s="436"/>
      <c r="E754" s="31" t="s">
        <v>381</v>
      </c>
      <c r="F754" s="31" t="s">
        <v>382</v>
      </c>
      <c r="G754" s="31" t="s">
        <v>381</v>
      </c>
      <c r="H754" s="31" t="s">
        <v>382</v>
      </c>
      <c r="I754" s="80" t="s">
        <v>381</v>
      </c>
      <c r="J754" s="31" t="s">
        <v>382</v>
      </c>
      <c r="K754" s="80" t="s">
        <v>381</v>
      </c>
      <c r="L754" s="31" t="s">
        <v>382</v>
      </c>
      <c r="M754" s="31" t="s">
        <v>381</v>
      </c>
      <c r="N754" s="31" t="s">
        <v>382</v>
      </c>
      <c r="O754" s="31" t="s">
        <v>381</v>
      </c>
      <c r="P754" s="31" t="s">
        <v>382</v>
      </c>
    </row>
    <row r="755" spans="1:16" ht="18.600000000000001" customHeight="1" x14ac:dyDescent="0.2">
      <c r="A755" s="32">
        <v>1</v>
      </c>
      <c r="B755" s="25"/>
      <c r="C755" s="25"/>
      <c r="D755" s="24"/>
      <c r="E755" s="32"/>
      <c r="F755" s="34"/>
      <c r="G755" s="32"/>
      <c r="H755" s="93"/>
      <c r="I755" s="81"/>
      <c r="J755" s="34"/>
      <c r="K755" s="34"/>
      <c r="L755" s="34"/>
      <c r="M755" s="32"/>
      <c r="N755" s="34"/>
      <c r="O755" s="32"/>
      <c r="P755" s="34"/>
    </row>
    <row r="756" spans="1:16" ht="18.600000000000001" customHeight="1" x14ac:dyDescent="0.2">
      <c r="A756" s="7">
        <f t="shared" ref="A756:A779" si="144">A755+1</f>
        <v>2</v>
      </c>
      <c r="B756" s="24"/>
      <c r="C756" s="242"/>
      <c r="D756" s="163"/>
      <c r="E756" s="7"/>
      <c r="F756" s="7"/>
      <c r="G756" s="7"/>
      <c r="H756" s="7"/>
      <c r="I756" s="82"/>
      <c r="J756" s="7"/>
      <c r="K756" s="7"/>
      <c r="L756" s="7"/>
      <c r="M756" s="7"/>
      <c r="N756" s="7"/>
      <c r="O756" s="7"/>
      <c r="P756" s="7"/>
    </row>
    <row r="757" spans="1:16" ht="18.600000000000001" customHeight="1" x14ac:dyDescent="0.2">
      <c r="A757" s="7">
        <f t="shared" si="144"/>
        <v>3</v>
      </c>
      <c r="B757" s="24"/>
      <c r="C757" s="24"/>
      <c r="D757" s="24"/>
      <c r="E757" s="7"/>
      <c r="F757" s="7"/>
      <c r="G757" s="7"/>
      <c r="H757" s="7"/>
      <c r="I757" s="82"/>
      <c r="J757" s="7"/>
      <c r="K757" s="7"/>
      <c r="L757" s="7"/>
      <c r="M757" s="7"/>
      <c r="N757" s="7"/>
      <c r="O757" s="7"/>
      <c r="P757" s="7"/>
    </row>
    <row r="758" spans="1:16" ht="18.600000000000001" customHeight="1" x14ac:dyDescent="0.2">
      <c r="A758" s="7">
        <f t="shared" si="144"/>
        <v>4</v>
      </c>
      <c r="B758" s="24"/>
      <c r="C758" s="24"/>
      <c r="D758" s="163"/>
      <c r="E758" s="7"/>
      <c r="F758" s="7"/>
      <c r="G758" s="7"/>
      <c r="H758" s="7"/>
      <c r="I758" s="82"/>
      <c r="J758" s="7"/>
      <c r="K758" s="7"/>
      <c r="L758" s="7"/>
      <c r="M758" s="7"/>
      <c r="N758" s="7"/>
      <c r="O758" s="7"/>
      <c r="P758" s="7"/>
    </row>
    <row r="759" spans="1:16" ht="18.600000000000001" customHeight="1" x14ac:dyDescent="0.2">
      <c r="A759" s="6">
        <f t="shared" si="144"/>
        <v>5</v>
      </c>
      <c r="B759" s="24"/>
      <c r="C759" s="24"/>
      <c r="D759" s="26"/>
      <c r="E759" s="16"/>
      <c r="F759" s="16"/>
      <c r="G759" s="16"/>
      <c r="H759" s="16"/>
      <c r="I759" s="83"/>
      <c r="J759" s="16"/>
      <c r="K759" s="16"/>
      <c r="L759" s="16"/>
      <c r="M759" s="16"/>
      <c r="N759" s="16"/>
      <c r="O759" s="16"/>
      <c r="P759" s="16"/>
    </row>
    <row r="760" spans="1:16" ht="18.600000000000001" customHeight="1" x14ac:dyDescent="0.2">
      <c r="A760" s="56">
        <f t="shared" si="144"/>
        <v>6</v>
      </c>
      <c r="B760" s="25"/>
      <c r="C760" s="25"/>
      <c r="D760" s="24"/>
      <c r="E760" s="2"/>
      <c r="F760" s="2"/>
      <c r="G760" s="2"/>
      <c r="H760" s="2"/>
      <c r="I760" s="84"/>
      <c r="J760" s="2"/>
      <c r="K760" s="2"/>
      <c r="L760" s="2"/>
      <c r="M760" s="2"/>
      <c r="N760" s="2"/>
      <c r="O760" s="2"/>
      <c r="P760" s="2"/>
    </row>
    <row r="761" spans="1:16" ht="18.600000000000001" customHeight="1" x14ac:dyDescent="0.2">
      <c r="A761" s="6">
        <f t="shared" si="144"/>
        <v>7</v>
      </c>
      <c r="B761" s="24"/>
      <c r="C761" s="24"/>
      <c r="D761" s="163"/>
      <c r="E761" s="4"/>
      <c r="F761" s="4"/>
      <c r="G761" s="4"/>
      <c r="H761" s="4"/>
      <c r="I761" s="85"/>
      <c r="J761" s="4"/>
      <c r="K761" s="4"/>
      <c r="L761" s="4"/>
      <c r="M761" s="4"/>
      <c r="N761" s="4"/>
      <c r="O761" s="4"/>
      <c r="P761" s="4"/>
    </row>
    <row r="762" spans="1:16" ht="18.600000000000001" customHeight="1" x14ac:dyDescent="0.2">
      <c r="A762" s="6">
        <f t="shared" si="144"/>
        <v>8</v>
      </c>
      <c r="B762" s="24"/>
      <c r="C762" s="242"/>
      <c r="D762" s="163"/>
      <c r="E762" s="4"/>
      <c r="F762" s="4"/>
      <c r="G762" s="4"/>
      <c r="H762" s="4"/>
      <c r="I762" s="85"/>
      <c r="J762" s="4"/>
      <c r="K762" s="4"/>
      <c r="L762" s="4"/>
      <c r="M762" s="4"/>
      <c r="N762" s="4"/>
      <c r="O762" s="4"/>
      <c r="P762" s="4"/>
    </row>
    <row r="763" spans="1:16" ht="18.600000000000001" customHeight="1" x14ac:dyDescent="0.2">
      <c r="A763" s="6">
        <f t="shared" si="144"/>
        <v>9</v>
      </c>
      <c r="B763" s="64"/>
      <c r="C763" s="25"/>
      <c r="D763" s="24"/>
      <c r="E763" s="4"/>
      <c r="F763" s="4"/>
      <c r="G763" s="4"/>
      <c r="H763" s="4"/>
      <c r="I763" s="85"/>
      <c r="J763" s="4"/>
      <c r="K763" s="4"/>
      <c r="L763" s="4"/>
      <c r="M763" s="4"/>
      <c r="N763" s="4"/>
      <c r="O763" s="4"/>
      <c r="P763" s="4"/>
    </row>
    <row r="764" spans="1:16" ht="18.600000000000001" customHeight="1" x14ac:dyDescent="0.2">
      <c r="A764" s="10">
        <f t="shared" si="144"/>
        <v>10</v>
      </c>
      <c r="B764" s="24"/>
      <c r="C764" s="24"/>
      <c r="D764" s="163"/>
      <c r="E764" s="12"/>
      <c r="F764" s="12"/>
      <c r="G764" s="12"/>
      <c r="H764" s="12"/>
      <c r="I764" s="86"/>
      <c r="J764" s="12"/>
      <c r="K764" s="12"/>
      <c r="L764" s="12"/>
      <c r="M764" s="12"/>
      <c r="N764" s="12"/>
      <c r="O764" s="12"/>
      <c r="P764" s="12"/>
    </row>
    <row r="765" spans="1:16" ht="18.600000000000001" customHeight="1" x14ac:dyDescent="0.2">
      <c r="A765" s="35">
        <f t="shared" si="144"/>
        <v>11</v>
      </c>
      <c r="B765" s="24"/>
      <c r="C765" s="24"/>
      <c r="D765" s="27"/>
      <c r="E765" s="14"/>
      <c r="F765" s="14"/>
      <c r="G765" s="14"/>
      <c r="H765" s="14"/>
      <c r="I765" s="87"/>
      <c r="J765" s="14"/>
      <c r="K765" s="14"/>
      <c r="L765" s="14"/>
      <c r="M765" s="14"/>
      <c r="N765" s="14"/>
      <c r="O765" s="14"/>
      <c r="P765" s="14"/>
    </row>
    <row r="766" spans="1:16" ht="18.600000000000001" customHeight="1" x14ac:dyDescent="0.2">
      <c r="A766" s="7">
        <f t="shared" si="144"/>
        <v>12</v>
      </c>
      <c r="B766" s="24"/>
      <c r="C766" s="24"/>
      <c r="D766" s="163"/>
      <c r="E766" s="4"/>
      <c r="F766" s="4"/>
      <c r="G766" s="4"/>
      <c r="H766" s="4"/>
      <c r="I766" s="85"/>
      <c r="J766" s="4"/>
      <c r="K766" s="4"/>
      <c r="L766" s="4"/>
      <c r="M766" s="4"/>
      <c r="N766" s="4"/>
      <c r="O766" s="4"/>
      <c r="P766" s="4"/>
    </row>
    <row r="767" spans="1:16" ht="18.600000000000001" customHeight="1" x14ac:dyDescent="0.2">
      <c r="A767" s="7">
        <f t="shared" si="144"/>
        <v>13</v>
      </c>
      <c r="B767" s="24"/>
      <c r="C767" s="24"/>
      <c r="D767" s="26"/>
      <c r="E767" s="4"/>
      <c r="F767" s="4"/>
      <c r="G767" s="4"/>
      <c r="H767" s="4"/>
      <c r="I767" s="85"/>
      <c r="J767" s="4"/>
      <c r="K767" s="4"/>
      <c r="L767" s="4"/>
      <c r="M767" s="4"/>
      <c r="N767" s="4"/>
      <c r="O767" s="4"/>
      <c r="P767" s="4"/>
    </row>
    <row r="768" spans="1:16" ht="18.600000000000001" customHeight="1" x14ac:dyDescent="0.2">
      <c r="A768" s="7">
        <f t="shared" si="144"/>
        <v>14</v>
      </c>
      <c r="B768" s="25"/>
      <c r="C768" s="25"/>
      <c r="D768" s="163"/>
      <c r="E768" s="4"/>
      <c r="F768" s="4"/>
      <c r="G768" s="4"/>
      <c r="H768" s="4"/>
      <c r="I768" s="85"/>
      <c r="J768" s="4"/>
      <c r="K768" s="4"/>
      <c r="L768" s="4"/>
      <c r="M768" s="4"/>
      <c r="N768" s="4"/>
      <c r="O768" s="4"/>
      <c r="P768" s="4"/>
    </row>
    <row r="769" spans="1:16" ht="18.600000000000001" customHeight="1" x14ac:dyDescent="0.2">
      <c r="A769" s="6">
        <f t="shared" si="144"/>
        <v>15</v>
      </c>
      <c r="B769" s="25"/>
      <c r="C769" s="25"/>
      <c r="D769" s="24"/>
      <c r="E769" s="16"/>
      <c r="F769" s="16"/>
      <c r="G769" s="16"/>
      <c r="H769" s="16"/>
      <c r="I769" s="83"/>
      <c r="J769" s="16"/>
      <c r="K769" s="16"/>
      <c r="L769" s="16"/>
      <c r="M769" s="16"/>
      <c r="N769" s="16"/>
      <c r="O769" s="16"/>
      <c r="P769" s="16"/>
    </row>
    <row r="770" spans="1:16" ht="18.600000000000001" customHeight="1" x14ac:dyDescent="0.2">
      <c r="A770" s="32">
        <f t="shared" si="144"/>
        <v>16</v>
      </c>
      <c r="B770" s="1"/>
      <c r="C770" s="2"/>
      <c r="D770" s="33"/>
      <c r="E770" s="2"/>
      <c r="F770" s="2"/>
      <c r="G770" s="2"/>
      <c r="H770" s="2"/>
      <c r="I770" s="84"/>
      <c r="J770" s="2"/>
      <c r="K770" s="2"/>
      <c r="L770" s="2"/>
      <c r="M770" s="2"/>
      <c r="N770" s="2"/>
      <c r="O770" s="2"/>
      <c r="P770" s="2"/>
    </row>
    <row r="771" spans="1:16" ht="18.600000000000001" customHeight="1" x14ac:dyDescent="0.2">
      <c r="A771" s="7">
        <f t="shared" si="144"/>
        <v>17</v>
      </c>
      <c r="B771" s="3"/>
      <c r="C771" s="4"/>
      <c r="D771" s="8"/>
      <c r="E771" s="4"/>
      <c r="F771" s="4"/>
      <c r="G771" s="4"/>
      <c r="H771" s="4"/>
      <c r="I771" s="85"/>
      <c r="J771" s="4"/>
      <c r="K771" s="4"/>
      <c r="L771" s="4"/>
      <c r="M771" s="4"/>
      <c r="N771" s="4"/>
      <c r="O771" s="4"/>
      <c r="P771" s="4"/>
    </row>
    <row r="772" spans="1:16" ht="18.600000000000001" customHeight="1" x14ac:dyDescent="0.2">
      <c r="A772" s="7">
        <f t="shared" si="144"/>
        <v>18</v>
      </c>
      <c r="B772" s="3"/>
      <c r="C772" s="4"/>
      <c r="D772" s="8"/>
      <c r="E772" s="4"/>
      <c r="F772" s="4"/>
      <c r="G772" s="4"/>
      <c r="H772" s="4"/>
      <c r="I772" s="85"/>
      <c r="J772" s="4"/>
      <c r="K772" s="4"/>
      <c r="L772" s="4"/>
      <c r="M772" s="4"/>
      <c r="N772" s="4"/>
      <c r="O772" s="4"/>
      <c r="P772" s="4"/>
    </row>
    <row r="773" spans="1:16" ht="18.600000000000001" customHeight="1" x14ac:dyDescent="0.2">
      <c r="A773" s="7">
        <f t="shared" si="144"/>
        <v>19</v>
      </c>
      <c r="B773" s="3"/>
      <c r="C773" s="4"/>
      <c r="D773" s="8"/>
      <c r="E773" s="4"/>
      <c r="F773" s="4"/>
      <c r="G773" s="4"/>
      <c r="H773" s="4"/>
      <c r="I773" s="85"/>
      <c r="J773" s="4"/>
      <c r="K773" s="4"/>
      <c r="L773" s="4"/>
      <c r="M773" s="4"/>
      <c r="N773" s="4"/>
      <c r="O773" s="4"/>
      <c r="P773" s="4"/>
    </row>
    <row r="774" spans="1:16" ht="18.600000000000001" customHeight="1" x14ac:dyDescent="0.2">
      <c r="A774" s="10">
        <f t="shared" si="144"/>
        <v>20</v>
      </c>
      <c r="B774" s="11"/>
      <c r="C774" s="12"/>
      <c r="D774" s="9"/>
      <c r="E774" s="12"/>
      <c r="F774" s="12"/>
      <c r="G774" s="12"/>
      <c r="H774" s="12"/>
      <c r="I774" s="86"/>
      <c r="J774" s="12"/>
      <c r="K774" s="12"/>
      <c r="L774" s="12"/>
      <c r="M774" s="12"/>
      <c r="N774" s="12"/>
      <c r="O774" s="12"/>
      <c r="P774" s="12"/>
    </row>
    <row r="775" spans="1:16" ht="18.600000000000001" customHeight="1" x14ac:dyDescent="0.2">
      <c r="A775" s="35">
        <f t="shared" si="144"/>
        <v>21</v>
      </c>
      <c r="B775" s="13"/>
      <c r="C775" s="14"/>
      <c r="D775" s="37"/>
      <c r="E775" s="14"/>
      <c r="F775" s="14"/>
      <c r="G775" s="14"/>
      <c r="H775" s="14"/>
      <c r="I775" s="87"/>
      <c r="J775" s="14"/>
      <c r="K775" s="14"/>
      <c r="L775" s="14"/>
      <c r="M775" s="14"/>
      <c r="N775" s="14"/>
      <c r="O775" s="14"/>
      <c r="P775" s="14"/>
    </row>
    <row r="776" spans="1:16" ht="18.600000000000001" customHeight="1" x14ac:dyDescent="0.2">
      <c r="A776" s="7">
        <f t="shared" si="144"/>
        <v>22</v>
      </c>
      <c r="B776" s="3"/>
      <c r="C776" s="4"/>
      <c r="D776" s="8"/>
      <c r="E776" s="4"/>
      <c r="F776" s="4"/>
      <c r="G776" s="4"/>
      <c r="H776" s="4"/>
      <c r="I776" s="85"/>
      <c r="J776" s="4"/>
      <c r="K776" s="4"/>
      <c r="L776" s="4"/>
      <c r="M776" s="4"/>
      <c r="N776" s="4"/>
      <c r="O776" s="4"/>
      <c r="P776" s="4"/>
    </row>
    <row r="777" spans="1:16" ht="18.600000000000001" customHeight="1" x14ac:dyDescent="0.2">
      <c r="A777" s="35">
        <f t="shared" si="144"/>
        <v>23</v>
      </c>
      <c r="B777" s="3"/>
      <c r="C777" s="4"/>
      <c r="D777" s="8"/>
      <c r="E777" s="4"/>
      <c r="F777" s="4"/>
      <c r="G777" s="4"/>
      <c r="H777" s="4"/>
      <c r="I777" s="85"/>
      <c r="J777" s="4"/>
      <c r="K777" s="4"/>
      <c r="L777" s="4"/>
      <c r="M777" s="4"/>
      <c r="N777" s="4"/>
      <c r="O777" s="4"/>
      <c r="P777" s="4"/>
    </row>
    <row r="778" spans="1:16" ht="18.600000000000001" customHeight="1" x14ac:dyDescent="0.2">
      <c r="A778" s="7">
        <f t="shared" si="144"/>
        <v>24</v>
      </c>
      <c r="B778" s="3"/>
      <c r="C778" s="4"/>
      <c r="D778" s="8"/>
      <c r="E778" s="4"/>
      <c r="F778" s="4"/>
      <c r="G778" s="4"/>
      <c r="H778" s="4"/>
      <c r="I778" s="85"/>
      <c r="J778" s="4"/>
      <c r="K778" s="4"/>
      <c r="L778" s="4"/>
      <c r="M778" s="4"/>
      <c r="N778" s="4"/>
      <c r="O778" s="4"/>
      <c r="P778" s="4"/>
    </row>
    <row r="779" spans="1:16" ht="18.600000000000001" customHeight="1" x14ac:dyDescent="0.2">
      <c r="A779" s="35">
        <f t="shared" si="144"/>
        <v>25</v>
      </c>
      <c r="B779" s="11"/>
      <c r="C779" s="12"/>
      <c r="D779" s="9"/>
      <c r="E779" s="12"/>
      <c r="F779" s="12"/>
      <c r="G779" s="12"/>
      <c r="H779" s="12"/>
      <c r="I779" s="86"/>
      <c r="J779" s="12"/>
      <c r="K779" s="12"/>
      <c r="L779" s="12"/>
      <c r="M779" s="12"/>
      <c r="N779" s="12"/>
      <c r="O779" s="12"/>
      <c r="P779" s="12"/>
    </row>
    <row r="780" spans="1:16" ht="18.600000000000001" customHeight="1" x14ac:dyDescent="0.3">
      <c r="A780" s="147"/>
      <c r="B780" s="148"/>
      <c r="C780" s="147"/>
      <c r="D780" s="149"/>
      <c r="E780" s="150">
        <f>SUBTOTAL(9,E755:E779)</f>
        <v>0</v>
      </c>
      <c r="F780" s="152"/>
      <c r="G780" s="150">
        <f t="shared" ref="G780" si="145">SUBTOTAL(9,G755:G779)</f>
        <v>0</v>
      </c>
      <c r="H780" s="152"/>
      <c r="I780" s="150">
        <f t="shared" ref="I780" si="146">SUBTOTAL(9,I755:I779)</f>
        <v>0</v>
      </c>
      <c r="J780" s="152"/>
      <c r="K780" s="152"/>
      <c r="L780" s="152"/>
      <c r="M780" s="150">
        <f t="shared" ref="M780" si="147">SUBTOTAL(9,M755:M779)</f>
        <v>0</v>
      </c>
      <c r="N780" s="152"/>
      <c r="O780" s="150">
        <f t="shared" ref="O780" si="148">SUBTOTAL(9,O755:O779)</f>
        <v>0</v>
      </c>
      <c r="P780" s="152"/>
    </row>
    <row r="781" spans="1:16" ht="18.600000000000001" customHeight="1" x14ac:dyDescent="0.2">
      <c r="A781" s="434" t="str">
        <f>A751</f>
        <v>DANH SÁCH LỚP KET</v>
      </c>
      <c r="B781" s="434"/>
      <c r="C781" s="434"/>
      <c r="D781" s="434"/>
      <c r="E781" s="434"/>
      <c r="F781" s="434"/>
      <c r="G781" s="434"/>
      <c r="H781" s="434"/>
      <c r="I781" s="92" t="s">
        <v>1046</v>
      </c>
      <c r="J781" s="48"/>
      <c r="K781" s="48"/>
      <c r="L781" s="48"/>
      <c r="M781" s="41"/>
      <c r="N781" s="41"/>
      <c r="O781" s="41"/>
      <c r="P781" s="41"/>
    </row>
    <row r="782" spans="1:16" ht="18.600000000000001" customHeight="1" x14ac:dyDescent="0.2">
      <c r="A782" s="28"/>
      <c r="B782" s="29"/>
      <c r="C782" s="30"/>
      <c r="D782" s="36"/>
      <c r="E782" s="28"/>
      <c r="F782" s="28"/>
      <c r="G782" s="28"/>
      <c r="H782" s="28"/>
      <c r="I782" s="79"/>
      <c r="J782" s="28"/>
      <c r="K782" s="28"/>
      <c r="L782" s="28"/>
      <c r="M782" s="28"/>
      <c r="N782" s="28"/>
      <c r="O782" s="28"/>
      <c r="P782" s="28"/>
    </row>
    <row r="783" spans="1:16" ht="18.600000000000001" customHeight="1" x14ac:dyDescent="0.2">
      <c r="A783" s="435" t="s">
        <v>374</v>
      </c>
      <c r="B783" s="435" t="s">
        <v>380</v>
      </c>
      <c r="C783" s="435" t="s">
        <v>383</v>
      </c>
      <c r="D783" s="437" t="s">
        <v>384</v>
      </c>
      <c r="E783" s="438" t="s">
        <v>385</v>
      </c>
      <c r="F783" s="439"/>
      <c r="G783" s="432" t="str">
        <f>$R$1</f>
        <v>Hè 1</v>
      </c>
      <c r="H783" s="433"/>
      <c r="I783" s="432" t="str">
        <f>$T$1</f>
        <v>Hè 2</v>
      </c>
      <c r="J783" s="433"/>
      <c r="K783" s="432" t="str">
        <f>$V$1</f>
        <v>Hè 3</v>
      </c>
      <c r="L783" s="433"/>
      <c r="M783" s="432" t="str">
        <f>$X$1</f>
        <v>.</v>
      </c>
      <c r="N783" s="433"/>
      <c r="O783" s="432" t="str">
        <f>$Z$1</f>
        <v>.</v>
      </c>
      <c r="P783" s="433"/>
    </row>
    <row r="784" spans="1:16" ht="18.600000000000001" customHeight="1" x14ac:dyDescent="0.2">
      <c r="A784" s="436"/>
      <c r="B784" s="436"/>
      <c r="C784" s="436"/>
      <c r="D784" s="436"/>
      <c r="E784" s="31" t="s">
        <v>381</v>
      </c>
      <c r="F784" s="31" t="s">
        <v>382</v>
      </c>
      <c r="G784" s="31" t="s">
        <v>381</v>
      </c>
      <c r="H784" s="31" t="s">
        <v>382</v>
      </c>
      <c r="I784" s="80" t="s">
        <v>381</v>
      </c>
      <c r="J784" s="31" t="s">
        <v>382</v>
      </c>
      <c r="K784" s="80" t="s">
        <v>381</v>
      </c>
      <c r="L784" s="31" t="s">
        <v>382</v>
      </c>
      <c r="M784" s="31" t="s">
        <v>381</v>
      </c>
      <c r="N784" s="31" t="s">
        <v>382</v>
      </c>
      <c r="O784" s="31" t="s">
        <v>381</v>
      </c>
      <c r="P784" s="31" t="s">
        <v>382</v>
      </c>
    </row>
    <row r="785" spans="1:16" ht="18.600000000000001" customHeight="1" x14ac:dyDescent="0.2">
      <c r="A785" s="32">
        <v>1</v>
      </c>
      <c r="B785" s="24"/>
      <c r="C785" s="24"/>
      <c r="D785" s="24"/>
      <c r="E785" s="32"/>
      <c r="F785" s="34"/>
      <c r="G785" s="32"/>
      <c r="H785" s="93"/>
      <c r="I785" s="81"/>
      <c r="J785" s="34"/>
      <c r="K785" s="34"/>
      <c r="L785" s="34"/>
      <c r="M785" s="32"/>
      <c r="N785" s="34"/>
      <c r="O785" s="32"/>
      <c r="P785" s="34"/>
    </row>
    <row r="786" spans="1:16" ht="18.600000000000001" customHeight="1" x14ac:dyDescent="0.2">
      <c r="A786" s="7">
        <f t="shared" ref="A786:A809" si="149">A785+1</f>
        <v>2</v>
      </c>
      <c r="B786" s="24"/>
      <c r="C786" s="24"/>
      <c r="D786" s="163"/>
      <c r="E786" s="7"/>
      <c r="F786" s="7"/>
      <c r="G786" s="7"/>
      <c r="H786" s="7"/>
      <c r="I786" s="82"/>
      <c r="J786" s="7"/>
      <c r="K786" s="7"/>
      <c r="L786" s="7"/>
      <c r="M786" s="7"/>
      <c r="N786" s="7"/>
      <c r="O786" s="7"/>
      <c r="P786" s="7"/>
    </row>
    <row r="787" spans="1:16" ht="18.600000000000001" customHeight="1" x14ac:dyDescent="0.3">
      <c r="A787" s="7">
        <f t="shared" si="149"/>
        <v>3</v>
      </c>
      <c r="B787" s="160"/>
      <c r="C787" s="146"/>
      <c r="D787" s="143"/>
      <c r="E787" s="7"/>
      <c r="F787" s="7"/>
      <c r="G787" s="7"/>
      <c r="H787" s="7"/>
      <c r="I787" s="82"/>
      <c r="J787" s="7"/>
      <c r="K787" s="7"/>
      <c r="L787" s="7"/>
      <c r="M787" s="7"/>
      <c r="N787" s="7"/>
      <c r="O787" s="7"/>
      <c r="P787" s="7"/>
    </row>
    <row r="788" spans="1:16" ht="18.600000000000001" customHeight="1" x14ac:dyDescent="0.2">
      <c r="A788" s="7">
        <f t="shared" si="149"/>
        <v>4</v>
      </c>
      <c r="B788" s="24"/>
      <c r="C788" s="242"/>
      <c r="D788" s="163"/>
      <c r="E788" s="7"/>
      <c r="F788" s="7"/>
      <c r="G788" s="7"/>
      <c r="H788" s="7"/>
      <c r="I788" s="82"/>
      <c r="J788" s="7"/>
      <c r="K788" s="7"/>
      <c r="L788" s="7"/>
      <c r="M788" s="7"/>
      <c r="N788" s="7"/>
      <c r="O788" s="7"/>
      <c r="P788" s="7"/>
    </row>
    <row r="789" spans="1:16" ht="18.600000000000001" customHeight="1" x14ac:dyDescent="0.2">
      <c r="A789" s="6">
        <f t="shared" si="149"/>
        <v>5</v>
      </c>
      <c r="B789" s="25"/>
      <c r="C789" s="25"/>
      <c r="D789" s="163"/>
      <c r="E789" s="16"/>
      <c r="F789" s="16"/>
      <c r="G789" s="16"/>
      <c r="H789" s="16"/>
      <c r="I789" s="83"/>
      <c r="J789" s="16"/>
      <c r="K789" s="16"/>
      <c r="L789" s="16"/>
      <c r="M789" s="16"/>
      <c r="N789" s="16"/>
      <c r="O789" s="16"/>
      <c r="P789" s="16"/>
    </row>
    <row r="790" spans="1:16" ht="18.600000000000001" customHeight="1" x14ac:dyDescent="0.2">
      <c r="A790" s="56">
        <f t="shared" si="149"/>
        <v>6</v>
      </c>
      <c r="B790" s="24"/>
      <c r="C790" s="242"/>
      <c r="D790" s="163"/>
      <c r="E790" s="2"/>
      <c r="F790" s="2"/>
      <c r="G790" s="2"/>
      <c r="H790" s="2"/>
      <c r="I790" s="84"/>
      <c r="J790" s="2"/>
      <c r="K790" s="2"/>
      <c r="L790" s="2"/>
      <c r="M790" s="2"/>
      <c r="N790" s="2"/>
      <c r="O790" s="2"/>
      <c r="P790" s="2"/>
    </row>
    <row r="791" spans="1:16" ht="18.600000000000001" customHeight="1" x14ac:dyDescent="0.2">
      <c r="A791" s="6">
        <f t="shared" si="149"/>
        <v>7</v>
      </c>
      <c r="B791" s="24"/>
      <c r="C791" s="24"/>
      <c r="D791" s="25"/>
      <c r="E791" s="4"/>
      <c r="F791" s="4"/>
      <c r="G791" s="4"/>
      <c r="H791" s="4"/>
      <c r="I791" s="85"/>
      <c r="J791" s="4"/>
      <c r="K791" s="4"/>
      <c r="L791" s="4"/>
      <c r="M791" s="4"/>
      <c r="N791" s="4"/>
      <c r="O791" s="4"/>
      <c r="P791" s="4"/>
    </row>
    <row r="792" spans="1:16" ht="18.600000000000001" customHeight="1" x14ac:dyDescent="0.2">
      <c r="A792" s="6">
        <f t="shared" si="149"/>
        <v>8</v>
      </c>
      <c r="B792" s="24"/>
      <c r="C792" s="24"/>
      <c r="D792" s="163"/>
      <c r="E792" s="4"/>
      <c r="F792" s="4"/>
      <c r="G792" s="4"/>
      <c r="H792" s="4"/>
      <c r="I792" s="85"/>
      <c r="J792" s="4"/>
      <c r="K792" s="4"/>
      <c r="L792" s="4"/>
      <c r="M792" s="4"/>
      <c r="N792" s="4"/>
      <c r="O792" s="4"/>
      <c r="P792" s="4"/>
    </row>
    <row r="793" spans="1:16" ht="18.600000000000001" customHeight="1" x14ac:dyDescent="0.2">
      <c r="A793" s="6">
        <f t="shared" si="149"/>
        <v>9</v>
      </c>
      <c r="B793" s="24"/>
      <c r="C793" s="24"/>
      <c r="D793" s="163"/>
      <c r="E793" s="4"/>
      <c r="F793" s="4"/>
      <c r="G793" s="4"/>
      <c r="H793" s="4"/>
      <c r="I793" s="85"/>
      <c r="J793" s="4"/>
      <c r="K793" s="4"/>
      <c r="L793" s="4"/>
      <c r="M793" s="4"/>
      <c r="N793" s="4"/>
      <c r="O793" s="4"/>
      <c r="P793" s="4"/>
    </row>
    <row r="794" spans="1:16" ht="18.600000000000001" customHeight="1" x14ac:dyDescent="0.2">
      <c r="A794" s="10">
        <f t="shared" si="149"/>
        <v>10</v>
      </c>
      <c r="B794" s="24"/>
      <c r="C794" s="24"/>
      <c r="D794" s="163"/>
      <c r="E794" s="12"/>
      <c r="F794" s="12"/>
      <c r="G794" s="12"/>
      <c r="H794" s="12"/>
      <c r="I794" s="86"/>
      <c r="J794" s="12"/>
      <c r="K794" s="12"/>
      <c r="L794" s="12"/>
      <c r="M794" s="12"/>
      <c r="N794" s="12"/>
      <c r="O794" s="12"/>
      <c r="P794" s="12"/>
    </row>
    <row r="795" spans="1:16" ht="18.600000000000001" customHeight="1" x14ac:dyDescent="0.2">
      <c r="A795" s="35">
        <f t="shared" si="149"/>
        <v>11</v>
      </c>
      <c r="B795" s="24"/>
      <c r="C795" s="24"/>
      <c r="D795" s="163"/>
      <c r="E795" s="14"/>
      <c r="F795" s="14"/>
      <c r="G795" s="14"/>
      <c r="H795" s="14"/>
      <c r="I795" s="87"/>
      <c r="J795" s="14"/>
      <c r="K795" s="14"/>
      <c r="L795" s="14"/>
      <c r="M795" s="14"/>
      <c r="N795" s="14"/>
      <c r="O795" s="14"/>
      <c r="P795" s="14"/>
    </row>
    <row r="796" spans="1:16" ht="18.600000000000001" customHeight="1" x14ac:dyDescent="0.2">
      <c r="A796" s="7">
        <f t="shared" si="149"/>
        <v>12</v>
      </c>
      <c r="B796" s="24"/>
      <c r="C796" s="24"/>
      <c r="D796" s="163"/>
      <c r="E796" s="4"/>
      <c r="F796" s="4"/>
      <c r="G796" s="4"/>
      <c r="H796" s="4"/>
      <c r="I796" s="85"/>
      <c r="J796" s="4"/>
      <c r="K796" s="4"/>
      <c r="L796" s="4"/>
      <c r="M796" s="4"/>
      <c r="N796" s="4"/>
      <c r="O796" s="4"/>
      <c r="P796" s="4"/>
    </row>
    <row r="797" spans="1:16" ht="18.600000000000001" customHeight="1" x14ac:dyDescent="0.3">
      <c r="A797" s="7">
        <f t="shared" si="149"/>
        <v>13</v>
      </c>
      <c r="B797" s="160"/>
      <c r="C797" s="146"/>
      <c r="D797" s="143"/>
      <c r="E797" s="4"/>
      <c r="F797" s="4"/>
      <c r="G797" s="4"/>
      <c r="H797" s="4"/>
      <c r="I797" s="85"/>
      <c r="J797" s="4"/>
      <c r="K797" s="4"/>
      <c r="L797" s="4"/>
      <c r="M797" s="4"/>
      <c r="N797" s="4"/>
      <c r="O797" s="4"/>
      <c r="P797" s="4"/>
    </row>
    <row r="798" spans="1:16" ht="18.600000000000001" customHeight="1" x14ac:dyDescent="0.2">
      <c r="A798" s="7">
        <f t="shared" si="149"/>
        <v>14</v>
      </c>
      <c r="B798" s="24"/>
      <c r="C798" s="24"/>
      <c r="D798" s="163"/>
      <c r="E798" s="4"/>
      <c r="F798" s="4"/>
      <c r="G798" s="4"/>
      <c r="H798" s="4"/>
      <c r="I798" s="85"/>
      <c r="J798" s="4"/>
      <c r="K798" s="4"/>
      <c r="L798" s="4"/>
      <c r="M798" s="4"/>
      <c r="N798" s="4"/>
      <c r="O798" s="4"/>
      <c r="P798" s="4"/>
    </row>
    <row r="799" spans="1:16" ht="18.600000000000001" customHeight="1" x14ac:dyDescent="0.2">
      <c r="A799" s="6">
        <f t="shared" si="149"/>
        <v>15</v>
      </c>
      <c r="B799" s="15"/>
      <c r="C799" s="16"/>
      <c r="D799" s="5"/>
      <c r="E799" s="16"/>
      <c r="F799" s="16"/>
      <c r="G799" s="16"/>
      <c r="H799" s="16"/>
      <c r="I799" s="83"/>
      <c r="J799" s="16"/>
      <c r="K799" s="16"/>
      <c r="L799" s="16"/>
      <c r="M799" s="16"/>
      <c r="N799" s="16"/>
      <c r="O799" s="16"/>
      <c r="P799" s="16"/>
    </row>
    <row r="800" spans="1:16" ht="18.600000000000001" customHeight="1" x14ac:dyDescent="0.2">
      <c r="A800" s="32">
        <f t="shared" si="149"/>
        <v>16</v>
      </c>
      <c r="B800" s="1"/>
      <c r="C800" s="2"/>
      <c r="D800" s="33"/>
      <c r="E800" s="2"/>
      <c r="F800" s="2"/>
      <c r="G800" s="2"/>
      <c r="H800" s="2"/>
      <c r="I800" s="84"/>
      <c r="J800" s="2"/>
      <c r="K800" s="2"/>
      <c r="L800" s="2"/>
      <c r="M800" s="2"/>
      <c r="N800" s="2"/>
      <c r="O800" s="2"/>
      <c r="P800" s="2"/>
    </row>
    <row r="801" spans="1:16" ht="18.600000000000001" customHeight="1" x14ac:dyDescent="0.2">
      <c r="A801" s="7">
        <f t="shared" si="149"/>
        <v>17</v>
      </c>
      <c r="B801" s="3"/>
      <c r="C801" s="4"/>
      <c r="D801" s="8"/>
      <c r="E801" s="4"/>
      <c r="F801" s="4"/>
      <c r="G801" s="4"/>
      <c r="H801" s="4"/>
      <c r="I801" s="85"/>
      <c r="J801" s="4"/>
      <c r="K801" s="4"/>
      <c r="L801" s="4"/>
      <c r="M801" s="4"/>
      <c r="N801" s="4"/>
      <c r="O801" s="4"/>
      <c r="P801" s="4"/>
    </row>
    <row r="802" spans="1:16" ht="18.600000000000001" customHeight="1" x14ac:dyDescent="0.2">
      <c r="A802" s="7">
        <f t="shared" si="149"/>
        <v>18</v>
      </c>
      <c r="B802" s="3"/>
      <c r="C802" s="4"/>
      <c r="D802" s="8"/>
      <c r="E802" s="4"/>
      <c r="F802" s="4"/>
      <c r="G802" s="4"/>
      <c r="H802" s="4"/>
      <c r="I802" s="85"/>
      <c r="J802" s="4"/>
      <c r="K802" s="4"/>
      <c r="L802" s="4"/>
      <c r="M802" s="4"/>
      <c r="N802" s="4"/>
      <c r="O802" s="4"/>
      <c r="P802" s="4"/>
    </row>
    <row r="803" spans="1:16" ht="18.600000000000001" customHeight="1" x14ac:dyDescent="0.2">
      <c r="A803" s="7">
        <f t="shared" si="149"/>
        <v>19</v>
      </c>
      <c r="B803" s="3"/>
      <c r="C803" s="4"/>
      <c r="D803" s="8"/>
      <c r="E803" s="4"/>
      <c r="F803" s="4"/>
      <c r="G803" s="4"/>
      <c r="H803" s="4"/>
      <c r="I803" s="85"/>
      <c r="J803" s="4"/>
      <c r="K803" s="4"/>
      <c r="L803" s="4"/>
      <c r="M803" s="4"/>
      <c r="N803" s="4"/>
      <c r="O803" s="4"/>
      <c r="P803" s="4"/>
    </row>
    <row r="804" spans="1:16" ht="18.600000000000001" customHeight="1" x14ac:dyDescent="0.2">
      <c r="A804" s="10">
        <f t="shared" si="149"/>
        <v>20</v>
      </c>
      <c r="B804" s="11"/>
      <c r="C804" s="12"/>
      <c r="D804" s="9"/>
      <c r="E804" s="12"/>
      <c r="F804" s="12"/>
      <c r="G804" s="12"/>
      <c r="H804" s="12"/>
      <c r="I804" s="86"/>
      <c r="J804" s="12"/>
      <c r="K804" s="12"/>
      <c r="L804" s="12"/>
      <c r="M804" s="12"/>
      <c r="N804" s="12"/>
      <c r="O804" s="12"/>
      <c r="P804" s="12"/>
    </row>
    <row r="805" spans="1:16" ht="18.600000000000001" customHeight="1" x14ac:dyDescent="0.2">
      <c r="A805" s="35">
        <f t="shared" si="149"/>
        <v>21</v>
      </c>
      <c r="B805" s="13"/>
      <c r="C805" s="14"/>
      <c r="D805" s="37"/>
      <c r="E805" s="14"/>
      <c r="F805" s="14"/>
      <c r="G805" s="14"/>
      <c r="H805" s="14"/>
      <c r="I805" s="87"/>
      <c r="J805" s="14"/>
      <c r="K805" s="14"/>
      <c r="L805" s="14"/>
      <c r="M805" s="14"/>
      <c r="N805" s="14"/>
      <c r="O805" s="14"/>
      <c r="P805" s="14"/>
    </row>
    <row r="806" spans="1:16" ht="18.600000000000001" customHeight="1" x14ac:dyDescent="0.2">
      <c r="A806" s="7">
        <f t="shared" si="149"/>
        <v>22</v>
      </c>
      <c r="B806" s="3"/>
      <c r="C806" s="4"/>
      <c r="D806" s="8"/>
      <c r="E806" s="4"/>
      <c r="F806" s="4"/>
      <c r="G806" s="4"/>
      <c r="H806" s="4"/>
      <c r="I806" s="85"/>
      <c r="J806" s="4"/>
      <c r="K806" s="4"/>
      <c r="L806" s="4"/>
      <c r="M806" s="4"/>
      <c r="N806" s="4"/>
      <c r="O806" s="4"/>
      <c r="P806" s="4"/>
    </row>
    <row r="807" spans="1:16" ht="18.600000000000001" customHeight="1" x14ac:dyDescent="0.2">
      <c r="A807" s="35">
        <f t="shared" si="149"/>
        <v>23</v>
      </c>
      <c r="B807" s="3"/>
      <c r="C807" s="4"/>
      <c r="D807" s="8"/>
      <c r="E807" s="4"/>
      <c r="F807" s="4"/>
      <c r="G807" s="4"/>
      <c r="H807" s="4"/>
      <c r="I807" s="85"/>
      <c r="J807" s="4"/>
      <c r="K807" s="4"/>
      <c r="L807" s="4"/>
      <c r="M807" s="4"/>
      <c r="N807" s="4"/>
      <c r="O807" s="4"/>
      <c r="P807" s="4"/>
    </row>
    <row r="808" spans="1:16" ht="18.600000000000001" customHeight="1" x14ac:dyDescent="0.2">
      <c r="A808" s="7">
        <f t="shared" si="149"/>
        <v>24</v>
      </c>
      <c r="B808" s="3"/>
      <c r="C808" s="4"/>
      <c r="D808" s="8"/>
      <c r="E808" s="4"/>
      <c r="F808" s="4"/>
      <c r="G808" s="4"/>
      <c r="H808" s="4"/>
      <c r="I808" s="85"/>
      <c r="J808" s="4"/>
      <c r="K808" s="4"/>
      <c r="L808" s="4"/>
      <c r="M808" s="4"/>
      <c r="N808" s="4"/>
      <c r="O808" s="4"/>
      <c r="P808" s="4"/>
    </row>
    <row r="809" spans="1:16" ht="18.600000000000001" customHeight="1" x14ac:dyDescent="0.2">
      <c r="A809" s="35">
        <f t="shared" si="149"/>
        <v>25</v>
      </c>
      <c r="B809" s="11"/>
      <c r="C809" s="12"/>
      <c r="D809" s="9"/>
      <c r="E809" s="12"/>
      <c r="F809" s="12"/>
      <c r="G809" s="12"/>
      <c r="H809" s="12"/>
      <c r="I809" s="86"/>
      <c r="J809" s="12"/>
      <c r="K809" s="12"/>
      <c r="L809" s="12"/>
      <c r="M809" s="12"/>
      <c r="N809" s="12"/>
      <c r="O809" s="12"/>
      <c r="P809" s="12"/>
    </row>
    <row r="810" spans="1:16" ht="18.600000000000001" customHeight="1" x14ac:dyDescent="0.3">
      <c r="A810" s="147"/>
      <c r="B810" s="148"/>
      <c r="C810" s="147"/>
      <c r="D810" s="149"/>
      <c r="E810" s="150">
        <f>SUBTOTAL(9,E785:E809)</f>
        <v>0</v>
      </c>
      <c r="F810" s="152"/>
      <c r="G810" s="150">
        <f t="shared" ref="G810" si="150">SUBTOTAL(9,G785:G809)</f>
        <v>0</v>
      </c>
      <c r="H810" s="152"/>
      <c r="I810" s="150">
        <f t="shared" ref="I810" si="151">SUBTOTAL(9,I785:I809)</f>
        <v>0</v>
      </c>
      <c r="J810" s="152"/>
      <c r="K810" s="152"/>
      <c r="L810" s="152"/>
      <c r="M810" s="150">
        <f t="shared" ref="M810" si="152">SUBTOTAL(9,M785:M809)</f>
        <v>0</v>
      </c>
      <c r="N810" s="152"/>
      <c r="O810" s="150">
        <f t="shared" ref="O810" si="153">SUBTOTAL(9,O785:O809)</f>
        <v>0</v>
      </c>
      <c r="P810" s="152"/>
    </row>
    <row r="811" spans="1:16" ht="18.600000000000001" customHeight="1" x14ac:dyDescent="0.2">
      <c r="A811" s="434" t="str">
        <f>A781</f>
        <v>DANH SÁCH LỚP KET</v>
      </c>
      <c r="B811" s="434"/>
      <c r="C811" s="434"/>
      <c r="D811" s="434"/>
      <c r="E811" s="434"/>
      <c r="F811" s="434"/>
      <c r="G811" s="434"/>
      <c r="H811" s="434"/>
      <c r="I811" s="92"/>
      <c r="J811" s="48"/>
      <c r="K811" s="48"/>
      <c r="L811" s="48"/>
      <c r="M811" s="41"/>
      <c r="N811" s="41"/>
      <c r="O811" s="41"/>
      <c r="P811" s="41"/>
    </row>
    <row r="812" spans="1:16" ht="18.600000000000001" customHeight="1" x14ac:dyDescent="0.2">
      <c r="A812" s="28"/>
      <c r="B812" s="29"/>
      <c r="C812" s="30"/>
      <c r="D812" s="36"/>
      <c r="E812" s="28"/>
      <c r="F812" s="28"/>
      <c r="G812" s="28"/>
      <c r="H812" s="28"/>
      <c r="I812" s="79"/>
      <c r="J812" s="28"/>
      <c r="K812" s="28"/>
      <c r="L812" s="28"/>
      <c r="M812" s="28"/>
      <c r="N812" s="28"/>
      <c r="O812" s="28"/>
      <c r="P812" s="28"/>
    </row>
    <row r="813" spans="1:16" ht="18.600000000000001" customHeight="1" x14ac:dyDescent="0.2">
      <c r="A813" s="435" t="s">
        <v>374</v>
      </c>
      <c r="B813" s="435" t="s">
        <v>380</v>
      </c>
      <c r="C813" s="435" t="s">
        <v>383</v>
      </c>
      <c r="D813" s="437" t="s">
        <v>384</v>
      </c>
      <c r="E813" s="438" t="s">
        <v>385</v>
      </c>
      <c r="F813" s="439"/>
      <c r="G813" s="432" t="str">
        <f>$R$1</f>
        <v>Hè 1</v>
      </c>
      <c r="H813" s="433"/>
      <c r="I813" s="432" t="str">
        <f>$T$1</f>
        <v>Hè 2</v>
      </c>
      <c r="J813" s="433"/>
      <c r="K813" s="432" t="str">
        <f>$V$1</f>
        <v>Hè 3</v>
      </c>
      <c r="L813" s="433"/>
      <c r="M813" s="432" t="str">
        <f>$X$1</f>
        <v>.</v>
      </c>
      <c r="N813" s="433"/>
      <c r="O813" s="432" t="str">
        <f>$Z$1</f>
        <v>.</v>
      </c>
      <c r="P813" s="433"/>
    </row>
    <row r="814" spans="1:16" ht="18.600000000000001" customHeight="1" x14ac:dyDescent="0.2">
      <c r="A814" s="436"/>
      <c r="B814" s="436"/>
      <c r="C814" s="436"/>
      <c r="D814" s="436"/>
      <c r="E814" s="31" t="s">
        <v>381</v>
      </c>
      <c r="F814" s="31" t="s">
        <v>382</v>
      </c>
      <c r="G814" s="31" t="s">
        <v>381</v>
      </c>
      <c r="H814" s="31" t="s">
        <v>382</v>
      </c>
      <c r="I814" s="80" t="s">
        <v>381</v>
      </c>
      <c r="J814" s="31" t="s">
        <v>382</v>
      </c>
      <c r="K814" s="80" t="s">
        <v>381</v>
      </c>
      <c r="L814" s="31" t="s">
        <v>382</v>
      </c>
      <c r="M814" s="31" t="s">
        <v>381</v>
      </c>
      <c r="N814" s="31" t="s">
        <v>382</v>
      </c>
      <c r="O814" s="31" t="s">
        <v>381</v>
      </c>
      <c r="P814" s="31" t="s">
        <v>382</v>
      </c>
    </row>
    <row r="815" spans="1:16" ht="18.600000000000001" customHeight="1" x14ac:dyDescent="0.3">
      <c r="A815" s="32">
        <v>1</v>
      </c>
      <c r="B815" s="143"/>
      <c r="C815" s="143"/>
      <c r="D815" s="143"/>
      <c r="E815" s="32"/>
      <c r="F815" s="34"/>
      <c r="G815" s="32"/>
      <c r="H815" s="93"/>
      <c r="I815" s="81"/>
      <c r="J815" s="34"/>
      <c r="K815" s="34"/>
      <c r="L815" s="34"/>
      <c r="M815" s="32"/>
      <c r="N815" s="34"/>
      <c r="O815" s="32"/>
      <c r="P815" s="34"/>
    </row>
    <row r="816" spans="1:16" ht="18.600000000000001" customHeight="1" x14ac:dyDescent="0.2">
      <c r="A816" s="7">
        <f t="shared" ref="A816:A839" si="154">A815+1</f>
        <v>2</v>
      </c>
      <c r="B816" s="25"/>
      <c r="C816" s="243"/>
      <c r="D816" s="163"/>
      <c r="E816" s="7"/>
      <c r="F816" s="7"/>
      <c r="G816" s="7"/>
      <c r="H816" s="7"/>
      <c r="I816" s="82"/>
      <c r="J816" s="7"/>
      <c r="K816" s="7"/>
      <c r="L816" s="7"/>
      <c r="M816" s="7"/>
      <c r="N816" s="7"/>
      <c r="O816" s="7"/>
      <c r="P816" s="7"/>
    </row>
    <row r="817" spans="1:16" ht="18.600000000000001" customHeight="1" x14ac:dyDescent="0.3">
      <c r="A817" s="7">
        <f t="shared" si="154"/>
        <v>3</v>
      </c>
      <c r="B817" s="143"/>
      <c r="C817" s="143"/>
      <c r="D817" s="143"/>
      <c r="E817" s="7"/>
      <c r="F817" s="7"/>
      <c r="G817" s="7"/>
      <c r="H817" s="7"/>
      <c r="I817" s="82"/>
      <c r="J817" s="7"/>
      <c r="K817" s="7"/>
      <c r="L817" s="7"/>
      <c r="M817" s="7"/>
      <c r="N817" s="7"/>
      <c r="O817" s="7"/>
      <c r="P817" s="7"/>
    </row>
    <row r="818" spans="1:16" ht="18.600000000000001" customHeight="1" x14ac:dyDescent="0.2">
      <c r="A818" s="7">
        <f t="shared" si="154"/>
        <v>4</v>
      </c>
      <c r="B818" s="24"/>
      <c r="C818" s="242"/>
      <c r="D818" s="163"/>
      <c r="E818" s="7"/>
      <c r="F818" s="7"/>
      <c r="G818" s="7"/>
      <c r="H818" s="7"/>
      <c r="I818" s="82"/>
      <c r="J818" s="7"/>
      <c r="K818" s="7"/>
      <c r="L818" s="7"/>
      <c r="M818" s="7"/>
      <c r="N818" s="7"/>
      <c r="O818" s="7"/>
      <c r="P818" s="7"/>
    </row>
    <row r="819" spans="1:16" ht="18.600000000000001" customHeight="1" x14ac:dyDescent="0.2">
      <c r="A819" s="6">
        <f t="shared" si="154"/>
        <v>5</v>
      </c>
      <c r="B819" s="24"/>
      <c r="C819" s="244"/>
      <c r="D819" s="163"/>
      <c r="E819" s="16"/>
      <c r="F819" s="16"/>
      <c r="G819" s="16"/>
      <c r="H819" s="16"/>
      <c r="I819" s="83"/>
      <c r="J819" s="16"/>
      <c r="K819" s="16"/>
      <c r="L819" s="16"/>
      <c r="M819" s="16"/>
      <c r="N819" s="16"/>
      <c r="O819" s="16"/>
      <c r="P819" s="16"/>
    </row>
    <row r="820" spans="1:16" ht="18.600000000000001" customHeight="1" x14ac:dyDescent="0.2">
      <c r="A820" s="56">
        <f t="shared" si="154"/>
        <v>6</v>
      </c>
      <c r="B820" s="25"/>
      <c r="C820" s="243"/>
      <c r="D820" s="244"/>
      <c r="E820" s="2"/>
      <c r="F820" s="2"/>
      <c r="G820" s="2"/>
      <c r="H820" s="2"/>
      <c r="I820" s="84"/>
      <c r="J820" s="2"/>
      <c r="K820" s="2"/>
      <c r="L820" s="2"/>
      <c r="M820" s="2"/>
      <c r="N820" s="2"/>
      <c r="O820" s="2"/>
      <c r="P820" s="2"/>
    </row>
    <row r="821" spans="1:16" ht="18.600000000000001" customHeight="1" x14ac:dyDescent="0.2">
      <c r="A821" s="6">
        <f t="shared" si="154"/>
        <v>7</v>
      </c>
      <c r="B821" s="25"/>
      <c r="C821" s="243"/>
      <c r="D821" s="245"/>
      <c r="E821" s="4"/>
      <c r="F821" s="4"/>
      <c r="G821" s="4"/>
      <c r="H821" s="4"/>
      <c r="I821" s="85"/>
      <c r="J821" s="4"/>
      <c r="K821" s="4"/>
      <c r="L821" s="4"/>
      <c r="M821" s="4"/>
      <c r="N821" s="4"/>
      <c r="O821" s="4"/>
      <c r="P821" s="4"/>
    </row>
    <row r="822" spans="1:16" ht="18.600000000000001" customHeight="1" x14ac:dyDescent="0.2">
      <c r="A822" s="6">
        <f t="shared" si="154"/>
        <v>8</v>
      </c>
      <c r="B822" s="24"/>
      <c r="C822" s="244"/>
      <c r="D822" s="163"/>
      <c r="E822" s="4"/>
      <c r="F822" s="4"/>
      <c r="G822" s="4"/>
      <c r="H822" s="4"/>
      <c r="I822" s="85"/>
      <c r="J822" s="4"/>
      <c r="K822" s="4"/>
      <c r="L822" s="4"/>
      <c r="M822" s="4"/>
      <c r="N822" s="4"/>
      <c r="O822" s="4"/>
      <c r="P822" s="4"/>
    </row>
    <row r="823" spans="1:16" ht="18.600000000000001" customHeight="1" x14ac:dyDescent="0.2">
      <c r="A823" s="6">
        <f t="shared" si="154"/>
        <v>9</v>
      </c>
      <c r="B823" s="25"/>
      <c r="C823" s="241"/>
      <c r="D823" s="163"/>
      <c r="E823" s="4"/>
      <c r="F823" s="4"/>
      <c r="G823" s="4"/>
      <c r="H823" s="4"/>
      <c r="I823" s="85"/>
      <c r="J823" s="4"/>
      <c r="K823" s="4"/>
      <c r="L823" s="4"/>
      <c r="M823" s="4"/>
      <c r="N823" s="4"/>
      <c r="O823" s="4"/>
      <c r="P823" s="4"/>
    </row>
    <row r="824" spans="1:16" ht="18.600000000000001" customHeight="1" x14ac:dyDescent="0.2">
      <c r="A824" s="10">
        <f t="shared" si="154"/>
        <v>10</v>
      </c>
      <c r="B824" s="24"/>
      <c r="C824" s="242"/>
      <c r="D824" s="163"/>
      <c r="E824" s="12"/>
      <c r="F824" s="12"/>
      <c r="G824" s="12"/>
      <c r="H824" s="12"/>
      <c r="I824" s="86"/>
      <c r="J824" s="12"/>
      <c r="K824" s="12"/>
      <c r="L824" s="12"/>
      <c r="M824" s="12"/>
      <c r="N824" s="12"/>
      <c r="O824" s="12"/>
      <c r="P824" s="12"/>
    </row>
    <row r="825" spans="1:16" ht="18.600000000000001" customHeight="1" x14ac:dyDescent="0.2">
      <c r="A825" s="35">
        <f t="shared" si="154"/>
        <v>11</v>
      </c>
      <c r="B825" s="25"/>
      <c r="C825" s="243"/>
      <c r="D825" s="244"/>
      <c r="E825" s="14"/>
      <c r="F825" s="14"/>
      <c r="G825" s="14"/>
      <c r="H825" s="14"/>
      <c r="I825" s="87"/>
      <c r="J825" s="14"/>
      <c r="K825" s="14"/>
      <c r="L825" s="14"/>
      <c r="M825" s="14"/>
      <c r="N825" s="14"/>
      <c r="O825" s="14"/>
      <c r="P825" s="14"/>
    </row>
    <row r="826" spans="1:16" ht="18.600000000000001" customHeight="1" x14ac:dyDescent="0.2">
      <c r="A826" s="7">
        <f t="shared" si="154"/>
        <v>12</v>
      </c>
      <c r="B826" s="25"/>
      <c r="C826" s="243"/>
      <c r="D826" s="244"/>
      <c r="E826" s="4"/>
      <c r="F826" s="4"/>
      <c r="G826" s="4"/>
      <c r="H826" s="4"/>
      <c r="I826" s="85"/>
      <c r="J826" s="4"/>
      <c r="K826" s="4"/>
      <c r="L826" s="4"/>
      <c r="M826" s="4"/>
      <c r="N826" s="4"/>
      <c r="O826" s="4"/>
      <c r="P826" s="4"/>
    </row>
    <row r="827" spans="1:16" ht="18.600000000000001" customHeight="1" x14ac:dyDescent="0.3">
      <c r="A827" s="7">
        <f t="shared" si="154"/>
        <v>13</v>
      </c>
      <c r="B827" s="39"/>
      <c r="C827" s="24"/>
      <c r="D827" s="163"/>
      <c r="E827" s="4"/>
      <c r="F827" s="4"/>
      <c r="G827" s="4"/>
      <c r="H827" s="4"/>
      <c r="I827" s="85"/>
      <c r="J827" s="4"/>
      <c r="K827" s="4"/>
      <c r="L827" s="4"/>
      <c r="M827" s="4"/>
      <c r="N827" s="4"/>
      <c r="O827" s="4"/>
      <c r="P827" s="4"/>
    </row>
    <row r="828" spans="1:16" ht="18.600000000000001" customHeight="1" x14ac:dyDescent="0.2">
      <c r="A828" s="7">
        <f t="shared" si="154"/>
        <v>14</v>
      </c>
      <c r="B828" s="24"/>
      <c r="C828" s="244"/>
      <c r="D828" s="163"/>
      <c r="E828" s="4"/>
      <c r="F828" s="4"/>
      <c r="G828" s="4"/>
      <c r="H828" s="4"/>
      <c r="I828" s="85"/>
      <c r="J828" s="4"/>
      <c r="K828" s="4"/>
      <c r="L828" s="4"/>
      <c r="M828" s="4"/>
      <c r="N828" s="4"/>
      <c r="O828" s="4"/>
      <c r="P828" s="4"/>
    </row>
    <row r="829" spans="1:16" ht="18.600000000000001" customHeight="1" x14ac:dyDescent="0.3">
      <c r="A829" s="6">
        <f t="shared" si="154"/>
        <v>15</v>
      </c>
      <c r="B829" s="143"/>
      <c r="C829" s="143"/>
      <c r="D829" s="143"/>
      <c r="E829" s="16"/>
      <c r="F829" s="16"/>
      <c r="G829" s="16"/>
      <c r="H829" s="16"/>
      <c r="I829" s="83"/>
      <c r="J829" s="16"/>
      <c r="K829" s="16"/>
      <c r="L829" s="16"/>
      <c r="M829" s="16"/>
      <c r="N829" s="16"/>
      <c r="O829" s="16"/>
      <c r="P829" s="16"/>
    </row>
    <row r="830" spans="1:16" ht="18.600000000000001" customHeight="1" x14ac:dyDescent="0.2">
      <c r="A830" s="32">
        <f t="shared" si="154"/>
        <v>16</v>
      </c>
      <c r="B830" s="24"/>
      <c r="C830" s="244"/>
      <c r="D830" s="163"/>
      <c r="E830" s="2"/>
      <c r="F830" s="2"/>
      <c r="G830" s="2"/>
      <c r="H830" s="2"/>
      <c r="I830" s="84"/>
      <c r="J830" s="2"/>
      <c r="K830" s="2"/>
      <c r="L830" s="2"/>
      <c r="M830" s="2"/>
      <c r="N830" s="2"/>
      <c r="O830" s="2"/>
      <c r="P830" s="2"/>
    </row>
    <row r="831" spans="1:16" ht="18.600000000000001" customHeight="1" x14ac:dyDescent="0.2">
      <c r="A831" s="7">
        <f t="shared" si="154"/>
        <v>17</v>
      </c>
      <c r="B831" s="25"/>
      <c r="C831" s="243"/>
      <c r="D831" s="163"/>
      <c r="E831" s="4"/>
      <c r="F831" s="4"/>
      <c r="G831" s="4"/>
      <c r="H831" s="4"/>
      <c r="I831" s="85"/>
      <c r="J831" s="4"/>
      <c r="K831" s="4"/>
      <c r="L831" s="4"/>
      <c r="M831" s="4"/>
      <c r="N831" s="4"/>
      <c r="O831" s="4"/>
      <c r="P831" s="4"/>
    </row>
    <row r="832" spans="1:16" ht="18.600000000000001" customHeight="1" x14ac:dyDescent="0.2">
      <c r="A832" s="7">
        <f t="shared" si="154"/>
        <v>18</v>
      </c>
      <c r="B832" s="24"/>
      <c r="C832" s="244"/>
      <c r="D832" s="163"/>
      <c r="E832" s="4"/>
      <c r="F832" s="4"/>
      <c r="G832" s="4"/>
      <c r="H832" s="4"/>
      <c r="I832" s="85"/>
      <c r="J832" s="4"/>
      <c r="K832" s="4"/>
      <c r="L832" s="4"/>
      <c r="M832" s="4"/>
      <c r="N832" s="4"/>
      <c r="O832" s="4"/>
      <c r="P832" s="4"/>
    </row>
    <row r="833" spans="1:16" ht="18.600000000000001" customHeight="1" x14ac:dyDescent="0.2">
      <c r="A833" s="7">
        <f t="shared" si="154"/>
        <v>19</v>
      </c>
      <c r="B833" s="24"/>
      <c r="C833" s="244"/>
      <c r="D833" s="244"/>
      <c r="E833" s="4"/>
      <c r="F833" s="4"/>
      <c r="G833" s="4"/>
      <c r="H833" s="4"/>
      <c r="I833" s="85"/>
      <c r="J833" s="4"/>
      <c r="K833" s="4"/>
      <c r="L833" s="4"/>
      <c r="M833" s="4"/>
      <c r="N833" s="4"/>
      <c r="O833" s="4"/>
      <c r="P833" s="4"/>
    </row>
    <row r="834" spans="1:16" ht="18.600000000000001" customHeight="1" x14ac:dyDescent="0.3">
      <c r="A834" s="10">
        <f t="shared" si="154"/>
        <v>20</v>
      </c>
      <c r="B834" s="143"/>
      <c r="C834" s="143"/>
      <c r="D834" s="143"/>
      <c r="E834" s="12"/>
      <c r="F834" s="12"/>
      <c r="G834" s="12"/>
      <c r="H834" s="12"/>
      <c r="I834" s="86"/>
      <c r="J834" s="12"/>
      <c r="K834" s="12"/>
      <c r="L834" s="12"/>
      <c r="M834" s="12"/>
      <c r="N834" s="12"/>
      <c r="O834" s="12"/>
      <c r="P834" s="12"/>
    </row>
    <row r="835" spans="1:16" ht="18.600000000000001" customHeight="1" x14ac:dyDescent="0.2">
      <c r="A835" s="35">
        <f t="shared" si="154"/>
        <v>21</v>
      </c>
      <c r="B835" s="24"/>
      <c r="C835" s="242"/>
      <c r="D835" s="163"/>
      <c r="E835" s="14"/>
      <c r="F835" s="14"/>
      <c r="G835" s="14"/>
      <c r="H835" s="14"/>
      <c r="I835" s="87"/>
      <c r="J835" s="14"/>
      <c r="K835" s="14"/>
      <c r="L835" s="14"/>
      <c r="M835" s="14"/>
      <c r="N835" s="14"/>
      <c r="O835" s="14"/>
      <c r="P835" s="14"/>
    </row>
    <row r="836" spans="1:16" ht="18.600000000000001" customHeight="1" x14ac:dyDescent="0.2">
      <c r="A836" s="7">
        <f t="shared" si="154"/>
        <v>22</v>
      </c>
      <c r="B836" s="3"/>
      <c r="C836" s="4"/>
      <c r="D836" s="8"/>
      <c r="E836" s="4"/>
      <c r="F836" s="4"/>
      <c r="G836" s="4"/>
      <c r="H836" s="4"/>
      <c r="I836" s="85"/>
      <c r="J836" s="4"/>
      <c r="K836" s="4"/>
      <c r="L836" s="4"/>
      <c r="M836" s="4"/>
      <c r="N836" s="4"/>
      <c r="O836" s="4"/>
      <c r="P836" s="4"/>
    </row>
    <row r="837" spans="1:16" ht="18.600000000000001" customHeight="1" x14ac:dyDescent="0.2">
      <c r="A837" s="35">
        <f t="shared" si="154"/>
        <v>23</v>
      </c>
      <c r="B837" s="3"/>
      <c r="C837" s="4"/>
      <c r="D837" s="8"/>
      <c r="E837" s="4"/>
      <c r="F837" s="4"/>
      <c r="G837" s="4"/>
      <c r="H837" s="4"/>
      <c r="I837" s="85"/>
      <c r="J837" s="4"/>
      <c r="K837" s="4"/>
      <c r="L837" s="4"/>
      <c r="M837" s="4"/>
      <c r="N837" s="4"/>
      <c r="O837" s="4"/>
      <c r="P837" s="4"/>
    </row>
    <row r="838" spans="1:16" ht="18.600000000000001" customHeight="1" x14ac:dyDescent="0.2">
      <c r="A838" s="7">
        <f t="shared" si="154"/>
        <v>24</v>
      </c>
      <c r="B838" s="3"/>
      <c r="C838" s="4"/>
      <c r="D838" s="8"/>
      <c r="E838" s="4"/>
      <c r="F838" s="4"/>
      <c r="G838" s="4"/>
      <c r="H838" s="4"/>
      <c r="I838" s="85"/>
      <c r="J838" s="4"/>
      <c r="K838" s="4"/>
      <c r="L838" s="4"/>
      <c r="M838" s="4"/>
      <c r="N838" s="4"/>
      <c r="O838" s="4"/>
      <c r="P838" s="4"/>
    </row>
    <row r="839" spans="1:16" ht="18.600000000000001" customHeight="1" x14ac:dyDescent="0.2">
      <c r="A839" s="35">
        <f t="shared" si="154"/>
        <v>25</v>
      </c>
      <c r="B839" s="11"/>
      <c r="C839" s="12"/>
      <c r="D839" s="9"/>
      <c r="E839" s="12"/>
      <c r="F839" s="12"/>
      <c r="G839" s="12"/>
      <c r="H839" s="12"/>
      <c r="I839" s="86"/>
      <c r="J839" s="12"/>
      <c r="K839" s="12"/>
      <c r="L839" s="12"/>
      <c r="M839" s="12"/>
      <c r="N839" s="12"/>
      <c r="O839" s="12"/>
      <c r="P839" s="12"/>
    </row>
    <row r="840" spans="1:16" ht="18.600000000000001" customHeight="1" x14ac:dyDescent="0.3">
      <c r="A840" s="147"/>
      <c r="B840" s="148"/>
      <c r="C840" s="147"/>
      <c r="D840" s="149"/>
      <c r="E840" s="150">
        <f>SUBTOTAL(9,E815:E839)</f>
        <v>0</v>
      </c>
      <c r="F840" s="152"/>
      <c r="G840" s="150">
        <f t="shared" ref="G840" si="155">SUBTOTAL(9,G815:G839)</f>
        <v>0</v>
      </c>
      <c r="H840" s="152"/>
      <c r="I840" s="150">
        <f t="shared" ref="I840" si="156">SUBTOTAL(9,I815:I839)</f>
        <v>0</v>
      </c>
      <c r="J840" s="152"/>
      <c r="K840" s="152"/>
      <c r="L840" s="152"/>
      <c r="M840" s="150">
        <f t="shared" ref="M840" si="157">SUBTOTAL(9,M815:M839)</f>
        <v>0</v>
      </c>
      <c r="N840" s="152"/>
      <c r="O840" s="150">
        <f t="shared" ref="O840" si="158">SUBTOTAL(9,O815:O839)</f>
        <v>0</v>
      </c>
      <c r="P840" s="152"/>
    </row>
    <row r="841" spans="1:16" ht="18.600000000000001" customHeight="1" x14ac:dyDescent="0.2">
      <c r="A841" s="434" t="str">
        <f>A811</f>
        <v>DANH SÁCH LỚP KET</v>
      </c>
      <c r="B841" s="434"/>
      <c r="C841" s="434"/>
      <c r="D841" s="434"/>
      <c r="E841" s="434"/>
      <c r="F841" s="434"/>
      <c r="G841" s="434"/>
      <c r="H841" s="434"/>
      <c r="I841" s="92">
        <v>12</v>
      </c>
      <c r="J841" s="48"/>
      <c r="K841" s="48"/>
      <c r="L841" s="48"/>
      <c r="M841" s="41"/>
      <c r="N841" s="41"/>
      <c r="O841" s="41"/>
      <c r="P841" s="41"/>
    </row>
    <row r="842" spans="1:16" ht="18.600000000000001" customHeight="1" x14ac:dyDescent="0.2">
      <c r="A842" s="28"/>
      <c r="B842" s="29"/>
      <c r="C842" s="30"/>
      <c r="D842" s="36"/>
      <c r="E842" s="28"/>
      <c r="F842" s="28"/>
      <c r="G842" s="28"/>
      <c r="H842" s="28"/>
      <c r="I842" s="79"/>
      <c r="J842" s="28"/>
      <c r="K842" s="28"/>
      <c r="L842" s="28"/>
      <c r="M842" s="28"/>
      <c r="N842" s="28"/>
      <c r="O842" s="28"/>
      <c r="P842" s="28"/>
    </row>
    <row r="843" spans="1:16" ht="18.600000000000001" customHeight="1" x14ac:dyDescent="0.2">
      <c r="A843" s="435" t="s">
        <v>374</v>
      </c>
      <c r="B843" s="435" t="s">
        <v>380</v>
      </c>
      <c r="C843" s="435" t="s">
        <v>383</v>
      </c>
      <c r="D843" s="437" t="s">
        <v>384</v>
      </c>
      <c r="E843" s="438" t="s">
        <v>385</v>
      </c>
      <c r="F843" s="439"/>
      <c r="G843" s="432" t="str">
        <f>$R$1</f>
        <v>Hè 1</v>
      </c>
      <c r="H843" s="433"/>
      <c r="I843" s="432" t="str">
        <f>$T$1</f>
        <v>Hè 2</v>
      </c>
      <c r="J843" s="433"/>
      <c r="K843" s="432" t="str">
        <f>$V$1</f>
        <v>Hè 3</v>
      </c>
      <c r="L843" s="433"/>
      <c r="M843" s="432" t="str">
        <f>$X$1</f>
        <v>.</v>
      </c>
      <c r="N843" s="433"/>
      <c r="O843" s="432" t="str">
        <f>$Z$1</f>
        <v>.</v>
      </c>
      <c r="P843" s="433"/>
    </row>
    <row r="844" spans="1:16" ht="18.600000000000001" customHeight="1" x14ac:dyDescent="0.2">
      <c r="A844" s="436"/>
      <c r="B844" s="436"/>
      <c r="C844" s="436"/>
      <c r="D844" s="436"/>
      <c r="E844" s="31" t="s">
        <v>381</v>
      </c>
      <c r="F844" s="31" t="s">
        <v>382</v>
      </c>
      <c r="G844" s="31" t="s">
        <v>381</v>
      </c>
      <c r="H844" s="31" t="s">
        <v>382</v>
      </c>
      <c r="I844" s="80" t="s">
        <v>381</v>
      </c>
      <c r="J844" s="31" t="s">
        <v>382</v>
      </c>
      <c r="K844" s="80" t="s">
        <v>381</v>
      </c>
      <c r="L844" s="31" t="s">
        <v>382</v>
      </c>
      <c r="M844" s="31" t="s">
        <v>381</v>
      </c>
      <c r="N844" s="31" t="s">
        <v>382</v>
      </c>
      <c r="O844" s="31" t="s">
        <v>381</v>
      </c>
      <c r="P844" s="31" t="s">
        <v>382</v>
      </c>
    </row>
    <row r="845" spans="1:16" ht="18.600000000000001" customHeight="1" x14ac:dyDescent="0.2">
      <c r="A845" s="32">
        <v>1</v>
      </c>
      <c r="B845" s="26"/>
      <c r="C845" s="26"/>
      <c r="D845" s="22"/>
      <c r="E845" s="32"/>
      <c r="F845" s="34"/>
      <c r="G845" s="32"/>
      <c r="H845" s="93"/>
      <c r="I845" s="81"/>
      <c r="J845" s="34"/>
      <c r="K845" s="34"/>
      <c r="L845" s="34"/>
      <c r="M845" s="32"/>
      <c r="N845" s="34"/>
      <c r="O845" s="32"/>
      <c r="P845" s="34"/>
    </row>
    <row r="846" spans="1:16" ht="18.600000000000001" customHeight="1" x14ac:dyDescent="0.2">
      <c r="A846" s="7">
        <f t="shared" ref="A846:A869" si="159">A845+1</f>
        <v>2</v>
      </c>
      <c r="B846" s="26"/>
      <c r="C846" s="26"/>
      <c r="D846" s="22"/>
      <c r="E846" s="7"/>
      <c r="F846" s="7"/>
      <c r="G846" s="7"/>
      <c r="H846" s="7"/>
      <c r="I846" s="82"/>
      <c r="J846" s="7"/>
      <c r="K846" s="7"/>
      <c r="L846" s="7"/>
      <c r="M846" s="7"/>
      <c r="N846" s="7"/>
      <c r="O846" s="7"/>
      <c r="P846" s="7"/>
    </row>
    <row r="847" spans="1:16" ht="18.600000000000001" customHeight="1" x14ac:dyDescent="0.2">
      <c r="A847" s="7">
        <f t="shared" si="159"/>
        <v>3</v>
      </c>
      <c r="B847" s="26"/>
      <c r="C847" s="26"/>
      <c r="D847" s="22"/>
      <c r="E847" s="7"/>
      <c r="F847" s="7"/>
      <c r="G847" s="7"/>
      <c r="H847" s="7"/>
      <c r="I847" s="82"/>
      <c r="J847" s="7"/>
      <c r="K847" s="7"/>
      <c r="L847" s="7"/>
      <c r="M847" s="7"/>
      <c r="N847" s="7"/>
      <c r="O847" s="7"/>
      <c r="P847" s="7"/>
    </row>
    <row r="848" spans="1:16" ht="18.600000000000001" customHeight="1" x14ac:dyDescent="0.2">
      <c r="A848" s="7">
        <f t="shared" si="159"/>
        <v>4</v>
      </c>
      <c r="B848" s="26"/>
      <c r="C848" s="26"/>
      <c r="D848" s="22"/>
      <c r="E848" s="7"/>
      <c r="F848" s="7"/>
      <c r="G848" s="7"/>
      <c r="H848" s="7"/>
      <c r="I848" s="82"/>
      <c r="J848" s="7"/>
      <c r="K848" s="7"/>
      <c r="L848" s="7"/>
      <c r="M848" s="7"/>
      <c r="N848" s="7"/>
      <c r="O848" s="7"/>
      <c r="P848" s="7"/>
    </row>
    <row r="849" spans="1:16" ht="18.600000000000001" customHeight="1" x14ac:dyDescent="0.2">
      <c r="A849" s="6">
        <f t="shared" si="159"/>
        <v>5</v>
      </c>
      <c r="B849" s="58"/>
      <c r="C849" s="58"/>
      <c r="D849" s="59"/>
      <c r="E849" s="16"/>
      <c r="F849" s="16"/>
      <c r="G849" s="16"/>
      <c r="H849" s="16"/>
      <c r="I849" s="83"/>
      <c r="J849" s="16"/>
      <c r="K849" s="16"/>
      <c r="L849" s="16"/>
      <c r="M849" s="16"/>
      <c r="N849" s="16"/>
      <c r="O849" s="16"/>
      <c r="P849" s="16"/>
    </row>
    <row r="850" spans="1:16" ht="18.600000000000001" customHeight="1" x14ac:dyDescent="0.2">
      <c r="A850" s="56">
        <f t="shared" si="159"/>
        <v>6</v>
      </c>
      <c r="B850" s="57"/>
      <c r="C850" s="57"/>
      <c r="D850" s="21"/>
      <c r="E850" s="2"/>
      <c r="F850" s="2"/>
      <c r="G850" s="2"/>
      <c r="H850" s="2"/>
      <c r="I850" s="84"/>
      <c r="J850" s="2"/>
      <c r="K850" s="2"/>
      <c r="L850" s="2"/>
      <c r="M850" s="2"/>
      <c r="N850" s="2"/>
      <c r="O850" s="2"/>
      <c r="P850" s="2"/>
    </row>
    <row r="851" spans="1:16" ht="18.600000000000001" customHeight="1" x14ac:dyDescent="0.2">
      <c r="A851" s="6">
        <f t="shared" si="159"/>
        <v>7</v>
      </c>
      <c r="B851" s="26"/>
      <c r="C851" s="26"/>
      <c r="D851" s="22"/>
      <c r="E851" s="4"/>
      <c r="F851" s="4"/>
      <c r="G851" s="4"/>
      <c r="H851" s="4"/>
      <c r="I851" s="85"/>
      <c r="J851" s="4"/>
      <c r="K851" s="4"/>
      <c r="L851" s="4"/>
      <c r="M851" s="4"/>
      <c r="N851" s="4"/>
      <c r="O851" s="4"/>
      <c r="P851" s="4"/>
    </row>
    <row r="852" spans="1:16" ht="18.600000000000001" customHeight="1" x14ac:dyDescent="0.2">
      <c r="A852" s="6">
        <f t="shared" si="159"/>
        <v>8</v>
      </c>
      <c r="B852" s="26"/>
      <c r="C852" s="26"/>
      <c r="D852" s="22"/>
      <c r="E852" s="4"/>
      <c r="F852" s="4"/>
      <c r="G852" s="4"/>
      <c r="H852" s="4"/>
      <c r="I852" s="85"/>
      <c r="J852" s="4"/>
      <c r="K852" s="4"/>
      <c r="L852" s="4"/>
      <c r="M852" s="4"/>
      <c r="N852" s="4"/>
      <c r="O852" s="4"/>
      <c r="P852" s="4"/>
    </row>
    <row r="853" spans="1:16" ht="18.600000000000001" customHeight="1" x14ac:dyDescent="0.2">
      <c r="A853" s="6">
        <f t="shared" si="159"/>
        <v>9</v>
      </c>
      <c r="B853" s="26"/>
      <c r="C853" s="26"/>
      <c r="D853" s="22"/>
      <c r="E853" s="4"/>
      <c r="F853" s="4"/>
      <c r="G853" s="4"/>
      <c r="H853" s="4"/>
      <c r="I853" s="85"/>
      <c r="J853" s="4"/>
      <c r="K853" s="4"/>
      <c r="L853" s="4"/>
      <c r="M853" s="4"/>
      <c r="N853" s="4"/>
      <c r="O853" s="4"/>
      <c r="P853" s="4"/>
    </row>
    <row r="854" spans="1:16" ht="18.600000000000001" customHeight="1" x14ac:dyDescent="0.2">
      <c r="A854" s="10">
        <f t="shared" si="159"/>
        <v>10</v>
      </c>
      <c r="B854" s="62"/>
      <c r="C854" s="62"/>
      <c r="D854" s="23"/>
      <c r="E854" s="12"/>
      <c r="F854" s="12"/>
      <c r="G854" s="12"/>
      <c r="H854" s="12"/>
      <c r="I854" s="86"/>
      <c r="J854" s="12"/>
      <c r="K854" s="12"/>
      <c r="L854" s="12"/>
      <c r="M854" s="12"/>
      <c r="N854" s="12"/>
      <c r="O854" s="12"/>
      <c r="P854" s="12"/>
    </row>
    <row r="855" spans="1:16" ht="18.600000000000001" customHeight="1" x14ac:dyDescent="0.2">
      <c r="A855" s="35">
        <f t="shared" si="159"/>
        <v>11</v>
      </c>
      <c r="B855" s="60"/>
      <c r="C855" s="60"/>
      <c r="D855" s="61"/>
      <c r="E855" s="14"/>
      <c r="F855" s="14"/>
      <c r="G855" s="14"/>
      <c r="H855" s="14"/>
      <c r="I855" s="87"/>
      <c r="J855" s="14"/>
      <c r="K855" s="14"/>
      <c r="L855" s="14"/>
      <c r="M855" s="14"/>
      <c r="N855" s="14"/>
      <c r="O855" s="14"/>
      <c r="P855" s="14"/>
    </row>
    <row r="856" spans="1:16" ht="18.600000000000001" customHeight="1" x14ac:dyDescent="0.2">
      <c r="A856" s="7">
        <f t="shared" si="159"/>
        <v>12</v>
      </c>
      <c r="B856" s="26"/>
      <c r="C856" s="26"/>
      <c r="D856" s="22"/>
      <c r="E856" s="4"/>
      <c r="F856" s="4"/>
      <c r="G856" s="4"/>
      <c r="H856" s="4"/>
      <c r="I856" s="85"/>
      <c r="J856" s="4"/>
      <c r="K856" s="4"/>
      <c r="L856" s="4"/>
      <c r="M856" s="4"/>
      <c r="N856" s="4"/>
      <c r="O856" s="4"/>
      <c r="P856" s="4"/>
    </row>
    <row r="857" spans="1:16" ht="18.600000000000001" customHeight="1" x14ac:dyDescent="0.2">
      <c r="A857" s="7">
        <f t="shared" si="159"/>
        <v>13</v>
      </c>
      <c r="B857" s="26"/>
      <c r="C857" s="26"/>
      <c r="D857" s="22"/>
      <c r="E857" s="4"/>
      <c r="F857" s="4"/>
      <c r="G857" s="4"/>
      <c r="H857" s="4"/>
      <c r="I857" s="85"/>
      <c r="J857" s="4"/>
      <c r="K857" s="4"/>
      <c r="L857" s="4"/>
      <c r="M857" s="4"/>
      <c r="N857" s="4"/>
      <c r="O857" s="4"/>
      <c r="P857" s="4"/>
    </row>
    <row r="858" spans="1:16" ht="18.600000000000001" customHeight="1" x14ac:dyDescent="0.2">
      <c r="A858" s="7">
        <f t="shared" si="159"/>
        <v>14</v>
      </c>
      <c r="B858" s="3"/>
      <c r="C858" s="4"/>
      <c r="D858" s="8"/>
      <c r="E858" s="4"/>
      <c r="F858" s="4"/>
      <c r="G858" s="4"/>
      <c r="H858" s="4"/>
      <c r="I858" s="85"/>
      <c r="J858" s="4"/>
      <c r="K858" s="4"/>
      <c r="L858" s="4"/>
      <c r="M858" s="4"/>
      <c r="N858" s="4"/>
      <c r="O858" s="4"/>
      <c r="P858" s="4"/>
    </row>
    <row r="859" spans="1:16" ht="18.600000000000001" customHeight="1" x14ac:dyDescent="0.2">
      <c r="A859" s="6">
        <f t="shared" si="159"/>
        <v>15</v>
      </c>
      <c r="B859" s="15"/>
      <c r="C859" s="16"/>
      <c r="D859" s="5"/>
      <c r="E859" s="16"/>
      <c r="F859" s="16"/>
      <c r="G859" s="16"/>
      <c r="H859" s="16"/>
      <c r="I859" s="83"/>
      <c r="J859" s="16"/>
      <c r="K859" s="16"/>
      <c r="L859" s="16"/>
      <c r="M859" s="16"/>
      <c r="N859" s="16"/>
      <c r="O859" s="16"/>
      <c r="P859" s="16"/>
    </row>
    <row r="860" spans="1:16" ht="18.600000000000001" customHeight="1" x14ac:dyDescent="0.2">
      <c r="A860" s="32">
        <f t="shared" si="159"/>
        <v>16</v>
      </c>
      <c r="B860" s="1"/>
      <c r="C860" s="2"/>
      <c r="D860" s="33"/>
      <c r="E860" s="2"/>
      <c r="F860" s="2"/>
      <c r="G860" s="2"/>
      <c r="H860" s="2"/>
      <c r="I860" s="84"/>
      <c r="J860" s="2"/>
      <c r="K860" s="2"/>
      <c r="L860" s="2"/>
      <c r="M860" s="2"/>
      <c r="N860" s="2"/>
      <c r="O860" s="2"/>
      <c r="P860" s="2"/>
    </row>
    <row r="861" spans="1:16" ht="18.600000000000001" customHeight="1" x14ac:dyDescent="0.2">
      <c r="A861" s="7">
        <f t="shared" si="159"/>
        <v>17</v>
      </c>
      <c r="B861" s="3"/>
      <c r="C861" s="4"/>
      <c r="D861" s="8"/>
      <c r="E861" s="4"/>
      <c r="F861" s="4"/>
      <c r="G861" s="4"/>
      <c r="H861" s="4"/>
      <c r="I861" s="85"/>
      <c r="J861" s="4"/>
      <c r="K861" s="4"/>
      <c r="L861" s="4"/>
      <c r="M861" s="4"/>
      <c r="N861" s="4"/>
      <c r="O861" s="4"/>
      <c r="P861" s="4"/>
    </row>
    <row r="862" spans="1:16" ht="18.600000000000001" customHeight="1" x14ac:dyDescent="0.2">
      <c r="A862" s="7">
        <f t="shared" si="159"/>
        <v>18</v>
      </c>
      <c r="B862" s="3"/>
      <c r="C862" s="4"/>
      <c r="D862" s="8"/>
      <c r="E862" s="4"/>
      <c r="F862" s="4"/>
      <c r="G862" s="4"/>
      <c r="H862" s="4"/>
      <c r="I862" s="85"/>
      <c r="J862" s="4"/>
      <c r="K862" s="4"/>
      <c r="L862" s="4"/>
      <c r="M862" s="4"/>
      <c r="N862" s="4"/>
      <c r="O862" s="4"/>
      <c r="P862" s="4"/>
    </row>
    <row r="863" spans="1:16" ht="18.600000000000001" customHeight="1" x14ac:dyDescent="0.2">
      <c r="A863" s="7">
        <f t="shared" si="159"/>
        <v>19</v>
      </c>
      <c r="B863" s="3"/>
      <c r="C863" s="4"/>
      <c r="D863" s="8"/>
      <c r="E863" s="4"/>
      <c r="F863" s="4"/>
      <c r="G863" s="4"/>
      <c r="H863" s="4"/>
      <c r="I863" s="85"/>
      <c r="J863" s="4"/>
      <c r="K863" s="4"/>
      <c r="L863" s="4"/>
      <c r="M863" s="4"/>
      <c r="N863" s="4"/>
      <c r="O863" s="4"/>
      <c r="P863" s="4"/>
    </row>
    <row r="864" spans="1:16" ht="18.600000000000001" customHeight="1" x14ac:dyDescent="0.2">
      <c r="A864" s="10">
        <f t="shared" si="159"/>
        <v>20</v>
      </c>
      <c r="B864" s="11"/>
      <c r="C864" s="12"/>
      <c r="D864" s="9"/>
      <c r="E864" s="12"/>
      <c r="F864" s="12"/>
      <c r="G864" s="12"/>
      <c r="H864" s="12"/>
      <c r="I864" s="86"/>
      <c r="J864" s="12"/>
      <c r="K864" s="12"/>
      <c r="L864" s="12"/>
      <c r="M864" s="12"/>
      <c r="N864" s="12"/>
      <c r="O864" s="12"/>
      <c r="P864" s="12"/>
    </row>
    <row r="865" spans="1:16" ht="18.600000000000001" customHeight="1" x14ac:dyDescent="0.2">
      <c r="A865" s="35">
        <f t="shared" si="159"/>
        <v>21</v>
      </c>
      <c r="B865" s="13"/>
      <c r="C865" s="14"/>
      <c r="D865" s="37"/>
      <c r="E865" s="14"/>
      <c r="F865" s="14"/>
      <c r="G865" s="14"/>
      <c r="H865" s="14"/>
      <c r="I865" s="87"/>
      <c r="J865" s="14"/>
      <c r="K865" s="14"/>
      <c r="L865" s="14"/>
      <c r="M865" s="14"/>
      <c r="N865" s="14"/>
      <c r="O865" s="14"/>
      <c r="P865" s="14"/>
    </row>
    <row r="866" spans="1:16" ht="18.600000000000001" customHeight="1" x14ac:dyDescent="0.2">
      <c r="A866" s="7">
        <f t="shared" si="159"/>
        <v>22</v>
      </c>
      <c r="B866" s="3"/>
      <c r="C866" s="4"/>
      <c r="D866" s="8"/>
      <c r="E866" s="4"/>
      <c r="F866" s="4"/>
      <c r="G866" s="4"/>
      <c r="H866" s="4"/>
      <c r="I866" s="85"/>
      <c r="J866" s="4"/>
      <c r="K866" s="4"/>
      <c r="L866" s="4"/>
      <c r="M866" s="4"/>
      <c r="N866" s="4"/>
      <c r="O866" s="4"/>
      <c r="P866" s="4"/>
    </row>
    <row r="867" spans="1:16" ht="18.600000000000001" customHeight="1" x14ac:dyDescent="0.2">
      <c r="A867" s="35">
        <f t="shared" si="159"/>
        <v>23</v>
      </c>
      <c r="B867" s="3"/>
      <c r="C867" s="4"/>
      <c r="D867" s="8"/>
      <c r="E867" s="4"/>
      <c r="F867" s="4"/>
      <c r="G867" s="4"/>
      <c r="H867" s="4"/>
      <c r="I867" s="85"/>
      <c r="J867" s="4"/>
      <c r="K867" s="4"/>
      <c r="L867" s="4"/>
      <c r="M867" s="4"/>
      <c r="N867" s="4"/>
      <c r="O867" s="4"/>
      <c r="P867" s="4"/>
    </row>
    <row r="868" spans="1:16" ht="18.600000000000001" customHeight="1" x14ac:dyDescent="0.2">
      <c r="A868" s="7">
        <f t="shared" si="159"/>
        <v>24</v>
      </c>
      <c r="B868" s="3"/>
      <c r="C868" s="4"/>
      <c r="D868" s="8"/>
      <c r="E868" s="4"/>
      <c r="F868" s="4"/>
      <c r="G868" s="4"/>
      <c r="H868" s="4"/>
      <c r="I868" s="85"/>
      <c r="J868" s="4"/>
      <c r="K868" s="4"/>
      <c r="L868" s="4"/>
      <c r="M868" s="4"/>
      <c r="N868" s="4"/>
      <c r="O868" s="4"/>
      <c r="P868" s="4"/>
    </row>
    <row r="869" spans="1:16" ht="18.600000000000001" customHeight="1" x14ac:dyDescent="0.2">
      <c r="A869" s="35">
        <f t="shared" si="159"/>
        <v>25</v>
      </c>
      <c r="B869" s="11"/>
      <c r="C869" s="12"/>
      <c r="D869" s="9"/>
      <c r="E869" s="12"/>
      <c r="F869" s="12"/>
      <c r="G869" s="12"/>
      <c r="H869" s="12"/>
      <c r="I869" s="86"/>
      <c r="J869" s="12"/>
      <c r="K869" s="12"/>
      <c r="L869" s="12"/>
      <c r="M869" s="12"/>
      <c r="N869" s="12"/>
      <c r="O869" s="12"/>
      <c r="P869" s="12"/>
    </row>
    <row r="870" spans="1:16" ht="18.600000000000001" customHeight="1" x14ac:dyDescent="0.3">
      <c r="A870" s="147"/>
      <c r="B870" s="148"/>
      <c r="C870" s="147"/>
      <c r="D870" s="149"/>
      <c r="E870" s="150">
        <f>SUBTOTAL(9,E845:E869)</f>
        <v>0</v>
      </c>
      <c r="F870" s="152"/>
      <c r="G870" s="150">
        <f t="shared" ref="G870" si="160">SUBTOTAL(9,G845:G869)</f>
        <v>0</v>
      </c>
      <c r="H870" s="152"/>
      <c r="I870" s="150">
        <f t="shared" ref="I870" si="161">SUBTOTAL(9,I845:I869)</f>
        <v>0</v>
      </c>
      <c r="J870" s="152"/>
      <c r="K870" s="152"/>
      <c r="L870" s="152"/>
      <c r="M870" s="150">
        <f t="shared" ref="M870" si="162">SUBTOTAL(9,M845:M869)</f>
        <v>0</v>
      </c>
      <c r="N870" s="152"/>
      <c r="O870" s="150">
        <f t="shared" ref="O870" si="163">SUBTOTAL(9,O845:O869)</f>
        <v>0</v>
      </c>
      <c r="P870" s="152"/>
    </row>
    <row r="871" spans="1:16" ht="18.600000000000001" customHeight="1" x14ac:dyDescent="0.2">
      <c r="A871" s="434" t="str">
        <f>A841</f>
        <v>DANH SÁCH LỚP KET</v>
      </c>
      <c r="B871" s="434"/>
      <c r="C871" s="434"/>
      <c r="D871" s="434"/>
      <c r="E871" s="434"/>
      <c r="F871" s="434"/>
      <c r="G871" s="434"/>
      <c r="H871" s="434"/>
      <c r="I871" s="92"/>
      <c r="J871" s="48"/>
      <c r="K871" s="48"/>
      <c r="L871" s="48"/>
      <c r="M871" s="41"/>
      <c r="N871" s="41"/>
      <c r="O871" s="41"/>
      <c r="P871" s="41"/>
    </row>
    <row r="872" spans="1:16" ht="18.600000000000001" customHeight="1" x14ac:dyDescent="0.2">
      <c r="A872" s="28"/>
      <c r="B872" s="29"/>
      <c r="C872" s="30"/>
      <c r="D872" s="36"/>
      <c r="E872" s="28"/>
      <c r="F872" s="28"/>
      <c r="G872" s="28"/>
      <c r="H872" s="28"/>
      <c r="I872" s="79"/>
      <c r="J872" s="28"/>
      <c r="K872" s="28"/>
      <c r="L872" s="28"/>
      <c r="M872" s="28"/>
      <c r="N872" s="28"/>
      <c r="O872" s="28"/>
      <c r="P872" s="28"/>
    </row>
    <row r="873" spans="1:16" ht="18.600000000000001" customHeight="1" x14ac:dyDescent="0.2">
      <c r="A873" s="435" t="s">
        <v>374</v>
      </c>
      <c r="B873" s="435" t="s">
        <v>380</v>
      </c>
      <c r="C873" s="435" t="s">
        <v>383</v>
      </c>
      <c r="D873" s="437" t="s">
        <v>384</v>
      </c>
      <c r="E873" s="438" t="s">
        <v>385</v>
      </c>
      <c r="F873" s="439"/>
      <c r="G873" s="432" t="str">
        <f>$R$1</f>
        <v>Hè 1</v>
      </c>
      <c r="H873" s="433"/>
      <c r="I873" s="432" t="str">
        <f>$T$1</f>
        <v>Hè 2</v>
      </c>
      <c r="J873" s="433"/>
      <c r="K873" s="201"/>
      <c r="L873" s="201"/>
      <c r="M873" s="432" t="str">
        <f>$X$1</f>
        <v>.</v>
      </c>
      <c r="N873" s="433"/>
      <c r="O873" s="432" t="str">
        <f>$Z$1</f>
        <v>.</v>
      </c>
      <c r="P873" s="433"/>
    </row>
    <row r="874" spans="1:16" ht="18.600000000000001" customHeight="1" x14ac:dyDescent="0.2">
      <c r="A874" s="436"/>
      <c r="B874" s="436"/>
      <c r="C874" s="436"/>
      <c r="D874" s="436"/>
      <c r="E874" s="31" t="s">
        <v>381</v>
      </c>
      <c r="F874" s="31" t="s">
        <v>382</v>
      </c>
      <c r="G874" s="31" t="s">
        <v>381</v>
      </c>
      <c r="H874" s="31" t="s">
        <v>382</v>
      </c>
      <c r="I874" s="80" t="s">
        <v>381</v>
      </c>
      <c r="J874" s="31" t="s">
        <v>382</v>
      </c>
      <c r="K874" s="31"/>
      <c r="L874" s="31"/>
      <c r="M874" s="31" t="s">
        <v>381</v>
      </c>
      <c r="N874" s="31" t="s">
        <v>382</v>
      </c>
      <c r="O874" s="31" t="s">
        <v>381</v>
      </c>
      <c r="P874" s="31" t="s">
        <v>382</v>
      </c>
    </row>
    <row r="875" spans="1:16" ht="18.600000000000001" customHeight="1" x14ac:dyDescent="0.2">
      <c r="A875" s="32">
        <v>1</v>
      </c>
      <c r="B875" s="26"/>
      <c r="C875" s="26"/>
      <c r="D875" s="22"/>
      <c r="E875" s="32"/>
      <c r="F875" s="34"/>
      <c r="G875" s="32"/>
      <c r="H875" s="93"/>
      <c r="I875" s="81"/>
      <c r="J875" s="34"/>
      <c r="K875" s="34"/>
      <c r="L875" s="34"/>
      <c r="M875" s="32"/>
      <c r="N875" s="34"/>
      <c r="O875" s="32"/>
      <c r="P875" s="34"/>
    </row>
    <row r="876" spans="1:16" ht="18.600000000000001" customHeight="1" x14ac:dyDescent="0.2">
      <c r="A876" s="7">
        <f t="shared" ref="A876:A899" si="164">A875+1</f>
        <v>2</v>
      </c>
      <c r="B876" s="26"/>
      <c r="C876" s="26"/>
      <c r="D876" s="22"/>
      <c r="E876" s="7"/>
      <c r="F876" s="7"/>
      <c r="G876" s="7"/>
      <c r="H876" s="7"/>
      <c r="I876" s="82"/>
      <c r="J876" s="7"/>
      <c r="K876" s="7"/>
      <c r="L876" s="7"/>
      <c r="M876" s="7"/>
      <c r="N876" s="7"/>
      <c r="O876" s="7"/>
      <c r="P876" s="7"/>
    </row>
    <row r="877" spans="1:16" ht="18.600000000000001" customHeight="1" x14ac:dyDescent="0.2">
      <c r="A877" s="7">
        <f t="shared" si="164"/>
        <v>3</v>
      </c>
      <c r="B877" s="26"/>
      <c r="C877" s="26"/>
      <c r="D877" s="22"/>
      <c r="E877" s="7"/>
      <c r="F877" s="7"/>
      <c r="G877" s="7"/>
      <c r="H877" s="7"/>
      <c r="I877" s="82"/>
      <c r="J877" s="7"/>
      <c r="K877" s="7"/>
      <c r="L877" s="7"/>
      <c r="M877" s="7"/>
      <c r="N877" s="7"/>
      <c r="O877" s="7"/>
      <c r="P877" s="7"/>
    </row>
    <row r="878" spans="1:16" ht="18.600000000000001" customHeight="1" x14ac:dyDescent="0.2">
      <c r="A878" s="7">
        <f t="shared" si="164"/>
        <v>4</v>
      </c>
      <c r="B878" s="26"/>
      <c r="C878" s="26"/>
      <c r="D878" s="22"/>
      <c r="E878" s="7"/>
      <c r="F878" s="7"/>
      <c r="G878" s="7"/>
      <c r="H878" s="7"/>
      <c r="I878" s="82"/>
      <c r="J878" s="7"/>
      <c r="K878" s="7"/>
      <c r="L878" s="7"/>
      <c r="M878" s="7"/>
      <c r="N878" s="7"/>
      <c r="O878" s="7"/>
      <c r="P878" s="7"/>
    </row>
    <row r="879" spans="1:16" ht="18.600000000000001" customHeight="1" x14ac:dyDescent="0.2">
      <c r="A879" s="6">
        <f t="shared" si="164"/>
        <v>5</v>
      </c>
      <c r="B879" s="58"/>
      <c r="C879" s="58"/>
      <c r="D879" s="59"/>
      <c r="E879" s="16"/>
      <c r="F879" s="16"/>
      <c r="G879" s="16"/>
      <c r="H879" s="16"/>
      <c r="I879" s="83"/>
      <c r="J879" s="16"/>
      <c r="K879" s="16"/>
      <c r="L879" s="16"/>
      <c r="M879" s="16"/>
      <c r="N879" s="16"/>
      <c r="O879" s="16"/>
      <c r="P879" s="16"/>
    </row>
    <row r="880" spans="1:16" ht="18.600000000000001" customHeight="1" x14ac:dyDescent="0.2">
      <c r="A880" s="56">
        <f t="shared" si="164"/>
        <v>6</v>
      </c>
      <c r="B880" s="57"/>
      <c r="C880" s="57"/>
      <c r="D880" s="21"/>
      <c r="E880" s="2"/>
      <c r="F880" s="2"/>
      <c r="G880" s="2"/>
      <c r="H880" s="2"/>
      <c r="I880" s="84"/>
      <c r="J880" s="2"/>
      <c r="K880" s="2"/>
      <c r="L880" s="2"/>
      <c r="M880" s="2"/>
      <c r="N880" s="2"/>
      <c r="O880" s="2"/>
      <c r="P880" s="2"/>
    </row>
    <row r="881" spans="1:16" ht="18.600000000000001" customHeight="1" x14ac:dyDescent="0.2">
      <c r="A881" s="6">
        <f t="shared" si="164"/>
        <v>7</v>
      </c>
      <c r="B881" s="26"/>
      <c r="C881" s="26"/>
      <c r="D881" s="22"/>
      <c r="E881" s="4"/>
      <c r="F881" s="4"/>
      <c r="G881" s="4"/>
      <c r="H881" s="4"/>
      <c r="I881" s="85"/>
      <c r="J881" s="4"/>
      <c r="K881" s="4"/>
      <c r="L881" s="4"/>
      <c r="M881" s="4"/>
      <c r="N881" s="4"/>
      <c r="O881" s="4"/>
      <c r="P881" s="4"/>
    </row>
    <row r="882" spans="1:16" ht="18.600000000000001" customHeight="1" x14ac:dyDescent="0.2">
      <c r="A882" s="6">
        <f t="shared" si="164"/>
        <v>8</v>
      </c>
      <c r="B882" s="26"/>
      <c r="C882" s="26"/>
      <c r="D882" s="22"/>
      <c r="E882" s="4"/>
      <c r="F882" s="4"/>
      <c r="G882" s="4"/>
      <c r="H882" s="4"/>
      <c r="I882" s="85"/>
      <c r="J882" s="4"/>
      <c r="K882" s="4"/>
      <c r="L882" s="4"/>
      <c r="M882" s="4"/>
      <c r="N882" s="4"/>
      <c r="O882" s="4"/>
      <c r="P882" s="4"/>
    </row>
    <row r="883" spans="1:16" ht="18.600000000000001" customHeight="1" x14ac:dyDescent="0.2">
      <c r="A883" s="6">
        <f t="shared" si="164"/>
        <v>9</v>
      </c>
      <c r="B883" s="26"/>
      <c r="C883" s="26"/>
      <c r="D883" s="22"/>
      <c r="E883" s="4"/>
      <c r="F883" s="4"/>
      <c r="G883" s="4"/>
      <c r="H883" s="4"/>
      <c r="I883" s="85"/>
      <c r="J883" s="4"/>
      <c r="K883" s="4"/>
      <c r="L883" s="4"/>
      <c r="M883" s="4"/>
      <c r="N883" s="4"/>
      <c r="O883" s="4"/>
      <c r="P883" s="4"/>
    </row>
    <row r="884" spans="1:16" ht="18.600000000000001" customHeight="1" x14ac:dyDescent="0.2">
      <c r="A884" s="10">
        <f t="shared" si="164"/>
        <v>10</v>
      </c>
      <c r="B884" s="62"/>
      <c r="C884" s="62"/>
      <c r="D884" s="23"/>
      <c r="E884" s="12"/>
      <c r="F884" s="12"/>
      <c r="G884" s="12"/>
      <c r="H884" s="12"/>
      <c r="I884" s="86"/>
      <c r="J884" s="12"/>
      <c r="K884" s="12"/>
      <c r="L884" s="12"/>
      <c r="M884" s="12"/>
      <c r="N884" s="12"/>
      <c r="O884" s="12"/>
      <c r="P884" s="12"/>
    </row>
    <row r="885" spans="1:16" ht="18.600000000000001" customHeight="1" x14ac:dyDescent="0.2">
      <c r="A885" s="35">
        <f t="shared" si="164"/>
        <v>11</v>
      </c>
      <c r="B885" s="60"/>
      <c r="C885" s="60"/>
      <c r="D885" s="61"/>
      <c r="E885" s="14"/>
      <c r="F885" s="14"/>
      <c r="G885" s="14"/>
      <c r="H885" s="14"/>
      <c r="I885" s="87"/>
      <c r="J885" s="14"/>
      <c r="K885" s="14"/>
      <c r="L885" s="14"/>
      <c r="M885" s="14"/>
      <c r="N885" s="14"/>
      <c r="O885" s="14"/>
      <c r="P885" s="14"/>
    </row>
    <row r="886" spans="1:16" ht="18.600000000000001" customHeight="1" x14ac:dyDescent="0.2">
      <c r="A886" s="7">
        <f t="shared" si="164"/>
        <v>12</v>
      </c>
      <c r="B886" s="26"/>
      <c r="C886" s="26"/>
      <c r="D886" s="22"/>
      <c r="E886" s="4"/>
      <c r="F886" s="4"/>
      <c r="G886" s="4"/>
      <c r="H886" s="4"/>
      <c r="I886" s="85"/>
      <c r="J886" s="4"/>
      <c r="K886" s="4"/>
      <c r="L886" s="4"/>
      <c r="M886" s="4"/>
      <c r="N886" s="4"/>
      <c r="O886" s="4"/>
      <c r="P886" s="4"/>
    </row>
    <row r="887" spans="1:16" ht="18.600000000000001" customHeight="1" x14ac:dyDescent="0.2">
      <c r="A887" s="7">
        <f t="shared" si="164"/>
        <v>13</v>
      </c>
      <c r="B887" s="26"/>
      <c r="C887" s="26"/>
      <c r="D887" s="22"/>
      <c r="E887" s="4"/>
      <c r="F887" s="4"/>
      <c r="G887" s="4"/>
      <c r="H887" s="4"/>
      <c r="I887" s="85"/>
      <c r="J887" s="4"/>
      <c r="K887" s="4"/>
      <c r="L887" s="4"/>
      <c r="M887" s="4"/>
      <c r="N887" s="4"/>
      <c r="O887" s="4"/>
      <c r="P887" s="4"/>
    </row>
    <row r="888" spans="1:16" ht="18.600000000000001" customHeight="1" x14ac:dyDescent="0.2">
      <c r="A888" s="7">
        <f t="shared" si="164"/>
        <v>14</v>
      </c>
      <c r="B888" s="3"/>
      <c r="C888" s="4"/>
      <c r="D888" s="8"/>
      <c r="E888" s="4"/>
      <c r="F888" s="4"/>
      <c r="G888" s="4"/>
      <c r="H888" s="4"/>
      <c r="I888" s="85"/>
      <c r="J888" s="4"/>
      <c r="K888" s="4"/>
      <c r="L888" s="4"/>
      <c r="M888" s="4"/>
      <c r="N888" s="4"/>
      <c r="O888" s="4"/>
      <c r="P888" s="4"/>
    </row>
    <row r="889" spans="1:16" ht="18.600000000000001" customHeight="1" x14ac:dyDescent="0.2">
      <c r="A889" s="6">
        <f t="shared" si="164"/>
        <v>15</v>
      </c>
      <c r="B889" s="15"/>
      <c r="C889" s="16"/>
      <c r="D889" s="5"/>
      <c r="E889" s="16"/>
      <c r="F889" s="16"/>
      <c r="G889" s="16"/>
      <c r="H889" s="16"/>
      <c r="I889" s="83"/>
      <c r="J889" s="16"/>
      <c r="K889" s="16"/>
      <c r="L889" s="16"/>
      <c r="M889" s="16"/>
      <c r="N889" s="16"/>
      <c r="O889" s="16"/>
      <c r="P889" s="16"/>
    </row>
    <row r="890" spans="1:16" ht="18.600000000000001" customHeight="1" x14ac:dyDescent="0.2">
      <c r="A890" s="32">
        <f t="shared" si="164"/>
        <v>16</v>
      </c>
      <c r="B890" s="1"/>
      <c r="C890" s="2"/>
      <c r="D890" s="33"/>
      <c r="E890" s="2"/>
      <c r="F890" s="2"/>
      <c r="G890" s="2"/>
      <c r="H890" s="2"/>
      <c r="I890" s="84"/>
      <c r="J890" s="2"/>
      <c r="K890" s="2"/>
      <c r="L890" s="2"/>
      <c r="M890" s="2"/>
      <c r="N890" s="2"/>
      <c r="O890" s="2"/>
      <c r="P890" s="2"/>
    </row>
    <row r="891" spans="1:16" ht="18.600000000000001" customHeight="1" x14ac:dyDescent="0.2">
      <c r="A891" s="7">
        <f t="shared" si="164"/>
        <v>17</v>
      </c>
      <c r="B891" s="3"/>
      <c r="C891" s="4"/>
      <c r="D891" s="8"/>
      <c r="E891" s="4"/>
      <c r="F891" s="4"/>
      <c r="G891" s="4"/>
      <c r="H891" s="4"/>
      <c r="I891" s="85"/>
      <c r="J891" s="4"/>
      <c r="K891" s="4"/>
      <c r="L891" s="4"/>
      <c r="M891" s="4"/>
      <c r="N891" s="4"/>
      <c r="O891" s="4"/>
      <c r="P891" s="4"/>
    </row>
    <row r="892" spans="1:16" ht="18.600000000000001" customHeight="1" x14ac:dyDescent="0.2">
      <c r="A892" s="7">
        <f t="shared" si="164"/>
        <v>18</v>
      </c>
      <c r="B892" s="3"/>
      <c r="C892" s="4"/>
      <c r="D892" s="8"/>
      <c r="E892" s="4"/>
      <c r="F892" s="4"/>
      <c r="G892" s="4"/>
      <c r="H892" s="4"/>
      <c r="I892" s="85"/>
      <c r="J892" s="4"/>
      <c r="K892" s="4"/>
      <c r="L892" s="4"/>
      <c r="M892" s="4"/>
      <c r="N892" s="4"/>
      <c r="O892" s="4"/>
      <c r="P892" s="4"/>
    </row>
    <row r="893" spans="1:16" ht="18.600000000000001" customHeight="1" x14ac:dyDescent="0.2">
      <c r="A893" s="7">
        <f t="shared" si="164"/>
        <v>19</v>
      </c>
      <c r="B893" s="3"/>
      <c r="C893" s="4"/>
      <c r="D893" s="8"/>
      <c r="E893" s="4"/>
      <c r="F893" s="4"/>
      <c r="G893" s="4"/>
      <c r="H893" s="4"/>
      <c r="I893" s="85"/>
      <c r="J893" s="4"/>
      <c r="K893" s="4"/>
      <c r="L893" s="4"/>
      <c r="M893" s="4"/>
      <c r="N893" s="4"/>
      <c r="O893" s="4"/>
      <c r="P893" s="4"/>
    </row>
    <row r="894" spans="1:16" ht="18.600000000000001" customHeight="1" x14ac:dyDescent="0.2">
      <c r="A894" s="10">
        <f t="shared" si="164"/>
        <v>20</v>
      </c>
      <c r="B894" s="11"/>
      <c r="C894" s="12"/>
      <c r="D894" s="9"/>
      <c r="E894" s="12"/>
      <c r="F894" s="12"/>
      <c r="G894" s="12"/>
      <c r="H894" s="12"/>
      <c r="I894" s="86"/>
      <c r="J894" s="12"/>
      <c r="K894" s="12"/>
      <c r="L894" s="12"/>
      <c r="M894" s="12"/>
      <c r="N894" s="12"/>
      <c r="O894" s="12"/>
      <c r="P894" s="12"/>
    </row>
    <row r="895" spans="1:16" ht="18.600000000000001" customHeight="1" x14ac:dyDescent="0.2">
      <c r="A895" s="35">
        <f t="shared" si="164"/>
        <v>21</v>
      </c>
      <c r="B895" s="13"/>
      <c r="C895" s="14"/>
      <c r="D895" s="37"/>
      <c r="E895" s="14"/>
      <c r="F895" s="14"/>
      <c r="G895" s="14"/>
      <c r="H895" s="14"/>
      <c r="I895" s="87"/>
      <c r="J895" s="14"/>
      <c r="K895" s="14"/>
      <c r="L895" s="14"/>
      <c r="M895" s="14"/>
      <c r="N895" s="14"/>
      <c r="O895" s="14"/>
      <c r="P895" s="14"/>
    </row>
    <row r="896" spans="1:16" ht="18.600000000000001" customHeight="1" x14ac:dyDescent="0.2">
      <c r="A896" s="7">
        <f t="shared" si="164"/>
        <v>22</v>
      </c>
      <c r="B896" s="3"/>
      <c r="C896" s="4"/>
      <c r="D896" s="8"/>
      <c r="E896" s="4"/>
      <c r="F896" s="4"/>
      <c r="G896" s="4"/>
      <c r="H896" s="4"/>
      <c r="I896" s="85"/>
      <c r="J896" s="4"/>
      <c r="K896" s="4"/>
      <c r="L896" s="4"/>
      <c r="M896" s="4"/>
      <c r="N896" s="4"/>
      <c r="O896" s="4"/>
      <c r="P896" s="4"/>
    </row>
    <row r="897" spans="1:16" ht="18.600000000000001" customHeight="1" x14ac:dyDescent="0.2">
      <c r="A897" s="35">
        <f t="shared" si="164"/>
        <v>23</v>
      </c>
      <c r="B897" s="3"/>
      <c r="C897" s="4"/>
      <c r="D897" s="8"/>
      <c r="E897" s="4"/>
      <c r="F897" s="4"/>
      <c r="G897" s="4"/>
      <c r="H897" s="4"/>
      <c r="I897" s="85"/>
      <c r="J897" s="4"/>
      <c r="K897" s="4"/>
      <c r="L897" s="4"/>
      <c r="M897" s="4"/>
      <c r="N897" s="4"/>
      <c r="O897" s="4"/>
      <c r="P897" s="4"/>
    </row>
    <row r="898" spans="1:16" ht="18.600000000000001" customHeight="1" x14ac:dyDescent="0.2">
      <c r="A898" s="7">
        <f t="shared" si="164"/>
        <v>24</v>
      </c>
      <c r="B898" s="3"/>
      <c r="C898" s="4"/>
      <c r="D898" s="8"/>
      <c r="E898" s="4"/>
      <c r="F898" s="4"/>
      <c r="G898" s="4"/>
      <c r="H898" s="4"/>
      <c r="I898" s="85"/>
      <c r="J898" s="4"/>
      <c r="K898" s="4"/>
      <c r="L898" s="4"/>
      <c r="M898" s="4"/>
      <c r="N898" s="4"/>
      <c r="O898" s="4"/>
      <c r="P898" s="4"/>
    </row>
    <row r="899" spans="1:16" ht="18.600000000000001" customHeight="1" x14ac:dyDescent="0.2">
      <c r="A899" s="35">
        <f t="shared" si="164"/>
        <v>25</v>
      </c>
      <c r="B899" s="11"/>
      <c r="C899" s="12"/>
      <c r="D899" s="9"/>
      <c r="E899" s="12"/>
      <c r="F899" s="12"/>
      <c r="G899" s="12"/>
      <c r="H899" s="12"/>
      <c r="I899" s="86"/>
      <c r="J899" s="12"/>
      <c r="K899" s="12"/>
      <c r="L899" s="12"/>
      <c r="M899" s="12"/>
      <c r="N899" s="12"/>
      <c r="O899" s="12"/>
      <c r="P899" s="12"/>
    </row>
    <row r="900" spans="1:16" ht="18.600000000000001" customHeight="1" x14ac:dyDescent="0.3">
      <c r="A900" s="147"/>
      <c r="B900" s="148"/>
      <c r="C900" s="147"/>
      <c r="D900" s="149"/>
      <c r="E900" s="150">
        <f>SUBTOTAL(9,E875:E899)</f>
        <v>0</v>
      </c>
      <c r="F900" s="152"/>
      <c r="G900" s="150">
        <f t="shared" ref="G900" si="165">SUBTOTAL(9,G875:G899)</f>
        <v>0</v>
      </c>
      <c r="H900" s="152"/>
      <c r="I900" s="150">
        <f t="shared" ref="I900" si="166">SUBTOTAL(9,I875:I899)</f>
        <v>0</v>
      </c>
      <c r="J900" s="152"/>
      <c r="K900" s="152"/>
      <c r="L900" s="152"/>
      <c r="M900" s="150">
        <f t="shared" ref="M900" si="167">SUBTOTAL(9,M875:M899)</f>
        <v>0</v>
      </c>
      <c r="N900" s="152"/>
      <c r="O900" s="150">
        <f t="shared" ref="O900" si="168">SUBTOTAL(9,O875:O899)</f>
        <v>0</v>
      </c>
      <c r="P900" s="152"/>
    </row>
    <row r="901" spans="1:16" ht="18.600000000000001" customHeight="1" x14ac:dyDescent="0.2">
      <c r="A901" s="434" t="str">
        <f>A871</f>
        <v>DANH SÁCH LỚP KET</v>
      </c>
      <c r="B901" s="434"/>
      <c r="C901" s="434"/>
      <c r="D901" s="434"/>
      <c r="E901" s="434"/>
      <c r="F901" s="434"/>
      <c r="G901" s="434"/>
      <c r="H901" s="434"/>
      <c r="I901" s="92"/>
      <c r="J901" s="48"/>
      <c r="K901" s="48"/>
      <c r="L901" s="48"/>
      <c r="M901" s="41"/>
      <c r="N901" s="41"/>
      <c r="O901" s="41"/>
      <c r="P901" s="41"/>
    </row>
    <row r="902" spans="1:16" ht="18.600000000000001" customHeight="1" x14ac:dyDescent="0.2">
      <c r="A902" s="28"/>
      <c r="B902" s="29"/>
      <c r="C902" s="30"/>
      <c r="D902" s="36"/>
      <c r="E902" s="28"/>
      <c r="F902" s="28"/>
      <c r="G902" s="28"/>
      <c r="H902" s="28"/>
      <c r="I902" s="79"/>
      <c r="J902" s="28"/>
      <c r="K902" s="28"/>
      <c r="L902" s="28"/>
      <c r="M902" s="28"/>
      <c r="N902" s="28"/>
      <c r="O902" s="28"/>
      <c r="P902" s="28"/>
    </row>
    <row r="903" spans="1:16" ht="18.600000000000001" customHeight="1" x14ac:dyDescent="0.2">
      <c r="A903" s="435" t="s">
        <v>374</v>
      </c>
      <c r="B903" s="435" t="s">
        <v>380</v>
      </c>
      <c r="C903" s="435" t="s">
        <v>383</v>
      </c>
      <c r="D903" s="437" t="s">
        <v>384</v>
      </c>
      <c r="E903" s="438" t="s">
        <v>385</v>
      </c>
      <c r="F903" s="439"/>
      <c r="G903" s="432" t="str">
        <f>$R$1</f>
        <v>Hè 1</v>
      </c>
      <c r="H903" s="433"/>
      <c r="I903" s="432" t="str">
        <f>$T$1</f>
        <v>Hè 2</v>
      </c>
      <c r="J903" s="433"/>
      <c r="K903" s="201"/>
      <c r="L903" s="201"/>
      <c r="M903" s="432" t="str">
        <f>$X$1</f>
        <v>.</v>
      </c>
      <c r="N903" s="433"/>
      <c r="O903" s="432" t="str">
        <f>$Z$1</f>
        <v>.</v>
      </c>
      <c r="P903" s="433"/>
    </row>
    <row r="904" spans="1:16" ht="18.600000000000001" customHeight="1" x14ac:dyDescent="0.2">
      <c r="A904" s="436"/>
      <c r="B904" s="436"/>
      <c r="C904" s="436"/>
      <c r="D904" s="436"/>
      <c r="E904" s="31" t="s">
        <v>381</v>
      </c>
      <c r="F904" s="31" t="s">
        <v>382</v>
      </c>
      <c r="G904" s="31" t="s">
        <v>381</v>
      </c>
      <c r="H904" s="31" t="s">
        <v>382</v>
      </c>
      <c r="I904" s="80" t="s">
        <v>381</v>
      </c>
      <c r="J904" s="31" t="s">
        <v>382</v>
      </c>
      <c r="K904" s="31"/>
      <c r="L904" s="31"/>
      <c r="M904" s="31" t="s">
        <v>381</v>
      </c>
      <c r="N904" s="31" t="s">
        <v>382</v>
      </c>
      <c r="O904" s="31" t="s">
        <v>381</v>
      </c>
      <c r="P904" s="31" t="s">
        <v>382</v>
      </c>
    </row>
    <row r="905" spans="1:16" ht="18.600000000000001" customHeight="1" x14ac:dyDescent="0.2">
      <c r="A905" s="32">
        <v>1</v>
      </c>
      <c r="B905" s="26"/>
      <c r="C905" s="26"/>
      <c r="D905" s="22"/>
      <c r="E905" s="32"/>
      <c r="F905" s="34"/>
      <c r="G905" s="32"/>
      <c r="H905" s="93"/>
      <c r="I905" s="81"/>
      <c r="J905" s="34"/>
      <c r="K905" s="34"/>
      <c r="L905" s="34"/>
      <c r="M905" s="32"/>
      <c r="N905" s="34"/>
      <c r="O905" s="32"/>
      <c r="P905" s="34"/>
    </row>
    <row r="906" spans="1:16" ht="18.600000000000001" customHeight="1" x14ac:dyDescent="0.2">
      <c r="A906" s="7">
        <f t="shared" ref="A906:A929" si="169">A905+1</f>
        <v>2</v>
      </c>
      <c r="B906" s="26"/>
      <c r="C906" s="26"/>
      <c r="D906" s="22"/>
      <c r="E906" s="7"/>
      <c r="F906" s="7"/>
      <c r="G906" s="7"/>
      <c r="H906" s="7"/>
      <c r="I906" s="82"/>
      <c r="J906" s="7"/>
      <c r="K906" s="7"/>
      <c r="L906" s="7"/>
      <c r="M906" s="7"/>
      <c r="N906" s="7"/>
      <c r="O906" s="7"/>
      <c r="P906" s="7"/>
    </row>
    <row r="907" spans="1:16" ht="18.600000000000001" customHeight="1" x14ac:dyDescent="0.2">
      <c r="A907" s="7">
        <f t="shared" si="169"/>
        <v>3</v>
      </c>
      <c r="B907" s="26"/>
      <c r="C907" s="26"/>
      <c r="D907" s="22"/>
      <c r="E907" s="7"/>
      <c r="F907" s="7"/>
      <c r="G907" s="7"/>
      <c r="H907" s="7"/>
      <c r="I907" s="82"/>
      <c r="J907" s="7"/>
      <c r="K907" s="7"/>
      <c r="L907" s="7"/>
      <c r="M907" s="7"/>
      <c r="N907" s="7"/>
      <c r="O907" s="7"/>
      <c r="P907" s="7"/>
    </row>
    <row r="908" spans="1:16" ht="18.600000000000001" customHeight="1" x14ac:dyDescent="0.2">
      <c r="A908" s="7">
        <f t="shared" si="169"/>
        <v>4</v>
      </c>
      <c r="B908" s="26"/>
      <c r="C908" s="26"/>
      <c r="D908" s="22"/>
      <c r="E908" s="7"/>
      <c r="F908" s="7"/>
      <c r="G908" s="7"/>
      <c r="H908" s="7"/>
      <c r="I908" s="82"/>
      <c r="J908" s="7"/>
      <c r="K908" s="7"/>
      <c r="L908" s="7"/>
      <c r="M908" s="7"/>
      <c r="N908" s="7"/>
      <c r="O908" s="7"/>
      <c r="P908" s="7"/>
    </row>
    <row r="909" spans="1:16" ht="18.600000000000001" customHeight="1" x14ac:dyDescent="0.2">
      <c r="A909" s="6">
        <f t="shared" si="169"/>
        <v>5</v>
      </c>
      <c r="B909" s="58"/>
      <c r="C909" s="58"/>
      <c r="D909" s="59"/>
      <c r="E909" s="16"/>
      <c r="F909" s="16"/>
      <c r="G909" s="16"/>
      <c r="H909" s="16"/>
      <c r="I909" s="83"/>
      <c r="J909" s="16"/>
      <c r="K909" s="16"/>
      <c r="L909" s="16"/>
      <c r="M909" s="16"/>
      <c r="N909" s="16"/>
      <c r="O909" s="16"/>
      <c r="P909" s="16"/>
    </row>
    <row r="910" spans="1:16" ht="18.600000000000001" customHeight="1" x14ac:dyDescent="0.2">
      <c r="A910" s="56">
        <f t="shared" si="169"/>
        <v>6</v>
      </c>
      <c r="B910" s="57"/>
      <c r="C910" s="57"/>
      <c r="D910" s="21"/>
      <c r="E910" s="2"/>
      <c r="F910" s="2"/>
      <c r="G910" s="2"/>
      <c r="H910" s="2"/>
      <c r="I910" s="84"/>
      <c r="J910" s="2"/>
      <c r="K910" s="2"/>
      <c r="L910" s="2"/>
      <c r="M910" s="2"/>
      <c r="N910" s="2"/>
      <c r="O910" s="2"/>
      <c r="P910" s="2"/>
    </row>
    <row r="911" spans="1:16" ht="18.600000000000001" customHeight="1" x14ac:dyDescent="0.2">
      <c r="A911" s="6">
        <f t="shared" si="169"/>
        <v>7</v>
      </c>
      <c r="B911" s="26"/>
      <c r="C911" s="26"/>
      <c r="D911" s="22"/>
      <c r="E911" s="4"/>
      <c r="F911" s="4"/>
      <c r="G911" s="4"/>
      <c r="H911" s="4"/>
      <c r="I911" s="85"/>
      <c r="J911" s="4"/>
      <c r="K911" s="4"/>
      <c r="L911" s="4"/>
      <c r="M911" s="4"/>
      <c r="N911" s="4"/>
      <c r="O911" s="4"/>
      <c r="P911" s="4"/>
    </row>
    <row r="912" spans="1:16" ht="18.600000000000001" customHeight="1" x14ac:dyDescent="0.2">
      <c r="A912" s="6">
        <f t="shared" si="169"/>
        <v>8</v>
      </c>
      <c r="B912" s="26"/>
      <c r="C912" s="26"/>
      <c r="D912" s="22"/>
      <c r="E912" s="4"/>
      <c r="F912" s="4"/>
      <c r="G912" s="4"/>
      <c r="H912" s="4"/>
      <c r="I912" s="85"/>
      <c r="J912" s="4"/>
      <c r="K912" s="4"/>
      <c r="L912" s="4"/>
      <c r="M912" s="4"/>
      <c r="N912" s="4"/>
      <c r="O912" s="4"/>
      <c r="P912" s="4"/>
    </row>
    <row r="913" spans="1:16" ht="18.600000000000001" customHeight="1" x14ac:dyDescent="0.2">
      <c r="A913" s="6">
        <f t="shared" si="169"/>
        <v>9</v>
      </c>
      <c r="B913" s="26"/>
      <c r="C913" s="26"/>
      <c r="D913" s="22"/>
      <c r="E913" s="4"/>
      <c r="F913" s="4"/>
      <c r="G913" s="4"/>
      <c r="H913" s="4"/>
      <c r="I913" s="85"/>
      <c r="J913" s="4"/>
      <c r="K913" s="4"/>
      <c r="L913" s="4"/>
      <c r="M913" s="4"/>
      <c r="N913" s="4"/>
      <c r="O913" s="4"/>
      <c r="P913" s="4"/>
    </row>
    <row r="914" spans="1:16" ht="18.600000000000001" customHeight="1" x14ac:dyDescent="0.2">
      <c r="A914" s="10">
        <f t="shared" si="169"/>
        <v>10</v>
      </c>
      <c r="B914" s="62"/>
      <c r="C914" s="62"/>
      <c r="D914" s="23"/>
      <c r="E914" s="12"/>
      <c r="F914" s="12"/>
      <c r="G914" s="12"/>
      <c r="H914" s="12"/>
      <c r="I914" s="86"/>
      <c r="J914" s="12"/>
      <c r="K914" s="12"/>
      <c r="L914" s="12"/>
      <c r="M914" s="12"/>
      <c r="N914" s="12"/>
      <c r="O914" s="12"/>
      <c r="P914" s="12"/>
    </row>
    <row r="915" spans="1:16" ht="18.600000000000001" customHeight="1" x14ac:dyDescent="0.2">
      <c r="A915" s="35">
        <f t="shared" si="169"/>
        <v>11</v>
      </c>
      <c r="B915" s="60"/>
      <c r="C915" s="60"/>
      <c r="D915" s="61"/>
      <c r="E915" s="14"/>
      <c r="F915" s="14"/>
      <c r="G915" s="14"/>
      <c r="H915" s="14"/>
      <c r="I915" s="87"/>
      <c r="J915" s="14"/>
      <c r="K915" s="14"/>
      <c r="L915" s="14"/>
      <c r="M915" s="14"/>
      <c r="N915" s="14"/>
      <c r="O915" s="14"/>
      <c r="P915" s="14"/>
    </row>
    <row r="916" spans="1:16" ht="18.600000000000001" customHeight="1" x14ac:dyDescent="0.2">
      <c r="A916" s="7">
        <f t="shared" si="169"/>
        <v>12</v>
      </c>
      <c r="B916" s="26"/>
      <c r="C916" s="26"/>
      <c r="D916" s="22"/>
      <c r="E916" s="4"/>
      <c r="F916" s="4"/>
      <c r="G916" s="4"/>
      <c r="H916" s="4"/>
      <c r="I916" s="85"/>
      <c r="J916" s="4"/>
      <c r="K916" s="4"/>
      <c r="L916" s="4"/>
      <c r="M916" s="4"/>
      <c r="N916" s="4"/>
      <c r="O916" s="4"/>
      <c r="P916" s="4"/>
    </row>
    <row r="917" spans="1:16" ht="18.600000000000001" customHeight="1" x14ac:dyDescent="0.2">
      <c r="A917" s="7">
        <f t="shared" si="169"/>
        <v>13</v>
      </c>
      <c r="B917" s="26"/>
      <c r="C917" s="26"/>
      <c r="D917" s="22"/>
      <c r="E917" s="4"/>
      <c r="F917" s="4"/>
      <c r="G917" s="4"/>
      <c r="H917" s="4"/>
      <c r="I917" s="85"/>
      <c r="J917" s="4"/>
      <c r="K917" s="4"/>
      <c r="L917" s="4"/>
      <c r="M917" s="4"/>
      <c r="N917" s="4"/>
      <c r="O917" s="4"/>
      <c r="P917" s="4"/>
    </row>
    <row r="918" spans="1:16" ht="18.600000000000001" customHeight="1" x14ac:dyDescent="0.2">
      <c r="A918" s="7">
        <f t="shared" si="169"/>
        <v>14</v>
      </c>
      <c r="B918" s="3"/>
      <c r="C918" s="4"/>
      <c r="D918" s="8"/>
      <c r="E918" s="4"/>
      <c r="F918" s="4"/>
      <c r="G918" s="4"/>
      <c r="H918" s="4"/>
      <c r="I918" s="85"/>
      <c r="J918" s="4"/>
      <c r="K918" s="4"/>
      <c r="L918" s="4"/>
      <c r="M918" s="4"/>
      <c r="N918" s="4"/>
      <c r="O918" s="4"/>
      <c r="P918" s="4"/>
    </row>
    <row r="919" spans="1:16" ht="18.600000000000001" customHeight="1" x14ac:dyDescent="0.2">
      <c r="A919" s="6">
        <f t="shared" si="169"/>
        <v>15</v>
      </c>
      <c r="B919" s="15"/>
      <c r="C919" s="16"/>
      <c r="D919" s="5"/>
      <c r="E919" s="16"/>
      <c r="F919" s="16"/>
      <c r="G919" s="16"/>
      <c r="H919" s="16"/>
      <c r="I919" s="83"/>
      <c r="J919" s="16"/>
      <c r="K919" s="16"/>
      <c r="L919" s="16"/>
      <c r="M919" s="16"/>
      <c r="N919" s="16"/>
      <c r="O919" s="16"/>
      <c r="P919" s="16"/>
    </row>
    <row r="920" spans="1:16" ht="18.600000000000001" customHeight="1" x14ac:dyDescent="0.2">
      <c r="A920" s="32">
        <f t="shared" si="169"/>
        <v>16</v>
      </c>
      <c r="B920" s="1"/>
      <c r="C920" s="2"/>
      <c r="D920" s="33"/>
      <c r="E920" s="2"/>
      <c r="F920" s="2"/>
      <c r="G920" s="2"/>
      <c r="H920" s="2"/>
      <c r="I920" s="84"/>
      <c r="J920" s="2"/>
      <c r="K920" s="2"/>
      <c r="L920" s="2"/>
      <c r="M920" s="2"/>
      <c r="N920" s="2"/>
      <c r="O920" s="2"/>
      <c r="P920" s="2"/>
    </row>
    <row r="921" spans="1:16" ht="18.600000000000001" customHeight="1" x14ac:dyDescent="0.2">
      <c r="A921" s="7">
        <f t="shared" si="169"/>
        <v>17</v>
      </c>
      <c r="B921" s="3"/>
      <c r="C921" s="4"/>
      <c r="D921" s="8"/>
      <c r="E921" s="4"/>
      <c r="F921" s="4"/>
      <c r="G921" s="4"/>
      <c r="H921" s="4"/>
      <c r="I921" s="85"/>
      <c r="J921" s="4"/>
      <c r="K921" s="4"/>
      <c r="L921" s="4"/>
      <c r="M921" s="4"/>
      <c r="N921" s="4"/>
      <c r="O921" s="4"/>
      <c r="P921" s="4"/>
    </row>
    <row r="922" spans="1:16" ht="18.600000000000001" customHeight="1" x14ac:dyDescent="0.2">
      <c r="A922" s="7">
        <f t="shared" si="169"/>
        <v>18</v>
      </c>
      <c r="B922" s="3"/>
      <c r="C922" s="4"/>
      <c r="D922" s="8"/>
      <c r="E922" s="4"/>
      <c r="F922" s="4"/>
      <c r="G922" s="4"/>
      <c r="H922" s="4"/>
      <c r="I922" s="85"/>
      <c r="J922" s="4"/>
      <c r="K922" s="4"/>
      <c r="L922" s="4"/>
      <c r="M922" s="4"/>
      <c r="N922" s="4"/>
      <c r="O922" s="4"/>
      <c r="P922" s="4"/>
    </row>
    <row r="923" spans="1:16" ht="18.600000000000001" customHeight="1" x14ac:dyDescent="0.2">
      <c r="A923" s="7">
        <f t="shared" si="169"/>
        <v>19</v>
      </c>
      <c r="B923" s="3"/>
      <c r="C923" s="4"/>
      <c r="D923" s="8"/>
      <c r="E923" s="4"/>
      <c r="F923" s="4"/>
      <c r="G923" s="4"/>
      <c r="H923" s="4"/>
      <c r="I923" s="85"/>
      <c r="J923" s="4"/>
      <c r="K923" s="4"/>
      <c r="L923" s="4"/>
      <c r="M923" s="4"/>
      <c r="N923" s="4"/>
      <c r="O923" s="4"/>
      <c r="P923" s="4"/>
    </row>
    <row r="924" spans="1:16" ht="18.600000000000001" customHeight="1" x14ac:dyDescent="0.2">
      <c r="A924" s="10">
        <f t="shared" si="169"/>
        <v>20</v>
      </c>
      <c r="B924" s="11"/>
      <c r="C924" s="12"/>
      <c r="D924" s="9"/>
      <c r="E924" s="12"/>
      <c r="F924" s="12"/>
      <c r="G924" s="12"/>
      <c r="H924" s="12"/>
      <c r="I924" s="86"/>
      <c r="J924" s="12"/>
      <c r="K924" s="12"/>
      <c r="L924" s="12"/>
      <c r="M924" s="12"/>
      <c r="N924" s="12"/>
      <c r="O924" s="12"/>
      <c r="P924" s="12"/>
    </row>
    <row r="925" spans="1:16" ht="18.600000000000001" customHeight="1" x14ac:dyDescent="0.2">
      <c r="A925" s="35">
        <f t="shared" si="169"/>
        <v>21</v>
      </c>
      <c r="B925" s="13"/>
      <c r="C925" s="14"/>
      <c r="D925" s="37"/>
      <c r="E925" s="14"/>
      <c r="F925" s="14"/>
      <c r="G925" s="14"/>
      <c r="H925" s="14"/>
      <c r="I925" s="87"/>
      <c r="J925" s="14"/>
      <c r="K925" s="14"/>
      <c r="L925" s="14"/>
      <c r="M925" s="14"/>
      <c r="N925" s="14"/>
      <c r="O925" s="14"/>
      <c r="P925" s="14"/>
    </row>
    <row r="926" spans="1:16" ht="18.600000000000001" customHeight="1" x14ac:dyDescent="0.2">
      <c r="A926" s="7">
        <f t="shared" si="169"/>
        <v>22</v>
      </c>
      <c r="B926" s="3"/>
      <c r="C926" s="4"/>
      <c r="D926" s="8"/>
      <c r="E926" s="4"/>
      <c r="F926" s="4"/>
      <c r="G926" s="4"/>
      <c r="H926" s="4"/>
      <c r="I926" s="85"/>
      <c r="J926" s="4"/>
      <c r="K926" s="4"/>
      <c r="L926" s="4"/>
      <c r="M926" s="4"/>
      <c r="N926" s="4"/>
      <c r="O926" s="4"/>
      <c r="P926" s="4"/>
    </row>
    <row r="927" spans="1:16" ht="18.600000000000001" customHeight="1" x14ac:dyDescent="0.2">
      <c r="A927" s="35">
        <f t="shared" si="169"/>
        <v>23</v>
      </c>
      <c r="B927" s="3"/>
      <c r="C927" s="4"/>
      <c r="D927" s="8"/>
      <c r="E927" s="4"/>
      <c r="F927" s="4"/>
      <c r="G927" s="4"/>
      <c r="H927" s="4"/>
      <c r="I927" s="85"/>
      <c r="J927" s="4"/>
      <c r="K927" s="4"/>
      <c r="L927" s="4"/>
      <c r="M927" s="4"/>
      <c r="N927" s="4"/>
      <c r="O927" s="4"/>
      <c r="P927" s="4"/>
    </row>
    <row r="928" spans="1:16" ht="18.600000000000001" customHeight="1" x14ac:dyDescent="0.2">
      <c r="A928" s="7">
        <f t="shared" si="169"/>
        <v>24</v>
      </c>
      <c r="B928" s="3"/>
      <c r="C928" s="4"/>
      <c r="D928" s="8"/>
      <c r="E928" s="4"/>
      <c r="F928" s="4"/>
      <c r="G928" s="4"/>
      <c r="H928" s="4"/>
      <c r="I928" s="85"/>
      <c r="J928" s="4"/>
      <c r="K928" s="4"/>
      <c r="L928" s="4"/>
      <c r="M928" s="4"/>
      <c r="N928" s="4"/>
      <c r="O928" s="4"/>
      <c r="P928" s="4"/>
    </row>
    <row r="929" spans="1:16" ht="18.600000000000001" customHeight="1" x14ac:dyDescent="0.2">
      <c r="A929" s="35">
        <f t="shared" si="169"/>
        <v>25</v>
      </c>
      <c r="B929" s="11"/>
      <c r="C929" s="12"/>
      <c r="D929" s="9"/>
      <c r="E929" s="12"/>
      <c r="F929" s="12"/>
      <c r="G929" s="12"/>
      <c r="H929" s="12"/>
      <c r="I929" s="86"/>
      <c r="J929" s="12"/>
      <c r="K929" s="12"/>
      <c r="L929" s="12"/>
      <c r="M929" s="12"/>
      <c r="N929" s="12"/>
      <c r="O929" s="12"/>
      <c r="P929" s="12"/>
    </row>
    <row r="930" spans="1:16" ht="18.600000000000001" customHeight="1" x14ac:dyDescent="0.3">
      <c r="A930" s="147"/>
      <c r="B930" s="148"/>
      <c r="C930" s="147"/>
      <c r="D930" s="149"/>
      <c r="E930" s="150">
        <f>SUBTOTAL(9,E905:E929)</f>
        <v>0</v>
      </c>
      <c r="F930" s="152"/>
      <c r="G930" s="150">
        <f t="shared" ref="G930" si="170">SUBTOTAL(9,G905:G929)</f>
        <v>0</v>
      </c>
      <c r="H930" s="152"/>
      <c r="I930" s="150">
        <f t="shared" ref="I930" si="171">SUBTOTAL(9,I905:I929)</f>
        <v>0</v>
      </c>
      <c r="J930" s="152"/>
      <c r="K930" s="152"/>
      <c r="L930" s="152"/>
      <c r="M930" s="150">
        <f t="shared" ref="M930" si="172">SUBTOTAL(9,M905:M929)</f>
        <v>0</v>
      </c>
      <c r="N930" s="152"/>
      <c r="O930" s="150">
        <f t="shared" ref="O930" si="173">SUBTOTAL(9,O905:O929)</f>
        <v>0</v>
      </c>
      <c r="P930" s="152"/>
    </row>
    <row r="931" spans="1:16" ht="18.600000000000001" customHeight="1" x14ac:dyDescent="0.2">
      <c r="A931" s="434" t="str">
        <f>A901</f>
        <v>DANH SÁCH LỚP KET</v>
      </c>
      <c r="B931" s="434"/>
      <c r="C931" s="434"/>
      <c r="D931" s="434"/>
      <c r="E931" s="434"/>
      <c r="F931" s="434"/>
      <c r="G931" s="434"/>
      <c r="H931" s="434"/>
      <c r="I931" s="92"/>
      <c r="J931" s="48"/>
      <c r="K931" s="48"/>
      <c r="L931" s="48"/>
      <c r="M931" s="41"/>
      <c r="N931" s="41"/>
      <c r="O931" s="41"/>
      <c r="P931" s="41"/>
    </row>
    <row r="932" spans="1:16" ht="18.600000000000001" customHeight="1" x14ac:dyDescent="0.2">
      <c r="A932" s="28"/>
      <c r="B932" s="29"/>
      <c r="C932" s="30"/>
      <c r="D932" s="36"/>
      <c r="E932" s="28"/>
      <c r="F932" s="28"/>
      <c r="G932" s="28"/>
      <c r="H932" s="28"/>
      <c r="I932" s="79"/>
      <c r="J932" s="28"/>
      <c r="K932" s="28"/>
      <c r="L932" s="28"/>
      <c r="M932" s="28"/>
      <c r="N932" s="28"/>
      <c r="O932" s="28"/>
      <c r="P932" s="28"/>
    </row>
    <row r="933" spans="1:16" ht="18.600000000000001" customHeight="1" x14ac:dyDescent="0.2">
      <c r="A933" s="435" t="s">
        <v>374</v>
      </c>
      <c r="B933" s="435" t="s">
        <v>380</v>
      </c>
      <c r="C933" s="435" t="s">
        <v>383</v>
      </c>
      <c r="D933" s="437" t="s">
        <v>384</v>
      </c>
      <c r="E933" s="438" t="s">
        <v>385</v>
      </c>
      <c r="F933" s="439"/>
      <c r="G933" s="432" t="str">
        <f>$R$1</f>
        <v>Hè 1</v>
      </c>
      <c r="H933" s="433"/>
      <c r="I933" s="432" t="str">
        <f>$T$1</f>
        <v>Hè 2</v>
      </c>
      <c r="J933" s="433"/>
      <c r="K933" s="201"/>
      <c r="L933" s="201"/>
      <c r="M933" s="432" t="str">
        <f>$X$1</f>
        <v>.</v>
      </c>
      <c r="N933" s="433"/>
      <c r="O933" s="432" t="str">
        <f>$Z$1</f>
        <v>.</v>
      </c>
      <c r="P933" s="433"/>
    </row>
    <row r="934" spans="1:16" ht="18.600000000000001" customHeight="1" x14ac:dyDescent="0.2">
      <c r="A934" s="436"/>
      <c r="B934" s="436"/>
      <c r="C934" s="436"/>
      <c r="D934" s="436"/>
      <c r="E934" s="31" t="s">
        <v>381</v>
      </c>
      <c r="F934" s="31" t="s">
        <v>382</v>
      </c>
      <c r="G934" s="31" t="s">
        <v>381</v>
      </c>
      <c r="H934" s="31" t="s">
        <v>382</v>
      </c>
      <c r="I934" s="80" t="s">
        <v>381</v>
      </c>
      <c r="J934" s="31" t="s">
        <v>382</v>
      </c>
      <c r="K934" s="31"/>
      <c r="L934" s="31"/>
      <c r="M934" s="31" t="s">
        <v>381</v>
      </c>
      <c r="N934" s="31" t="s">
        <v>382</v>
      </c>
      <c r="O934" s="31" t="s">
        <v>381</v>
      </c>
      <c r="P934" s="31" t="s">
        <v>382</v>
      </c>
    </row>
    <row r="935" spans="1:16" ht="18.600000000000001" customHeight="1" x14ac:dyDescent="0.2">
      <c r="A935" s="32">
        <v>1</v>
      </c>
      <c r="B935" s="26"/>
      <c r="C935" s="26"/>
      <c r="D935" s="22"/>
      <c r="E935" s="32"/>
      <c r="F935" s="34"/>
      <c r="G935" s="32"/>
      <c r="H935" s="93"/>
      <c r="I935" s="81"/>
      <c r="J935" s="34"/>
      <c r="K935" s="34"/>
      <c r="L935" s="34"/>
      <c r="M935" s="32"/>
      <c r="N935" s="34"/>
      <c r="O935" s="32"/>
      <c r="P935" s="34"/>
    </row>
    <row r="936" spans="1:16" ht="18.600000000000001" customHeight="1" x14ac:dyDescent="0.2">
      <c r="A936" s="7">
        <f t="shared" ref="A936:A959" si="174">A935+1</f>
        <v>2</v>
      </c>
      <c r="B936" s="26"/>
      <c r="C936" s="26"/>
      <c r="D936" s="22"/>
      <c r="E936" s="7"/>
      <c r="F936" s="7"/>
      <c r="G936" s="7"/>
      <c r="H936" s="7"/>
      <c r="I936" s="82"/>
      <c r="J936" s="7"/>
      <c r="K936" s="7"/>
      <c r="L936" s="7"/>
      <c r="M936" s="7"/>
      <c r="N936" s="7"/>
      <c r="O936" s="7"/>
      <c r="P936" s="7"/>
    </row>
    <row r="937" spans="1:16" ht="18.600000000000001" customHeight="1" x14ac:dyDescent="0.2">
      <c r="A937" s="7">
        <f t="shared" si="174"/>
        <v>3</v>
      </c>
      <c r="B937" s="26"/>
      <c r="C937" s="26"/>
      <c r="D937" s="22"/>
      <c r="E937" s="7"/>
      <c r="F937" s="7"/>
      <c r="G937" s="7"/>
      <c r="H937" s="7"/>
      <c r="I937" s="82"/>
      <c r="J937" s="7"/>
      <c r="K937" s="7"/>
      <c r="L937" s="7"/>
      <c r="M937" s="7"/>
      <c r="N937" s="7"/>
      <c r="O937" s="7"/>
      <c r="P937" s="7"/>
    </row>
    <row r="938" spans="1:16" ht="18.600000000000001" customHeight="1" x14ac:dyDescent="0.2">
      <c r="A938" s="7">
        <f t="shared" si="174"/>
        <v>4</v>
      </c>
      <c r="B938" s="26"/>
      <c r="C938" s="26"/>
      <c r="D938" s="22"/>
      <c r="E938" s="7"/>
      <c r="F938" s="7"/>
      <c r="G938" s="7"/>
      <c r="H938" s="7"/>
      <c r="I938" s="82"/>
      <c r="J938" s="7"/>
      <c r="K938" s="7"/>
      <c r="L938" s="7"/>
      <c r="M938" s="7"/>
      <c r="N938" s="7"/>
      <c r="O938" s="7"/>
      <c r="P938" s="7"/>
    </row>
    <row r="939" spans="1:16" ht="18.600000000000001" customHeight="1" x14ac:dyDescent="0.2">
      <c r="A939" s="6">
        <f t="shared" si="174"/>
        <v>5</v>
      </c>
      <c r="B939" s="58"/>
      <c r="C939" s="58"/>
      <c r="D939" s="59"/>
      <c r="E939" s="16"/>
      <c r="F939" s="16"/>
      <c r="G939" s="16"/>
      <c r="H939" s="16"/>
      <c r="I939" s="83"/>
      <c r="J939" s="16"/>
      <c r="K939" s="16"/>
      <c r="L939" s="16"/>
      <c r="M939" s="16"/>
      <c r="N939" s="16"/>
      <c r="O939" s="16"/>
      <c r="P939" s="16"/>
    </row>
    <row r="940" spans="1:16" ht="18.600000000000001" customHeight="1" x14ac:dyDescent="0.2">
      <c r="A940" s="56">
        <f t="shared" si="174"/>
        <v>6</v>
      </c>
      <c r="B940" s="57"/>
      <c r="C940" s="57"/>
      <c r="D940" s="21"/>
      <c r="E940" s="2"/>
      <c r="F940" s="2"/>
      <c r="G940" s="2"/>
      <c r="H940" s="2"/>
      <c r="I940" s="84"/>
      <c r="J940" s="2"/>
      <c r="K940" s="2"/>
      <c r="L940" s="2"/>
      <c r="M940" s="2"/>
      <c r="N940" s="2"/>
      <c r="O940" s="2"/>
      <c r="P940" s="2"/>
    </row>
    <row r="941" spans="1:16" ht="18.600000000000001" customHeight="1" x14ac:dyDescent="0.2">
      <c r="A941" s="6">
        <f t="shared" si="174"/>
        <v>7</v>
      </c>
      <c r="B941" s="26"/>
      <c r="C941" s="26"/>
      <c r="D941" s="22"/>
      <c r="E941" s="4"/>
      <c r="F941" s="4"/>
      <c r="G941" s="4"/>
      <c r="H941" s="4"/>
      <c r="I941" s="85"/>
      <c r="J941" s="4"/>
      <c r="K941" s="4"/>
      <c r="L941" s="4"/>
      <c r="M941" s="4"/>
      <c r="N941" s="4"/>
      <c r="O941" s="4"/>
      <c r="P941" s="4"/>
    </row>
    <row r="942" spans="1:16" ht="18.600000000000001" customHeight="1" x14ac:dyDescent="0.2">
      <c r="A942" s="6">
        <f t="shared" si="174"/>
        <v>8</v>
      </c>
      <c r="B942" s="26"/>
      <c r="C942" s="26"/>
      <c r="D942" s="22"/>
      <c r="E942" s="4"/>
      <c r="F942" s="4"/>
      <c r="G942" s="4"/>
      <c r="H942" s="4"/>
      <c r="I942" s="85"/>
      <c r="J942" s="4"/>
      <c r="K942" s="4"/>
      <c r="L942" s="4"/>
      <c r="M942" s="4"/>
      <c r="N942" s="4"/>
      <c r="O942" s="4"/>
      <c r="P942" s="4"/>
    </row>
    <row r="943" spans="1:16" ht="18.600000000000001" customHeight="1" x14ac:dyDescent="0.2">
      <c r="A943" s="6">
        <f t="shared" si="174"/>
        <v>9</v>
      </c>
      <c r="B943" s="26"/>
      <c r="C943" s="26"/>
      <c r="D943" s="22"/>
      <c r="E943" s="4"/>
      <c r="F943" s="4"/>
      <c r="G943" s="4"/>
      <c r="H943" s="4"/>
      <c r="I943" s="85"/>
      <c r="J943" s="4"/>
      <c r="K943" s="4"/>
      <c r="L943" s="4"/>
      <c r="M943" s="4"/>
      <c r="N943" s="4"/>
      <c r="O943" s="4"/>
      <c r="P943" s="4"/>
    </row>
    <row r="944" spans="1:16" ht="18.600000000000001" customHeight="1" x14ac:dyDescent="0.2">
      <c r="A944" s="10">
        <f t="shared" si="174"/>
        <v>10</v>
      </c>
      <c r="B944" s="62"/>
      <c r="C944" s="62"/>
      <c r="D944" s="23"/>
      <c r="E944" s="12"/>
      <c r="F944" s="12"/>
      <c r="G944" s="12"/>
      <c r="H944" s="12"/>
      <c r="I944" s="86"/>
      <c r="J944" s="12"/>
      <c r="K944" s="12"/>
      <c r="L944" s="12"/>
      <c r="M944" s="12"/>
      <c r="N944" s="12"/>
      <c r="O944" s="12"/>
      <c r="P944" s="12"/>
    </row>
    <row r="945" spans="1:16" ht="18.600000000000001" customHeight="1" x14ac:dyDescent="0.2">
      <c r="A945" s="35">
        <f t="shared" si="174"/>
        <v>11</v>
      </c>
      <c r="B945" s="60"/>
      <c r="C945" s="60"/>
      <c r="D945" s="61"/>
      <c r="E945" s="14"/>
      <c r="F945" s="14"/>
      <c r="G945" s="14"/>
      <c r="H945" s="14"/>
      <c r="I945" s="87"/>
      <c r="J945" s="14"/>
      <c r="K945" s="14"/>
      <c r="L945" s="14"/>
      <c r="M945" s="14"/>
      <c r="N945" s="14"/>
      <c r="O945" s="14"/>
      <c r="P945" s="14"/>
    </row>
    <row r="946" spans="1:16" ht="18.600000000000001" customHeight="1" x14ac:dyDescent="0.2">
      <c r="A946" s="7">
        <f t="shared" si="174"/>
        <v>12</v>
      </c>
      <c r="B946" s="26"/>
      <c r="C946" s="26"/>
      <c r="D946" s="22"/>
      <c r="E946" s="4"/>
      <c r="F946" s="4"/>
      <c r="G946" s="4"/>
      <c r="H946" s="4"/>
      <c r="I946" s="85"/>
      <c r="J946" s="4"/>
      <c r="K946" s="4"/>
      <c r="L946" s="4"/>
      <c r="M946" s="4"/>
      <c r="N946" s="4"/>
      <c r="O946" s="4"/>
      <c r="P946" s="4"/>
    </row>
    <row r="947" spans="1:16" ht="18.600000000000001" customHeight="1" x14ac:dyDescent="0.2">
      <c r="A947" s="7">
        <f t="shared" si="174"/>
        <v>13</v>
      </c>
      <c r="B947" s="26"/>
      <c r="C947" s="26"/>
      <c r="D947" s="22"/>
      <c r="E947" s="4"/>
      <c r="F947" s="4"/>
      <c r="G947" s="4"/>
      <c r="H947" s="4"/>
      <c r="I947" s="85"/>
      <c r="J947" s="4"/>
      <c r="K947" s="4"/>
      <c r="L947" s="4"/>
      <c r="M947" s="4"/>
      <c r="N947" s="4"/>
      <c r="O947" s="4"/>
      <c r="P947" s="4"/>
    </row>
    <row r="948" spans="1:16" ht="18.600000000000001" customHeight="1" x14ac:dyDescent="0.2">
      <c r="A948" s="7">
        <f t="shared" si="174"/>
        <v>14</v>
      </c>
      <c r="B948" s="3"/>
      <c r="C948" s="4"/>
      <c r="D948" s="8"/>
      <c r="E948" s="4"/>
      <c r="F948" s="4"/>
      <c r="G948" s="4"/>
      <c r="H948" s="4"/>
      <c r="I948" s="85"/>
      <c r="J948" s="4"/>
      <c r="K948" s="4"/>
      <c r="L948" s="4"/>
      <c r="M948" s="4"/>
      <c r="N948" s="4"/>
      <c r="O948" s="4"/>
      <c r="P948" s="4"/>
    </row>
    <row r="949" spans="1:16" ht="18.600000000000001" customHeight="1" x14ac:dyDescent="0.2">
      <c r="A949" s="6">
        <f t="shared" si="174"/>
        <v>15</v>
      </c>
      <c r="B949" s="15"/>
      <c r="C949" s="16"/>
      <c r="D949" s="5"/>
      <c r="E949" s="16"/>
      <c r="F949" s="16"/>
      <c r="G949" s="16"/>
      <c r="H949" s="16"/>
      <c r="I949" s="83"/>
      <c r="J949" s="16"/>
      <c r="K949" s="16"/>
      <c r="L949" s="16"/>
      <c r="M949" s="16"/>
      <c r="N949" s="16"/>
      <c r="O949" s="16"/>
      <c r="P949" s="16"/>
    </row>
    <row r="950" spans="1:16" ht="18.600000000000001" customHeight="1" x14ac:dyDescent="0.2">
      <c r="A950" s="32">
        <f t="shared" si="174"/>
        <v>16</v>
      </c>
      <c r="B950" s="1"/>
      <c r="C950" s="2"/>
      <c r="D950" s="33"/>
      <c r="E950" s="2"/>
      <c r="F950" s="2"/>
      <c r="G950" s="2"/>
      <c r="H950" s="2"/>
      <c r="I950" s="84"/>
      <c r="J950" s="2"/>
      <c r="K950" s="2"/>
      <c r="L950" s="2"/>
      <c r="M950" s="2"/>
      <c r="N950" s="2"/>
      <c r="O950" s="2"/>
      <c r="P950" s="2"/>
    </row>
    <row r="951" spans="1:16" ht="18.600000000000001" customHeight="1" x14ac:dyDescent="0.2">
      <c r="A951" s="7">
        <f t="shared" si="174"/>
        <v>17</v>
      </c>
      <c r="B951" s="3"/>
      <c r="C951" s="4"/>
      <c r="D951" s="8"/>
      <c r="E951" s="4"/>
      <c r="F951" s="4"/>
      <c r="G951" s="4"/>
      <c r="H951" s="4"/>
      <c r="I951" s="85"/>
      <c r="J951" s="4"/>
      <c r="K951" s="4"/>
      <c r="L951" s="4"/>
      <c r="M951" s="4"/>
      <c r="N951" s="4"/>
      <c r="O951" s="4"/>
      <c r="P951" s="4"/>
    </row>
    <row r="952" spans="1:16" ht="18.600000000000001" customHeight="1" x14ac:dyDescent="0.2">
      <c r="A952" s="7">
        <f t="shared" si="174"/>
        <v>18</v>
      </c>
      <c r="B952" s="3"/>
      <c r="C952" s="4"/>
      <c r="D952" s="8"/>
      <c r="E952" s="4"/>
      <c r="F952" s="4"/>
      <c r="G952" s="4"/>
      <c r="H952" s="4"/>
      <c r="I952" s="85"/>
      <c r="J952" s="4"/>
      <c r="K952" s="4"/>
      <c r="L952" s="4"/>
      <c r="M952" s="4"/>
      <c r="N952" s="4"/>
      <c r="O952" s="4"/>
      <c r="P952" s="4"/>
    </row>
    <row r="953" spans="1:16" ht="18.600000000000001" customHeight="1" x14ac:dyDescent="0.2">
      <c r="A953" s="7">
        <f t="shared" si="174"/>
        <v>19</v>
      </c>
      <c r="B953" s="3"/>
      <c r="C953" s="4"/>
      <c r="D953" s="8"/>
      <c r="E953" s="4"/>
      <c r="F953" s="4"/>
      <c r="G953" s="4"/>
      <c r="H953" s="4"/>
      <c r="I953" s="85"/>
      <c r="J953" s="4"/>
      <c r="K953" s="4"/>
      <c r="L953" s="4"/>
      <c r="M953" s="4"/>
      <c r="N953" s="4"/>
      <c r="O953" s="4"/>
      <c r="P953" s="4"/>
    </row>
    <row r="954" spans="1:16" ht="18.600000000000001" customHeight="1" x14ac:dyDescent="0.2">
      <c r="A954" s="10">
        <f t="shared" si="174"/>
        <v>20</v>
      </c>
      <c r="B954" s="11"/>
      <c r="C954" s="12"/>
      <c r="D954" s="9"/>
      <c r="E954" s="12"/>
      <c r="F954" s="12"/>
      <c r="G954" s="12"/>
      <c r="H954" s="12"/>
      <c r="I954" s="86"/>
      <c r="J954" s="12"/>
      <c r="K954" s="12"/>
      <c r="L954" s="12"/>
      <c r="M954" s="12"/>
      <c r="N954" s="12"/>
      <c r="O954" s="12"/>
      <c r="P954" s="12"/>
    </row>
    <row r="955" spans="1:16" ht="18.600000000000001" customHeight="1" x14ac:dyDescent="0.2">
      <c r="A955" s="35">
        <f t="shared" si="174"/>
        <v>21</v>
      </c>
      <c r="B955" s="13"/>
      <c r="C955" s="14"/>
      <c r="D955" s="37"/>
      <c r="E955" s="14"/>
      <c r="F955" s="14"/>
      <c r="G955" s="14"/>
      <c r="H955" s="14"/>
      <c r="I955" s="87"/>
      <c r="J955" s="14"/>
      <c r="K955" s="14"/>
      <c r="L955" s="14"/>
      <c r="M955" s="14"/>
      <c r="N955" s="14"/>
      <c r="O955" s="14"/>
      <c r="P955" s="14"/>
    </row>
    <row r="956" spans="1:16" ht="18.600000000000001" customHeight="1" x14ac:dyDescent="0.2">
      <c r="A956" s="7">
        <f t="shared" si="174"/>
        <v>22</v>
      </c>
      <c r="B956" s="3"/>
      <c r="C956" s="4"/>
      <c r="D956" s="8"/>
      <c r="E956" s="4"/>
      <c r="F956" s="4"/>
      <c r="G956" s="4"/>
      <c r="H956" s="4"/>
      <c r="I956" s="85"/>
      <c r="J956" s="4"/>
      <c r="K956" s="4"/>
      <c r="L956" s="4"/>
      <c r="M956" s="4"/>
      <c r="N956" s="4"/>
      <c r="O956" s="4"/>
      <c r="P956" s="4"/>
    </row>
    <row r="957" spans="1:16" ht="18.600000000000001" customHeight="1" x14ac:dyDescent="0.2">
      <c r="A957" s="35">
        <f t="shared" si="174"/>
        <v>23</v>
      </c>
      <c r="B957" s="3"/>
      <c r="C957" s="4"/>
      <c r="D957" s="8"/>
      <c r="E957" s="4"/>
      <c r="F957" s="4"/>
      <c r="G957" s="4"/>
      <c r="H957" s="4"/>
      <c r="I957" s="85"/>
      <c r="J957" s="4"/>
      <c r="K957" s="4"/>
      <c r="L957" s="4"/>
      <c r="M957" s="4"/>
      <c r="N957" s="4"/>
      <c r="O957" s="4"/>
      <c r="P957" s="4"/>
    </row>
    <row r="958" spans="1:16" ht="18.600000000000001" customHeight="1" x14ac:dyDescent="0.2">
      <c r="A958" s="7">
        <f t="shared" si="174"/>
        <v>24</v>
      </c>
      <c r="B958" s="3"/>
      <c r="C958" s="4"/>
      <c r="D958" s="8"/>
      <c r="E958" s="4"/>
      <c r="F958" s="4"/>
      <c r="G958" s="4"/>
      <c r="H958" s="4"/>
      <c r="I958" s="85"/>
      <c r="J958" s="4"/>
      <c r="K958" s="4"/>
      <c r="L958" s="4"/>
      <c r="M958" s="4"/>
      <c r="N958" s="4"/>
      <c r="O958" s="4"/>
      <c r="P958" s="4"/>
    </row>
    <row r="959" spans="1:16" ht="18.600000000000001" customHeight="1" x14ac:dyDescent="0.2">
      <c r="A959" s="35">
        <f t="shared" si="174"/>
        <v>25</v>
      </c>
      <c r="B959" s="11"/>
      <c r="C959" s="12"/>
      <c r="D959" s="9"/>
      <c r="E959" s="12"/>
      <c r="F959" s="12"/>
      <c r="G959" s="12"/>
      <c r="H959" s="12"/>
      <c r="I959" s="86"/>
      <c r="J959" s="12"/>
      <c r="K959" s="12"/>
      <c r="L959" s="12"/>
      <c r="M959" s="12"/>
      <c r="N959" s="12"/>
      <c r="O959" s="12"/>
      <c r="P959" s="12"/>
    </row>
    <row r="960" spans="1:16" ht="18.600000000000001" customHeight="1" x14ac:dyDescent="0.3">
      <c r="A960" s="147"/>
      <c r="B960" s="148"/>
      <c r="C960" s="147"/>
      <c r="D960" s="149"/>
      <c r="E960" s="150">
        <f>SUBTOTAL(9,E935:E959)</f>
        <v>0</v>
      </c>
      <c r="F960" s="152"/>
      <c r="G960" s="150">
        <f t="shared" ref="G960" si="175">SUBTOTAL(9,G935:G959)</f>
        <v>0</v>
      </c>
      <c r="H960" s="152"/>
      <c r="I960" s="150">
        <f t="shared" ref="I960" si="176">SUBTOTAL(9,I935:I959)</f>
        <v>0</v>
      </c>
      <c r="J960" s="152"/>
      <c r="K960" s="152"/>
      <c r="L960" s="152"/>
      <c r="M960" s="150">
        <f t="shared" ref="M960" si="177">SUBTOTAL(9,M935:M959)</f>
        <v>0</v>
      </c>
      <c r="N960" s="152"/>
      <c r="O960" s="150">
        <f t="shared" ref="O960" si="178">SUBTOTAL(9,O935:O959)</f>
        <v>0</v>
      </c>
      <c r="P960" s="152"/>
    </row>
    <row r="961" spans="1:16" ht="18.600000000000001" customHeight="1" x14ac:dyDescent="0.2">
      <c r="A961" s="434" t="str">
        <f>A931</f>
        <v>DANH SÁCH LỚP KET</v>
      </c>
      <c r="B961" s="434"/>
      <c r="C961" s="434"/>
      <c r="D961" s="434"/>
      <c r="E961" s="434"/>
      <c r="F961" s="434"/>
      <c r="G961" s="434"/>
      <c r="H961" s="434"/>
      <c r="I961" s="92"/>
      <c r="J961" s="48"/>
      <c r="K961" s="48"/>
      <c r="L961" s="48"/>
      <c r="M961" s="41"/>
      <c r="N961" s="41"/>
      <c r="O961" s="41"/>
      <c r="P961" s="41"/>
    </row>
    <row r="962" spans="1:16" ht="18.600000000000001" customHeight="1" x14ac:dyDescent="0.2">
      <c r="A962" s="28"/>
      <c r="B962" s="29"/>
      <c r="C962" s="30"/>
      <c r="D962" s="36"/>
      <c r="E962" s="28"/>
      <c r="F962" s="28"/>
      <c r="G962" s="28"/>
      <c r="H962" s="28"/>
      <c r="I962" s="79"/>
      <c r="J962" s="28"/>
      <c r="K962" s="28"/>
      <c r="L962" s="28"/>
      <c r="M962" s="28"/>
      <c r="N962" s="28"/>
      <c r="O962" s="28"/>
      <c r="P962" s="28"/>
    </row>
    <row r="963" spans="1:16" ht="18.600000000000001" customHeight="1" x14ac:dyDescent="0.2">
      <c r="A963" s="435" t="s">
        <v>374</v>
      </c>
      <c r="B963" s="435" t="s">
        <v>380</v>
      </c>
      <c r="C963" s="435" t="s">
        <v>383</v>
      </c>
      <c r="D963" s="437" t="s">
        <v>384</v>
      </c>
      <c r="E963" s="438" t="s">
        <v>385</v>
      </c>
      <c r="F963" s="439"/>
      <c r="G963" s="432" t="str">
        <f>$R$1</f>
        <v>Hè 1</v>
      </c>
      <c r="H963" s="433"/>
      <c r="I963" s="432" t="str">
        <f>$T$1</f>
        <v>Hè 2</v>
      </c>
      <c r="J963" s="433"/>
      <c r="K963" s="201"/>
      <c r="L963" s="201"/>
      <c r="M963" s="432" t="str">
        <f>$X$1</f>
        <v>.</v>
      </c>
      <c r="N963" s="433"/>
      <c r="O963" s="432" t="str">
        <f>$Z$1</f>
        <v>.</v>
      </c>
      <c r="P963" s="433"/>
    </row>
    <row r="964" spans="1:16" ht="18.600000000000001" customHeight="1" x14ac:dyDescent="0.2">
      <c r="A964" s="436"/>
      <c r="B964" s="436"/>
      <c r="C964" s="436"/>
      <c r="D964" s="436"/>
      <c r="E964" s="31" t="s">
        <v>381</v>
      </c>
      <c r="F964" s="31" t="s">
        <v>382</v>
      </c>
      <c r="G964" s="31" t="s">
        <v>381</v>
      </c>
      <c r="H964" s="31" t="s">
        <v>382</v>
      </c>
      <c r="I964" s="80" t="s">
        <v>381</v>
      </c>
      <c r="J964" s="31" t="s">
        <v>382</v>
      </c>
      <c r="K964" s="31"/>
      <c r="L964" s="31"/>
      <c r="M964" s="31" t="s">
        <v>381</v>
      </c>
      <c r="N964" s="31" t="s">
        <v>382</v>
      </c>
      <c r="O964" s="31" t="s">
        <v>381</v>
      </c>
      <c r="P964" s="31" t="s">
        <v>382</v>
      </c>
    </row>
    <row r="965" spans="1:16" ht="18.600000000000001" customHeight="1" x14ac:dyDescent="0.2">
      <c r="A965" s="32">
        <v>1</v>
      </c>
      <c r="B965" s="26"/>
      <c r="C965" s="26"/>
      <c r="D965" s="22"/>
      <c r="E965" s="32"/>
      <c r="F965" s="34"/>
      <c r="G965" s="32"/>
      <c r="H965" s="93"/>
      <c r="I965" s="81"/>
      <c r="J965" s="34"/>
      <c r="K965" s="34"/>
      <c r="L965" s="34"/>
      <c r="M965" s="32"/>
      <c r="N965" s="34"/>
      <c r="O965" s="32"/>
      <c r="P965" s="34"/>
    </row>
    <row r="966" spans="1:16" ht="18.600000000000001" customHeight="1" x14ac:dyDescent="0.2">
      <c r="A966" s="7">
        <f t="shared" ref="A966:A989" si="179">A965+1</f>
        <v>2</v>
      </c>
      <c r="B966" s="26"/>
      <c r="C966" s="26"/>
      <c r="D966" s="22"/>
      <c r="E966" s="7"/>
      <c r="F966" s="7"/>
      <c r="G966" s="7"/>
      <c r="H966" s="7"/>
      <c r="I966" s="82"/>
      <c r="J966" s="7"/>
      <c r="K966" s="7"/>
      <c r="L966" s="7"/>
      <c r="M966" s="7"/>
      <c r="N966" s="7"/>
      <c r="O966" s="7"/>
      <c r="P966" s="7"/>
    </row>
    <row r="967" spans="1:16" ht="18.600000000000001" customHeight="1" x14ac:dyDescent="0.2">
      <c r="A967" s="7">
        <f t="shared" si="179"/>
        <v>3</v>
      </c>
      <c r="B967" s="26"/>
      <c r="C967" s="26"/>
      <c r="D967" s="22"/>
      <c r="E967" s="7"/>
      <c r="F967" s="7"/>
      <c r="G967" s="7"/>
      <c r="H967" s="7"/>
      <c r="I967" s="82"/>
      <c r="J967" s="7"/>
      <c r="K967" s="7"/>
      <c r="L967" s="7"/>
      <c r="M967" s="7"/>
      <c r="N967" s="7"/>
      <c r="O967" s="7"/>
      <c r="P967" s="7"/>
    </row>
    <row r="968" spans="1:16" ht="18.600000000000001" customHeight="1" x14ac:dyDescent="0.2">
      <c r="A968" s="7">
        <f t="shared" si="179"/>
        <v>4</v>
      </c>
      <c r="B968" s="26"/>
      <c r="C968" s="26"/>
      <c r="D968" s="22"/>
      <c r="E968" s="7"/>
      <c r="F968" s="7"/>
      <c r="G968" s="7"/>
      <c r="H968" s="7"/>
      <c r="I968" s="82"/>
      <c r="J968" s="7"/>
      <c r="K968" s="7"/>
      <c r="L968" s="7"/>
      <c r="M968" s="7"/>
      <c r="N968" s="7"/>
      <c r="O968" s="7"/>
      <c r="P968" s="7"/>
    </row>
    <row r="969" spans="1:16" ht="18.600000000000001" customHeight="1" x14ac:dyDescent="0.2">
      <c r="A969" s="6">
        <f t="shared" si="179"/>
        <v>5</v>
      </c>
      <c r="B969" s="58"/>
      <c r="C969" s="58"/>
      <c r="D969" s="59"/>
      <c r="E969" s="16"/>
      <c r="F969" s="16"/>
      <c r="G969" s="16"/>
      <c r="H969" s="16"/>
      <c r="I969" s="83"/>
      <c r="J969" s="16"/>
      <c r="K969" s="16"/>
      <c r="L969" s="16"/>
      <c r="M969" s="16"/>
      <c r="N969" s="16"/>
      <c r="O969" s="16"/>
      <c r="P969" s="16"/>
    </row>
    <row r="970" spans="1:16" ht="18.600000000000001" customHeight="1" x14ac:dyDescent="0.2">
      <c r="A970" s="56">
        <f t="shared" si="179"/>
        <v>6</v>
      </c>
      <c r="B970" s="57"/>
      <c r="C970" s="57"/>
      <c r="D970" s="21"/>
      <c r="E970" s="2"/>
      <c r="F970" s="2"/>
      <c r="G970" s="2"/>
      <c r="H970" s="2"/>
      <c r="I970" s="84"/>
      <c r="J970" s="2"/>
      <c r="K970" s="2"/>
      <c r="L970" s="2"/>
      <c r="M970" s="2"/>
      <c r="N970" s="2"/>
      <c r="O970" s="2"/>
      <c r="P970" s="2"/>
    </row>
    <row r="971" spans="1:16" ht="18.600000000000001" customHeight="1" x14ac:dyDescent="0.2">
      <c r="A971" s="6">
        <f t="shared" si="179"/>
        <v>7</v>
      </c>
      <c r="B971" s="26"/>
      <c r="C971" s="26"/>
      <c r="D971" s="22"/>
      <c r="E971" s="4"/>
      <c r="F971" s="4"/>
      <c r="G971" s="4"/>
      <c r="H971" s="4"/>
      <c r="I971" s="85"/>
      <c r="J971" s="4"/>
      <c r="K971" s="4"/>
      <c r="L971" s="4"/>
      <c r="M971" s="4"/>
      <c r="N971" s="4"/>
      <c r="O971" s="4"/>
      <c r="P971" s="4"/>
    </row>
    <row r="972" spans="1:16" ht="18.600000000000001" customHeight="1" x14ac:dyDescent="0.2">
      <c r="A972" s="6">
        <f t="shared" si="179"/>
        <v>8</v>
      </c>
      <c r="B972" s="26"/>
      <c r="C972" s="26"/>
      <c r="D972" s="22"/>
      <c r="E972" s="4"/>
      <c r="F972" s="4"/>
      <c r="G972" s="4"/>
      <c r="H972" s="4"/>
      <c r="I972" s="85"/>
      <c r="J972" s="4"/>
      <c r="K972" s="4"/>
      <c r="L972" s="4"/>
      <c r="M972" s="4"/>
      <c r="N972" s="4"/>
      <c r="O972" s="4"/>
      <c r="P972" s="4"/>
    </row>
    <row r="973" spans="1:16" ht="18.600000000000001" customHeight="1" x14ac:dyDescent="0.2">
      <c r="A973" s="6">
        <f t="shared" si="179"/>
        <v>9</v>
      </c>
      <c r="B973" s="26"/>
      <c r="C973" s="26"/>
      <c r="D973" s="22"/>
      <c r="E973" s="4"/>
      <c r="F973" s="4"/>
      <c r="G973" s="4"/>
      <c r="H973" s="4"/>
      <c r="I973" s="85"/>
      <c r="J973" s="4"/>
      <c r="K973" s="4"/>
      <c r="L973" s="4"/>
      <c r="M973" s="4"/>
      <c r="N973" s="4"/>
      <c r="O973" s="4"/>
      <c r="P973" s="4"/>
    </row>
    <row r="974" spans="1:16" ht="18.600000000000001" customHeight="1" x14ac:dyDescent="0.2">
      <c r="A974" s="10">
        <f t="shared" si="179"/>
        <v>10</v>
      </c>
      <c r="B974" s="62"/>
      <c r="C974" s="62"/>
      <c r="D974" s="23"/>
      <c r="E974" s="12"/>
      <c r="F974" s="12"/>
      <c r="G974" s="12"/>
      <c r="H974" s="12"/>
      <c r="I974" s="86"/>
      <c r="J974" s="12"/>
      <c r="K974" s="12"/>
      <c r="L974" s="12"/>
      <c r="M974" s="12"/>
      <c r="N974" s="12"/>
      <c r="O974" s="12"/>
      <c r="P974" s="12"/>
    </row>
    <row r="975" spans="1:16" ht="18.600000000000001" customHeight="1" x14ac:dyDescent="0.2">
      <c r="A975" s="35">
        <f t="shared" si="179"/>
        <v>11</v>
      </c>
      <c r="B975" s="60"/>
      <c r="C975" s="60"/>
      <c r="D975" s="61"/>
      <c r="E975" s="14"/>
      <c r="F975" s="14"/>
      <c r="G975" s="14"/>
      <c r="H975" s="14"/>
      <c r="I975" s="87"/>
      <c r="J975" s="14"/>
      <c r="K975" s="14"/>
      <c r="L975" s="14"/>
      <c r="M975" s="14"/>
      <c r="N975" s="14"/>
      <c r="O975" s="14"/>
      <c r="P975" s="14"/>
    </row>
    <row r="976" spans="1:16" ht="18.600000000000001" customHeight="1" x14ac:dyDescent="0.2">
      <c r="A976" s="7">
        <f t="shared" si="179"/>
        <v>12</v>
      </c>
      <c r="B976" s="26"/>
      <c r="C976" s="26"/>
      <c r="D976" s="22"/>
      <c r="E976" s="4"/>
      <c r="F976" s="4"/>
      <c r="G976" s="4"/>
      <c r="H976" s="4"/>
      <c r="I976" s="85"/>
      <c r="J976" s="4"/>
      <c r="K976" s="4"/>
      <c r="L976" s="4"/>
      <c r="M976" s="4"/>
      <c r="N976" s="4"/>
      <c r="O976" s="4"/>
      <c r="P976" s="4"/>
    </row>
    <row r="977" spans="1:16" ht="18.600000000000001" customHeight="1" x14ac:dyDescent="0.2">
      <c r="A977" s="7">
        <f t="shared" si="179"/>
        <v>13</v>
      </c>
      <c r="B977" s="26"/>
      <c r="C977" s="26"/>
      <c r="D977" s="22"/>
      <c r="E977" s="4"/>
      <c r="F977" s="4"/>
      <c r="G977" s="4"/>
      <c r="H977" s="4"/>
      <c r="I977" s="85"/>
      <c r="J977" s="4"/>
      <c r="K977" s="4"/>
      <c r="L977" s="4"/>
      <c r="M977" s="4"/>
      <c r="N977" s="4"/>
      <c r="O977" s="4"/>
      <c r="P977" s="4"/>
    </row>
    <row r="978" spans="1:16" ht="18.600000000000001" customHeight="1" x14ac:dyDescent="0.2">
      <c r="A978" s="7">
        <f t="shared" si="179"/>
        <v>14</v>
      </c>
      <c r="B978" s="3"/>
      <c r="C978" s="4"/>
      <c r="D978" s="8"/>
      <c r="E978" s="4"/>
      <c r="F978" s="4"/>
      <c r="G978" s="4"/>
      <c r="H978" s="4"/>
      <c r="I978" s="85"/>
      <c r="J978" s="4"/>
      <c r="K978" s="4"/>
      <c r="L978" s="4"/>
      <c r="M978" s="4"/>
      <c r="N978" s="4"/>
      <c r="O978" s="4"/>
      <c r="P978" s="4"/>
    </row>
    <row r="979" spans="1:16" ht="18.600000000000001" customHeight="1" x14ac:dyDescent="0.2">
      <c r="A979" s="6">
        <f t="shared" si="179"/>
        <v>15</v>
      </c>
      <c r="B979" s="15"/>
      <c r="C979" s="16"/>
      <c r="D979" s="5"/>
      <c r="E979" s="16"/>
      <c r="F979" s="16"/>
      <c r="G979" s="16"/>
      <c r="H979" s="16"/>
      <c r="I979" s="83"/>
      <c r="J979" s="16"/>
      <c r="K979" s="16"/>
      <c r="L979" s="16"/>
      <c r="M979" s="16"/>
      <c r="N979" s="16"/>
      <c r="O979" s="16"/>
      <c r="P979" s="16"/>
    </row>
    <row r="980" spans="1:16" ht="18.600000000000001" customHeight="1" x14ac:dyDescent="0.2">
      <c r="A980" s="32">
        <f t="shared" si="179"/>
        <v>16</v>
      </c>
      <c r="B980" s="1"/>
      <c r="C980" s="2"/>
      <c r="D980" s="33"/>
      <c r="E980" s="2"/>
      <c r="F980" s="2"/>
      <c r="G980" s="2"/>
      <c r="H980" s="2"/>
      <c r="I980" s="84"/>
      <c r="J980" s="2"/>
      <c r="K980" s="2"/>
      <c r="L980" s="2"/>
      <c r="M980" s="2"/>
      <c r="N980" s="2"/>
      <c r="O980" s="2"/>
      <c r="P980" s="2"/>
    </row>
    <row r="981" spans="1:16" ht="18.600000000000001" customHeight="1" x14ac:dyDescent="0.2">
      <c r="A981" s="7">
        <f t="shared" si="179"/>
        <v>17</v>
      </c>
      <c r="B981" s="3"/>
      <c r="C981" s="4"/>
      <c r="D981" s="8"/>
      <c r="E981" s="4"/>
      <c r="F981" s="4"/>
      <c r="G981" s="4"/>
      <c r="H981" s="4"/>
      <c r="I981" s="85"/>
      <c r="J981" s="4"/>
      <c r="K981" s="4"/>
      <c r="L981" s="4"/>
      <c r="M981" s="4"/>
      <c r="N981" s="4"/>
      <c r="O981" s="4"/>
      <c r="P981" s="4"/>
    </row>
    <row r="982" spans="1:16" ht="18.600000000000001" customHeight="1" x14ac:dyDescent="0.2">
      <c r="A982" s="7">
        <f t="shared" si="179"/>
        <v>18</v>
      </c>
      <c r="B982" s="3"/>
      <c r="C982" s="4"/>
      <c r="D982" s="8"/>
      <c r="E982" s="4"/>
      <c r="F982" s="4"/>
      <c r="G982" s="4"/>
      <c r="H982" s="4"/>
      <c r="I982" s="85"/>
      <c r="J982" s="4"/>
      <c r="K982" s="4"/>
      <c r="L982" s="4"/>
      <c r="M982" s="4"/>
      <c r="N982" s="4"/>
      <c r="O982" s="4"/>
      <c r="P982" s="4"/>
    </row>
    <row r="983" spans="1:16" ht="18.600000000000001" customHeight="1" x14ac:dyDescent="0.2">
      <c r="A983" s="7">
        <f t="shared" si="179"/>
        <v>19</v>
      </c>
      <c r="B983" s="3"/>
      <c r="C983" s="4"/>
      <c r="D983" s="8"/>
      <c r="E983" s="4"/>
      <c r="F983" s="4"/>
      <c r="G983" s="4"/>
      <c r="H983" s="4"/>
      <c r="I983" s="85"/>
      <c r="J983" s="4"/>
      <c r="K983" s="4"/>
      <c r="L983" s="4"/>
      <c r="M983" s="4"/>
      <c r="N983" s="4"/>
      <c r="O983" s="4"/>
      <c r="P983" s="4"/>
    </row>
    <row r="984" spans="1:16" ht="18.600000000000001" customHeight="1" x14ac:dyDescent="0.2">
      <c r="A984" s="10">
        <f t="shared" si="179"/>
        <v>20</v>
      </c>
      <c r="B984" s="11"/>
      <c r="C984" s="12"/>
      <c r="D984" s="9"/>
      <c r="E984" s="12"/>
      <c r="F984" s="12"/>
      <c r="G984" s="12"/>
      <c r="H984" s="12"/>
      <c r="I984" s="86"/>
      <c r="J984" s="12"/>
      <c r="K984" s="12"/>
      <c r="L984" s="12"/>
      <c r="M984" s="12"/>
      <c r="N984" s="12"/>
      <c r="O984" s="12"/>
      <c r="P984" s="12"/>
    </row>
    <row r="985" spans="1:16" ht="18.600000000000001" customHeight="1" x14ac:dyDescent="0.2">
      <c r="A985" s="35">
        <f t="shared" si="179"/>
        <v>21</v>
      </c>
      <c r="B985" s="13"/>
      <c r="C985" s="14"/>
      <c r="D985" s="37"/>
      <c r="E985" s="14"/>
      <c r="F985" s="14"/>
      <c r="G985" s="14"/>
      <c r="H985" s="14"/>
      <c r="I985" s="87"/>
      <c r="J985" s="14"/>
      <c r="K985" s="14"/>
      <c r="L985" s="14"/>
      <c r="M985" s="14"/>
      <c r="N985" s="14"/>
      <c r="O985" s="14"/>
      <c r="P985" s="14"/>
    </row>
    <row r="986" spans="1:16" ht="18.600000000000001" customHeight="1" x14ac:dyDescent="0.2">
      <c r="A986" s="7">
        <f t="shared" si="179"/>
        <v>22</v>
      </c>
      <c r="B986" s="3"/>
      <c r="C986" s="4"/>
      <c r="D986" s="8"/>
      <c r="E986" s="4"/>
      <c r="F986" s="4"/>
      <c r="G986" s="4"/>
      <c r="H986" s="4"/>
      <c r="I986" s="85"/>
      <c r="J986" s="4"/>
      <c r="K986" s="4"/>
      <c r="L986" s="4"/>
      <c r="M986" s="4"/>
      <c r="N986" s="4"/>
      <c r="O986" s="4"/>
      <c r="P986" s="4"/>
    </row>
    <row r="987" spans="1:16" ht="18.600000000000001" customHeight="1" x14ac:dyDescent="0.2">
      <c r="A987" s="35">
        <f t="shared" si="179"/>
        <v>23</v>
      </c>
      <c r="B987" s="3"/>
      <c r="C987" s="4"/>
      <c r="D987" s="8"/>
      <c r="E987" s="4"/>
      <c r="F987" s="4"/>
      <c r="G987" s="4"/>
      <c r="H987" s="4"/>
      <c r="I987" s="85"/>
      <c r="J987" s="4"/>
      <c r="K987" s="4"/>
      <c r="L987" s="4"/>
      <c r="M987" s="4"/>
      <c r="N987" s="4"/>
      <c r="O987" s="4"/>
      <c r="P987" s="4"/>
    </row>
    <row r="988" spans="1:16" ht="18.600000000000001" customHeight="1" x14ac:dyDescent="0.2">
      <c r="A988" s="7">
        <f t="shared" si="179"/>
        <v>24</v>
      </c>
      <c r="B988" s="3"/>
      <c r="C988" s="4"/>
      <c r="D988" s="8"/>
      <c r="E988" s="4"/>
      <c r="F988" s="4"/>
      <c r="G988" s="4"/>
      <c r="H988" s="4"/>
      <c r="I988" s="85"/>
      <c r="J988" s="4"/>
      <c r="K988" s="4"/>
      <c r="L988" s="4"/>
      <c r="M988" s="4"/>
      <c r="N988" s="4"/>
      <c r="O988" s="4"/>
      <c r="P988" s="4"/>
    </row>
    <row r="989" spans="1:16" ht="18.600000000000001" customHeight="1" x14ac:dyDescent="0.2">
      <c r="A989" s="35">
        <f t="shared" si="179"/>
        <v>25</v>
      </c>
      <c r="B989" s="11"/>
      <c r="C989" s="12"/>
      <c r="D989" s="9"/>
      <c r="E989" s="12"/>
      <c r="F989" s="12"/>
      <c r="G989" s="12"/>
      <c r="H989" s="12"/>
      <c r="I989" s="86"/>
      <c r="J989" s="12"/>
      <c r="K989" s="12"/>
      <c r="L989" s="12"/>
      <c r="M989" s="12"/>
      <c r="N989" s="12"/>
      <c r="O989" s="12"/>
      <c r="P989" s="12"/>
    </row>
    <row r="990" spans="1:16" ht="18.600000000000001" customHeight="1" x14ac:dyDescent="0.3">
      <c r="A990" s="147"/>
      <c r="B990" s="148"/>
      <c r="C990" s="147"/>
      <c r="D990" s="149"/>
      <c r="E990" s="150">
        <f>SUBTOTAL(9,E965:E989)</f>
        <v>0</v>
      </c>
      <c r="F990" s="152"/>
      <c r="G990" s="150">
        <f t="shared" ref="G990" si="180">SUBTOTAL(9,G965:G989)</f>
        <v>0</v>
      </c>
      <c r="H990" s="152"/>
      <c r="I990" s="150">
        <f t="shared" ref="I990" si="181">SUBTOTAL(9,I965:I989)</f>
        <v>0</v>
      </c>
      <c r="J990" s="152"/>
      <c r="K990" s="152"/>
      <c r="L990" s="152"/>
      <c r="M990" s="150">
        <f t="shared" ref="M990" si="182">SUBTOTAL(9,M965:M989)</f>
        <v>0</v>
      </c>
      <c r="N990" s="152"/>
      <c r="O990" s="150">
        <f t="shared" ref="O990" si="183">SUBTOTAL(9,O965:O989)</f>
        <v>0</v>
      </c>
      <c r="P990" s="152"/>
    </row>
    <row r="991" spans="1:16" ht="18.600000000000001" customHeight="1" x14ac:dyDescent="0.2">
      <c r="A991" s="434" t="s">
        <v>1028</v>
      </c>
      <c r="B991" s="434"/>
      <c r="C991" s="434"/>
      <c r="D991" s="434"/>
      <c r="E991" s="434"/>
      <c r="F991" s="434"/>
      <c r="G991" s="434"/>
      <c r="H991" s="434"/>
      <c r="I991" s="92"/>
      <c r="J991" s="48"/>
      <c r="K991" s="48"/>
      <c r="L991" s="48"/>
      <c r="M991" s="41"/>
      <c r="N991" s="41"/>
      <c r="O991" s="41"/>
      <c r="P991" s="41"/>
    </row>
    <row r="992" spans="1:16" ht="18.600000000000001" customHeight="1" x14ac:dyDescent="0.2">
      <c r="A992" s="28"/>
      <c r="B992" s="29"/>
      <c r="C992" s="30"/>
      <c r="D992" s="36"/>
      <c r="E992" s="28"/>
      <c r="F992" s="28"/>
      <c r="G992" s="28"/>
      <c r="H992" s="28"/>
      <c r="I992" s="79"/>
      <c r="J992" s="28"/>
      <c r="K992" s="28"/>
      <c r="L992" s="28"/>
      <c r="M992" s="28"/>
      <c r="N992" s="28"/>
      <c r="O992" s="28"/>
      <c r="P992" s="28"/>
    </row>
    <row r="993" spans="1:16" ht="18.600000000000001" customHeight="1" x14ac:dyDescent="0.2">
      <c r="A993" s="435" t="s">
        <v>374</v>
      </c>
      <c r="B993" s="435" t="s">
        <v>380</v>
      </c>
      <c r="C993" s="435" t="s">
        <v>383</v>
      </c>
      <c r="D993" s="437" t="s">
        <v>384</v>
      </c>
      <c r="E993" s="438" t="s">
        <v>385</v>
      </c>
      <c r="F993" s="439"/>
      <c r="G993" s="432" t="str">
        <f>$R$1</f>
        <v>Hè 1</v>
      </c>
      <c r="H993" s="433"/>
      <c r="I993" s="432" t="str">
        <f>$T$1</f>
        <v>Hè 2</v>
      </c>
      <c r="J993" s="433"/>
      <c r="K993" s="201"/>
      <c r="L993" s="201"/>
      <c r="M993" s="432" t="str">
        <f>$X$1</f>
        <v>.</v>
      </c>
      <c r="N993" s="433"/>
      <c r="O993" s="432" t="str">
        <f>$Z$1</f>
        <v>.</v>
      </c>
      <c r="P993" s="433"/>
    </row>
    <row r="994" spans="1:16" ht="18.600000000000001" customHeight="1" x14ac:dyDescent="0.2">
      <c r="A994" s="436"/>
      <c r="B994" s="436"/>
      <c r="C994" s="436"/>
      <c r="D994" s="436"/>
      <c r="E994" s="31" t="s">
        <v>381</v>
      </c>
      <c r="F994" s="31" t="s">
        <v>382</v>
      </c>
      <c r="G994" s="31" t="s">
        <v>381</v>
      </c>
      <c r="H994" s="31" t="s">
        <v>382</v>
      </c>
      <c r="I994" s="80" t="s">
        <v>381</v>
      </c>
      <c r="J994" s="31" t="s">
        <v>382</v>
      </c>
      <c r="K994" s="31"/>
      <c r="L994" s="31"/>
      <c r="M994" s="31" t="s">
        <v>381</v>
      </c>
      <c r="N994" s="31" t="s">
        <v>382</v>
      </c>
      <c r="O994" s="31" t="s">
        <v>381</v>
      </c>
      <c r="P994" s="31" t="s">
        <v>382</v>
      </c>
    </row>
    <row r="995" spans="1:16" ht="18.600000000000001" customHeight="1" x14ac:dyDescent="0.2">
      <c r="A995" s="32">
        <v>1</v>
      </c>
      <c r="B995" s="26"/>
      <c r="C995" s="26"/>
      <c r="D995" s="22"/>
      <c r="E995" s="32"/>
      <c r="F995" s="34"/>
      <c r="G995" s="32"/>
      <c r="H995" s="93"/>
      <c r="I995" s="81"/>
      <c r="J995" s="34"/>
      <c r="K995" s="34"/>
      <c r="L995" s="34"/>
      <c r="M995" s="32"/>
      <c r="N995" s="34"/>
      <c r="O995" s="32"/>
      <c r="P995" s="34"/>
    </row>
    <row r="996" spans="1:16" ht="18.600000000000001" customHeight="1" x14ac:dyDescent="0.2">
      <c r="A996" s="7">
        <f t="shared" ref="A996:A1019" si="184">A995+1</f>
        <v>2</v>
      </c>
      <c r="B996" s="26"/>
      <c r="C996" s="26"/>
      <c r="D996" s="22"/>
      <c r="E996" s="7"/>
      <c r="F996" s="7"/>
      <c r="G996" s="7"/>
      <c r="H996" s="7"/>
      <c r="I996" s="82"/>
      <c r="J996" s="7"/>
      <c r="K996" s="7"/>
      <c r="L996" s="7"/>
      <c r="M996" s="7"/>
      <c r="N996" s="7"/>
      <c r="O996" s="7"/>
      <c r="P996" s="7"/>
    </row>
    <row r="997" spans="1:16" ht="18.600000000000001" customHeight="1" x14ac:dyDescent="0.2">
      <c r="A997" s="7">
        <f t="shared" si="184"/>
        <v>3</v>
      </c>
      <c r="B997" s="26"/>
      <c r="C997" s="26"/>
      <c r="D997" s="22"/>
      <c r="E997" s="7"/>
      <c r="F997" s="7"/>
      <c r="G997" s="7"/>
      <c r="H997" s="7"/>
      <c r="I997" s="82"/>
      <c r="J997" s="7"/>
      <c r="K997" s="7"/>
      <c r="L997" s="7"/>
      <c r="M997" s="7"/>
      <c r="N997" s="7"/>
      <c r="O997" s="7"/>
      <c r="P997" s="7"/>
    </row>
    <row r="998" spans="1:16" ht="18.600000000000001" customHeight="1" x14ac:dyDescent="0.2">
      <c r="A998" s="7">
        <f t="shared" si="184"/>
        <v>4</v>
      </c>
      <c r="B998" s="26"/>
      <c r="C998" s="26"/>
      <c r="D998" s="22"/>
      <c r="E998" s="7"/>
      <c r="F998" s="7"/>
      <c r="G998" s="7"/>
      <c r="H998" s="7"/>
      <c r="I998" s="82"/>
      <c r="J998" s="7"/>
      <c r="K998" s="7"/>
      <c r="L998" s="7"/>
      <c r="M998" s="7"/>
      <c r="N998" s="7"/>
      <c r="O998" s="7"/>
      <c r="P998" s="7"/>
    </row>
    <row r="999" spans="1:16" ht="18.600000000000001" customHeight="1" x14ac:dyDescent="0.2">
      <c r="A999" s="6">
        <f t="shared" si="184"/>
        <v>5</v>
      </c>
      <c r="B999" s="58"/>
      <c r="C999" s="58"/>
      <c r="D999" s="59"/>
      <c r="E999" s="16"/>
      <c r="F999" s="16"/>
      <c r="G999" s="16"/>
      <c r="H999" s="16"/>
      <c r="I999" s="83"/>
      <c r="J999" s="16"/>
      <c r="K999" s="16"/>
      <c r="L999" s="16"/>
      <c r="M999" s="16"/>
      <c r="N999" s="16"/>
      <c r="O999" s="16"/>
      <c r="P999" s="16"/>
    </row>
    <row r="1000" spans="1:16" ht="18.600000000000001" customHeight="1" x14ac:dyDescent="0.2">
      <c r="A1000" s="56">
        <f t="shared" si="184"/>
        <v>6</v>
      </c>
      <c r="B1000" s="57"/>
      <c r="C1000" s="57"/>
      <c r="D1000" s="21"/>
      <c r="E1000" s="2"/>
      <c r="F1000" s="2"/>
      <c r="G1000" s="2"/>
      <c r="H1000" s="2"/>
      <c r="I1000" s="84"/>
      <c r="J1000" s="2"/>
      <c r="K1000" s="2"/>
      <c r="L1000" s="2"/>
      <c r="M1000" s="2"/>
      <c r="N1000" s="2"/>
      <c r="O1000" s="2"/>
      <c r="P1000" s="2"/>
    </row>
    <row r="1001" spans="1:16" ht="18.600000000000001" customHeight="1" x14ac:dyDescent="0.2">
      <c r="A1001" s="6">
        <f t="shared" si="184"/>
        <v>7</v>
      </c>
      <c r="B1001" s="26"/>
      <c r="C1001" s="26"/>
      <c r="D1001" s="22"/>
      <c r="E1001" s="4"/>
      <c r="F1001" s="4"/>
      <c r="G1001" s="4"/>
      <c r="H1001" s="4"/>
      <c r="I1001" s="85"/>
      <c r="J1001" s="4"/>
      <c r="K1001" s="4"/>
      <c r="L1001" s="4"/>
      <c r="M1001" s="4"/>
      <c r="N1001" s="4"/>
      <c r="O1001" s="4"/>
      <c r="P1001" s="4"/>
    </row>
    <row r="1002" spans="1:16" ht="18.600000000000001" customHeight="1" x14ac:dyDescent="0.2">
      <c r="A1002" s="6">
        <f t="shared" si="184"/>
        <v>8</v>
      </c>
      <c r="B1002" s="26"/>
      <c r="C1002" s="26"/>
      <c r="D1002" s="22"/>
      <c r="E1002" s="4"/>
      <c r="F1002" s="4"/>
      <c r="G1002" s="4"/>
      <c r="H1002" s="4"/>
      <c r="I1002" s="85"/>
      <c r="J1002" s="4"/>
      <c r="K1002" s="4"/>
      <c r="L1002" s="4"/>
      <c r="M1002" s="4"/>
      <c r="N1002" s="4"/>
      <c r="O1002" s="4"/>
      <c r="P1002" s="4"/>
    </row>
    <row r="1003" spans="1:16" ht="18.600000000000001" customHeight="1" x14ac:dyDescent="0.2">
      <c r="A1003" s="6">
        <f t="shared" si="184"/>
        <v>9</v>
      </c>
      <c r="B1003" s="26"/>
      <c r="C1003" s="26"/>
      <c r="D1003" s="22"/>
      <c r="E1003" s="4"/>
      <c r="F1003" s="4"/>
      <c r="G1003" s="4"/>
      <c r="H1003" s="4"/>
      <c r="I1003" s="85"/>
      <c r="J1003" s="4"/>
      <c r="K1003" s="4"/>
      <c r="L1003" s="4"/>
      <c r="M1003" s="4"/>
      <c r="N1003" s="4"/>
      <c r="O1003" s="4"/>
      <c r="P1003" s="4"/>
    </row>
    <row r="1004" spans="1:16" ht="18.600000000000001" customHeight="1" x14ac:dyDescent="0.2">
      <c r="A1004" s="10">
        <f t="shared" si="184"/>
        <v>10</v>
      </c>
      <c r="B1004" s="62"/>
      <c r="C1004" s="62"/>
      <c r="D1004" s="23"/>
      <c r="E1004" s="12"/>
      <c r="F1004" s="12"/>
      <c r="G1004" s="12"/>
      <c r="H1004" s="12"/>
      <c r="I1004" s="86"/>
      <c r="J1004" s="12"/>
      <c r="K1004" s="12"/>
      <c r="L1004" s="12"/>
      <c r="M1004" s="12"/>
      <c r="N1004" s="12"/>
      <c r="O1004" s="12"/>
      <c r="P1004" s="12"/>
    </row>
    <row r="1005" spans="1:16" ht="18.600000000000001" customHeight="1" x14ac:dyDescent="0.2">
      <c r="A1005" s="35">
        <f t="shared" si="184"/>
        <v>11</v>
      </c>
      <c r="B1005" s="60"/>
      <c r="C1005" s="60"/>
      <c r="D1005" s="61"/>
      <c r="E1005" s="14"/>
      <c r="F1005" s="14"/>
      <c r="G1005" s="14"/>
      <c r="H1005" s="14"/>
      <c r="I1005" s="87"/>
      <c r="J1005" s="14"/>
      <c r="K1005" s="14"/>
      <c r="L1005" s="14"/>
      <c r="M1005" s="14"/>
      <c r="N1005" s="14"/>
      <c r="O1005" s="14"/>
      <c r="P1005" s="14"/>
    </row>
    <row r="1006" spans="1:16" ht="18.600000000000001" customHeight="1" x14ac:dyDescent="0.2">
      <c r="A1006" s="7">
        <f t="shared" si="184"/>
        <v>12</v>
      </c>
      <c r="B1006" s="26"/>
      <c r="C1006" s="26"/>
      <c r="D1006" s="22"/>
      <c r="E1006" s="4"/>
      <c r="F1006" s="4"/>
      <c r="G1006" s="4"/>
      <c r="H1006" s="4"/>
      <c r="I1006" s="85"/>
      <c r="J1006" s="4"/>
      <c r="K1006" s="4"/>
      <c r="L1006" s="4"/>
      <c r="M1006" s="4"/>
      <c r="N1006" s="4"/>
      <c r="O1006" s="4"/>
      <c r="P1006" s="4"/>
    </row>
    <row r="1007" spans="1:16" ht="18.600000000000001" customHeight="1" x14ac:dyDescent="0.2">
      <c r="A1007" s="7">
        <f t="shared" si="184"/>
        <v>13</v>
      </c>
      <c r="B1007" s="26"/>
      <c r="C1007" s="26"/>
      <c r="D1007" s="22"/>
      <c r="E1007" s="4"/>
      <c r="F1007" s="4"/>
      <c r="G1007" s="4"/>
      <c r="H1007" s="4"/>
      <c r="I1007" s="85"/>
      <c r="J1007" s="4"/>
      <c r="K1007" s="4"/>
      <c r="L1007" s="4"/>
      <c r="M1007" s="4"/>
      <c r="N1007" s="4"/>
      <c r="O1007" s="4"/>
      <c r="P1007" s="4"/>
    </row>
    <row r="1008" spans="1:16" ht="18.600000000000001" customHeight="1" x14ac:dyDescent="0.2">
      <c r="A1008" s="7">
        <f t="shared" si="184"/>
        <v>14</v>
      </c>
      <c r="B1008" s="3"/>
      <c r="C1008" s="4"/>
      <c r="D1008" s="8"/>
      <c r="E1008" s="4"/>
      <c r="F1008" s="4"/>
      <c r="G1008" s="4"/>
      <c r="H1008" s="4"/>
      <c r="I1008" s="85"/>
      <c r="J1008" s="4"/>
      <c r="K1008" s="4"/>
      <c r="L1008" s="4"/>
      <c r="M1008" s="4"/>
      <c r="N1008" s="4"/>
      <c r="O1008" s="4"/>
      <c r="P1008" s="4"/>
    </row>
    <row r="1009" spans="1:16" ht="18.600000000000001" customHeight="1" x14ac:dyDescent="0.2">
      <c r="A1009" s="6">
        <f t="shared" si="184"/>
        <v>15</v>
      </c>
      <c r="B1009" s="15"/>
      <c r="C1009" s="16"/>
      <c r="D1009" s="5"/>
      <c r="E1009" s="16"/>
      <c r="F1009" s="16"/>
      <c r="G1009" s="16"/>
      <c r="H1009" s="16"/>
      <c r="I1009" s="83"/>
      <c r="J1009" s="16"/>
      <c r="K1009" s="16"/>
      <c r="L1009" s="16"/>
      <c r="M1009" s="16"/>
      <c r="N1009" s="16"/>
      <c r="O1009" s="16"/>
      <c r="P1009" s="16"/>
    </row>
    <row r="1010" spans="1:16" ht="18.600000000000001" customHeight="1" x14ac:dyDescent="0.2">
      <c r="A1010" s="32">
        <f t="shared" si="184"/>
        <v>16</v>
      </c>
      <c r="B1010" s="1"/>
      <c r="C1010" s="2"/>
      <c r="D1010" s="33"/>
      <c r="E1010" s="2"/>
      <c r="F1010" s="2"/>
      <c r="G1010" s="2"/>
      <c r="H1010" s="2"/>
      <c r="I1010" s="84"/>
      <c r="J1010" s="2"/>
      <c r="K1010" s="2"/>
      <c r="L1010" s="2"/>
      <c r="M1010" s="2"/>
      <c r="N1010" s="2"/>
      <c r="O1010" s="2"/>
      <c r="P1010" s="2"/>
    </row>
    <row r="1011" spans="1:16" ht="18.600000000000001" customHeight="1" x14ac:dyDescent="0.2">
      <c r="A1011" s="7">
        <f t="shared" si="184"/>
        <v>17</v>
      </c>
      <c r="B1011" s="3"/>
      <c r="C1011" s="4"/>
      <c r="D1011" s="8"/>
      <c r="E1011" s="4"/>
      <c r="F1011" s="4"/>
      <c r="G1011" s="4"/>
      <c r="H1011" s="4"/>
      <c r="I1011" s="85"/>
      <c r="J1011" s="4"/>
      <c r="K1011" s="4"/>
      <c r="L1011" s="4"/>
      <c r="M1011" s="4"/>
      <c r="N1011" s="4"/>
      <c r="O1011" s="4"/>
      <c r="P1011" s="4"/>
    </row>
    <row r="1012" spans="1:16" ht="18.600000000000001" customHeight="1" x14ac:dyDescent="0.2">
      <c r="A1012" s="7">
        <f t="shared" si="184"/>
        <v>18</v>
      </c>
      <c r="B1012" s="3"/>
      <c r="C1012" s="4"/>
      <c r="D1012" s="8"/>
      <c r="E1012" s="4"/>
      <c r="F1012" s="4"/>
      <c r="G1012" s="4"/>
      <c r="H1012" s="4"/>
      <c r="I1012" s="85"/>
      <c r="J1012" s="4"/>
      <c r="K1012" s="4"/>
      <c r="L1012" s="4"/>
      <c r="M1012" s="4"/>
      <c r="N1012" s="4"/>
      <c r="O1012" s="4"/>
      <c r="P1012" s="4"/>
    </row>
    <row r="1013" spans="1:16" ht="18.600000000000001" customHeight="1" x14ac:dyDescent="0.2">
      <c r="A1013" s="7">
        <f t="shared" si="184"/>
        <v>19</v>
      </c>
      <c r="B1013" s="3"/>
      <c r="C1013" s="4"/>
      <c r="D1013" s="8"/>
      <c r="E1013" s="4"/>
      <c r="F1013" s="4"/>
      <c r="G1013" s="4"/>
      <c r="H1013" s="4"/>
      <c r="I1013" s="85"/>
      <c r="J1013" s="4"/>
      <c r="K1013" s="4"/>
      <c r="L1013" s="4"/>
      <c r="M1013" s="4"/>
      <c r="N1013" s="4"/>
      <c r="O1013" s="4"/>
      <c r="P1013" s="4"/>
    </row>
    <row r="1014" spans="1:16" ht="18.600000000000001" customHeight="1" x14ac:dyDescent="0.2">
      <c r="A1014" s="10">
        <f t="shared" si="184"/>
        <v>20</v>
      </c>
      <c r="B1014" s="11"/>
      <c r="C1014" s="12"/>
      <c r="D1014" s="9"/>
      <c r="E1014" s="12"/>
      <c r="F1014" s="12"/>
      <c r="G1014" s="12"/>
      <c r="H1014" s="12"/>
      <c r="I1014" s="86"/>
      <c r="J1014" s="12"/>
      <c r="K1014" s="12"/>
      <c r="L1014" s="12"/>
      <c r="M1014" s="12"/>
      <c r="N1014" s="12"/>
      <c r="O1014" s="12"/>
      <c r="P1014" s="12"/>
    </row>
    <row r="1015" spans="1:16" ht="18.600000000000001" customHeight="1" x14ac:dyDescent="0.2">
      <c r="A1015" s="35">
        <f t="shared" si="184"/>
        <v>21</v>
      </c>
      <c r="B1015" s="13"/>
      <c r="C1015" s="14"/>
      <c r="D1015" s="37"/>
      <c r="E1015" s="14"/>
      <c r="F1015" s="14"/>
      <c r="G1015" s="14"/>
      <c r="H1015" s="14"/>
      <c r="I1015" s="87"/>
      <c r="J1015" s="14"/>
      <c r="K1015" s="14"/>
      <c r="L1015" s="14"/>
      <c r="M1015" s="14"/>
      <c r="N1015" s="14"/>
      <c r="O1015" s="14"/>
      <c r="P1015" s="14"/>
    </row>
    <row r="1016" spans="1:16" ht="18.600000000000001" customHeight="1" x14ac:dyDescent="0.2">
      <c r="A1016" s="7">
        <f t="shared" si="184"/>
        <v>22</v>
      </c>
      <c r="B1016" s="3"/>
      <c r="C1016" s="4"/>
      <c r="D1016" s="8"/>
      <c r="E1016" s="4"/>
      <c r="F1016" s="4"/>
      <c r="G1016" s="4"/>
      <c r="H1016" s="4"/>
      <c r="I1016" s="85"/>
      <c r="J1016" s="4"/>
      <c r="K1016" s="4"/>
      <c r="L1016" s="4"/>
      <c r="M1016" s="4"/>
      <c r="N1016" s="4"/>
      <c r="O1016" s="4"/>
      <c r="P1016" s="4"/>
    </row>
    <row r="1017" spans="1:16" ht="18.600000000000001" customHeight="1" x14ac:dyDescent="0.2">
      <c r="A1017" s="35">
        <f t="shared" si="184"/>
        <v>23</v>
      </c>
      <c r="B1017" s="3"/>
      <c r="C1017" s="4"/>
      <c r="D1017" s="8"/>
      <c r="E1017" s="4"/>
      <c r="F1017" s="4"/>
      <c r="G1017" s="4"/>
      <c r="H1017" s="4"/>
      <c r="I1017" s="85"/>
      <c r="J1017" s="4"/>
      <c r="K1017" s="4"/>
      <c r="L1017" s="4"/>
      <c r="M1017" s="4"/>
      <c r="N1017" s="4"/>
      <c r="O1017" s="4"/>
      <c r="P1017" s="4"/>
    </row>
    <row r="1018" spans="1:16" ht="18.600000000000001" customHeight="1" x14ac:dyDescent="0.2">
      <c r="A1018" s="7">
        <f t="shared" si="184"/>
        <v>24</v>
      </c>
      <c r="B1018" s="3"/>
      <c r="C1018" s="4"/>
      <c r="D1018" s="8"/>
      <c r="E1018" s="4"/>
      <c r="F1018" s="4"/>
      <c r="G1018" s="4"/>
      <c r="H1018" s="4"/>
      <c r="I1018" s="85"/>
      <c r="J1018" s="4"/>
      <c r="K1018" s="4"/>
      <c r="L1018" s="4"/>
      <c r="M1018" s="4"/>
      <c r="N1018" s="4"/>
      <c r="O1018" s="4"/>
      <c r="P1018" s="4"/>
    </row>
    <row r="1019" spans="1:16" ht="18.600000000000001" customHeight="1" x14ac:dyDescent="0.2">
      <c r="A1019" s="35">
        <f t="shared" si="184"/>
        <v>25</v>
      </c>
      <c r="B1019" s="11"/>
      <c r="C1019" s="12"/>
      <c r="D1019" s="9"/>
      <c r="E1019" s="12"/>
      <c r="F1019" s="12"/>
      <c r="G1019" s="12"/>
      <c r="H1019" s="12"/>
      <c r="I1019" s="86"/>
      <c r="J1019" s="12"/>
      <c r="K1019" s="12"/>
      <c r="L1019" s="12"/>
      <c r="M1019" s="12"/>
      <c r="N1019" s="12"/>
      <c r="O1019" s="12"/>
      <c r="P1019" s="12"/>
    </row>
    <row r="1020" spans="1:16" ht="18.600000000000001" customHeight="1" x14ac:dyDescent="0.3">
      <c r="A1020" s="147"/>
      <c r="B1020" s="148"/>
      <c r="C1020" s="147"/>
      <c r="D1020" s="149"/>
      <c r="E1020" s="150">
        <f>SUBTOTAL(9,E995:E1019)</f>
        <v>0</v>
      </c>
      <c r="F1020" s="152"/>
      <c r="G1020" s="150">
        <f t="shared" ref="G1020" si="185">SUBTOTAL(9,G995:G1019)</f>
        <v>0</v>
      </c>
      <c r="H1020" s="152"/>
      <c r="I1020" s="150">
        <f t="shared" ref="I1020" si="186">SUBTOTAL(9,I995:I1019)</f>
        <v>0</v>
      </c>
      <c r="J1020" s="152"/>
      <c r="K1020" s="152"/>
      <c r="L1020" s="152"/>
      <c r="M1020" s="150">
        <f t="shared" ref="M1020" si="187">SUBTOTAL(9,M995:M1019)</f>
        <v>0</v>
      </c>
      <c r="N1020" s="152"/>
      <c r="O1020" s="150">
        <f t="shared" ref="O1020" si="188">SUBTOTAL(9,O995:O1019)</f>
        <v>0</v>
      </c>
      <c r="P1020" s="152"/>
    </row>
    <row r="1021" spans="1:16" ht="18.600000000000001" customHeight="1" x14ac:dyDescent="0.2">
      <c r="A1021" s="434" t="str">
        <f>A991</f>
        <v>DANH SÁCH LỚP KET</v>
      </c>
      <c r="B1021" s="434"/>
      <c r="C1021" s="434"/>
      <c r="D1021" s="434"/>
      <c r="E1021" s="434"/>
      <c r="F1021" s="434"/>
      <c r="G1021" s="434"/>
      <c r="H1021" s="434"/>
      <c r="I1021" s="92"/>
      <c r="J1021" s="48"/>
      <c r="K1021" s="48"/>
      <c r="L1021" s="48"/>
      <c r="M1021" s="41"/>
      <c r="N1021" s="41"/>
      <c r="O1021" s="41"/>
      <c r="P1021" s="41"/>
    </row>
    <row r="1022" spans="1:16" ht="18.600000000000001" customHeight="1" x14ac:dyDescent="0.2">
      <c r="A1022" s="28"/>
      <c r="B1022" s="29"/>
      <c r="C1022" s="30"/>
      <c r="D1022" s="36"/>
      <c r="E1022" s="28"/>
      <c r="F1022" s="28"/>
      <c r="G1022" s="28"/>
      <c r="H1022" s="28"/>
      <c r="I1022" s="79"/>
      <c r="J1022" s="28"/>
      <c r="K1022" s="28"/>
      <c r="L1022" s="28"/>
      <c r="M1022" s="28"/>
      <c r="N1022" s="28"/>
      <c r="O1022" s="28"/>
      <c r="P1022" s="28"/>
    </row>
    <row r="1023" spans="1:16" ht="18.600000000000001" customHeight="1" x14ac:dyDescent="0.2">
      <c r="A1023" s="435" t="s">
        <v>374</v>
      </c>
      <c r="B1023" s="435" t="s">
        <v>380</v>
      </c>
      <c r="C1023" s="435" t="s">
        <v>383</v>
      </c>
      <c r="D1023" s="437" t="s">
        <v>384</v>
      </c>
      <c r="E1023" s="438" t="s">
        <v>385</v>
      </c>
      <c r="F1023" s="439"/>
      <c r="G1023" s="432" t="str">
        <f>$R$1</f>
        <v>Hè 1</v>
      </c>
      <c r="H1023" s="433"/>
      <c r="I1023" s="432" t="str">
        <f>$T$1</f>
        <v>Hè 2</v>
      </c>
      <c r="J1023" s="433"/>
      <c r="K1023" s="201"/>
      <c r="L1023" s="201"/>
      <c r="M1023" s="432" t="str">
        <f>$X$1</f>
        <v>.</v>
      </c>
      <c r="N1023" s="433"/>
      <c r="O1023" s="432" t="str">
        <f>$Z$1</f>
        <v>.</v>
      </c>
      <c r="P1023" s="433"/>
    </row>
    <row r="1024" spans="1:16" ht="18.600000000000001" customHeight="1" x14ac:dyDescent="0.2">
      <c r="A1024" s="436"/>
      <c r="B1024" s="436"/>
      <c r="C1024" s="436"/>
      <c r="D1024" s="436"/>
      <c r="E1024" s="31" t="s">
        <v>381</v>
      </c>
      <c r="F1024" s="31" t="s">
        <v>382</v>
      </c>
      <c r="G1024" s="31" t="s">
        <v>381</v>
      </c>
      <c r="H1024" s="31" t="s">
        <v>382</v>
      </c>
      <c r="I1024" s="80" t="s">
        <v>381</v>
      </c>
      <c r="J1024" s="31" t="s">
        <v>382</v>
      </c>
      <c r="K1024" s="31"/>
      <c r="L1024" s="31"/>
      <c r="M1024" s="31" t="s">
        <v>381</v>
      </c>
      <c r="N1024" s="31" t="s">
        <v>382</v>
      </c>
      <c r="O1024" s="31" t="s">
        <v>381</v>
      </c>
      <c r="P1024" s="31" t="s">
        <v>382</v>
      </c>
    </row>
    <row r="1025" spans="1:16" ht="18.600000000000001" customHeight="1" x14ac:dyDescent="0.2">
      <c r="A1025" s="32">
        <v>1</v>
      </c>
      <c r="B1025" s="26"/>
      <c r="C1025" s="26"/>
      <c r="D1025" s="22"/>
      <c r="E1025" s="32"/>
      <c r="F1025" s="34"/>
      <c r="G1025" s="32"/>
      <c r="H1025" s="93"/>
      <c r="I1025" s="81"/>
      <c r="J1025" s="34"/>
      <c r="K1025" s="34"/>
      <c r="L1025" s="34"/>
      <c r="M1025" s="32"/>
      <c r="N1025" s="34"/>
      <c r="O1025" s="32"/>
      <c r="P1025" s="34"/>
    </row>
    <row r="1026" spans="1:16" ht="18.600000000000001" customHeight="1" x14ac:dyDescent="0.2">
      <c r="A1026" s="7">
        <f t="shared" ref="A1026:A1049" si="189">A1025+1</f>
        <v>2</v>
      </c>
      <c r="B1026" s="26"/>
      <c r="C1026" s="26"/>
      <c r="D1026" s="22"/>
      <c r="E1026" s="7"/>
      <c r="F1026" s="7"/>
      <c r="G1026" s="7"/>
      <c r="H1026" s="7"/>
      <c r="I1026" s="82"/>
      <c r="J1026" s="7"/>
      <c r="K1026" s="7"/>
      <c r="L1026" s="7"/>
      <c r="M1026" s="7"/>
      <c r="N1026" s="7"/>
      <c r="O1026" s="7"/>
      <c r="P1026" s="7"/>
    </row>
    <row r="1027" spans="1:16" ht="18.600000000000001" customHeight="1" x14ac:dyDescent="0.2">
      <c r="A1027" s="7">
        <f t="shared" si="189"/>
        <v>3</v>
      </c>
      <c r="B1027" s="26"/>
      <c r="C1027" s="26"/>
      <c r="D1027" s="22"/>
      <c r="E1027" s="7"/>
      <c r="F1027" s="7"/>
      <c r="G1027" s="7"/>
      <c r="H1027" s="7"/>
      <c r="I1027" s="82"/>
      <c r="J1027" s="7"/>
      <c r="K1027" s="7"/>
      <c r="L1027" s="7"/>
      <c r="M1027" s="7"/>
      <c r="N1027" s="7"/>
      <c r="O1027" s="7"/>
      <c r="P1027" s="7"/>
    </row>
    <row r="1028" spans="1:16" ht="18.600000000000001" customHeight="1" x14ac:dyDescent="0.2">
      <c r="A1028" s="7">
        <f t="shared" si="189"/>
        <v>4</v>
      </c>
      <c r="B1028" s="26"/>
      <c r="C1028" s="26"/>
      <c r="D1028" s="22"/>
      <c r="E1028" s="7"/>
      <c r="F1028" s="7"/>
      <c r="G1028" s="7"/>
      <c r="H1028" s="7"/>
      <c r="I1028" s="82"/>
      <c r="J1028" s="7"/>
      <c r="K1028" s="7"/>
      <c r="L1028" s="7"/>
      <c r="M1028" s="7"/>
      <c r="N1028" s="7"/>
      <c r="O1028" s="7"/>
      <c r="P1028" s="7"/>
    </row>
    <row r="1029" spans="1:16" ht="18.600000000000001" customHeight="1" x14ac:dyDescent="0.2">
      <c r="A1029" s="6">
        <f t="shared" si="189"/>
        <v>5</v>
      </c>
      <c r="B1029" s="58"/>
      <c r="C1029" s="58"/>
      <c r="D1029" s="59"/>
      <c r="E1029" s="16"/>
      <c r="F1029" s="16"/>
      <c r="G1029" s="16"/>
      <c r="H1029" s="16"/>
      <c r="I1029" s="83"/>
      <c r="J1029" s="16"/>
      <c r="K1029" s="16"/>
      <c r="L1029" s="16"/>
      <c r="M1029" s="16"/>
      <c r="N1029" s="16"/>
      <c r="O1029" s="16"/>
      <c r="P1029" s="16"/>
    </row>
    <row r="1030" spans="1:16" ht="18.600000000000001" customHeight="1" x14ac:dyDescent="0.2">
      <c r="A1030" s="56">
        <f t="shared" si="189"/>
        <v>6</v>
      </c>
      <c r="B1030" s="57"/>
      <c r="C1030" s="57"/>
      <c r="D1030" s="21"/>
      <c r="E1030" s="2"/>
      <c r="F1030" s="2"/>
      <c r="G1030" s="2"/>
      <c r="H1030" s="2"/>
      <c r="I1030" s="84"/>
      <c r="J1030" s="2"/>
      <c r="K1030" s="2"/>
      <c r="L1030" s="2"/>
      <c r="M1030" s="2"/>
      <c r="N1030" s="2"/>
      <c r="O1030" s="2"/>
      <c r="P1030" s="2"/>
    </row>
    <row r="1031" spans="1:16" ht="18.600000000000001" customHeight="1" x14ac:dyDescent="0.2">
      <c r="A1031" s="6">
        <f t="shared" si="189"/>
        <v>7</v>
      </c>
      <c r="B1031" s="26"/>
      <c r="C1031" s="26"/>
      <c r="D1031" s="22"/>
      <c r="E1031" s="4"/>
      <c r="F1031" s="4"/>
      <c r="G1031" s="4"/>
      <c r="H1031" s="4"/>
      <c r="I1031" s="85"/>
      <c r="J1031" s="4"/>
      <c r="K1031" s="4"/>
      <c r="L1031" s="4"/>
      <c r="M1031" s="4"/>
      <c r="N1031" s="4"/>
      <c r="O1031" s="4"/>
      <c r="P1031" s="4"/>
    </row>
    <row r="1032" spans="1:16" ht="18.600000000000001" customHeight="1" x14ac:dyDescent="0.2">
      <c r="A1032" s="6">
        <f t="shared" si="189"/>
        <v>8</v>
      </c>
      <c r="B1032" s="26"/>
      <c r="C1032" s="26"/>
      <c r="D1032" s="22"/>
      <c r="E1032" s="4"/>
      <c r="F1032" s="4"/>
      <c r="G1032" s="4"/>
      <c r="H1032" s="4"/>
      <c r="I1032" s="85"/>
      <c r="J1032" s="4"/>
      <c r="K1032" s="4"/>
      <c r="L1032" s="4"/>
      <c r="M1032" s="4"/>
      <c r="N1032" s="4"/>
      <c r="O1032" s="4"/>
      <c r="P1032" s="4"/>
    </row>
    <row r="1033" spans="1:16" ht="18.600000000000001" customHeight="1" x14ac:dyDescent="0.2">
      <c r="A1033" s="6">
        <f t="shared" si="189"/>
        <v>9</v>
      </c>
      <c r="B1033" s="26"/>
      <c r="C1033" s="26"/>
      <c r="D1033" s="22"/>
      <c r="E1033" s="4"/>
      <c r="F1033" s="4"/>
      <c r="G1033" s="4"/>
      <c r="H1033" s="4"/>
      <c r="I1033" s="85"/>
      <c r="J1033" s="4"/>
      <c r="K1033" s="4"/>
      <c r="L1033" s="4"/>
      <c r="M1033" s="4"/>
      <c r="N1033" s="4"/>
      <c r="O1033" s="4"/>
      <c r="P1033" s="4"/>
    </row>
    <row r="1034" spans="1:16" ht="18.600000000000001" customHeight="1" x14ac:dyDescent="0.2">
      <c r="A1034" s="10">
        <f t="shared" si="189"/>
        <v>10</v>
      </c>
      <c r="B1034" s="62"/>
      <c r="C1034" s="62"/>
      <c r="D1034" s="23"/>
      <c r="E1034" s="12"/>
      <c r="F1034" s="12"/>
      <c r="G1034" s="12"/>
      <c r="H1034" s="12"/>
      <c r="I1034" s="86"/>
      <c r="J1034" s="12"/>
      <c r="K1034" s="12"/>
      <c r="L1034" s="12"/>
      <c r="M1034" s="12"/>
      <c r="N1034" s="12"/>
      <c r="O1034" s="12"/>
      <c r="P1034" s="12"/>
    </row>
    <row r="1035" spans="1:16" ht="18.600000000000001" customHeight="1" x14ac:dyDescent="0.2">
      <c r="A1035" s="35">
        <f t="shared" si="189"/>
        <v>11</v>
      </c>
      <c r="B1035" s="60"/>
      <c r="C1035" s="60"/>
      <c r="D1035" s="61"/>
      <c r="E1035" s="14"/>
      <c r="F1035" s="14"/>
      <c r="G1035" s="14"/>
      <c r="H1035" s="14"/>
      <c r="I1035" s="87"/>
      <c r="J1035" s="14"/>
      <c r="K1035" s="14"/>
      <c r="L1035" s="14"/>
      <c r="M1035" s="14"/>
      <c r="N1035" s="14"/>
      <c r="O1035" s="14"/>
      <c r="P1035" s="14"/>
    </row>
    <row r="1036" spans="1:16" ht="18.600000000000001" customHeight="1" x14ac:dyDescent="0.2">
      <c r="A1036" s="7">
        <f t="shared" si="189"/>
        <v>12</v>
      </c>
      <c r="B1036" s="26"/>
      <c r="C1036" s="26"/>
      <c r="D1036" s="22"/>
      <c r="E1036" s="4"/>
      <c r="F1036" s="4"/>
      <c r="G1036" s="4"/>
      <c r="H1036" s="4"/>
      <c r="I1036" s="85"/>
      <c r="J1036" s="4"/>
      <c r="K1036" s="4"/>
      <c r="L1036" s="4"/>
      <c r="M1036" s="4"/>
      <c r="N1036" s="4"/>
      <c r="O1036" s="4"/>
      <c r="P1036" s="4"/>
    </row>
    <row r="1037" spans="1:16" ht="18.600000000000001" customHeight="1" x14ac:dyDescent="0.2">
      <c r="A1037" s="7">
        <f t="shared" si="189"/>
        <v>13</v>
      </c>
      <c r="B1037" s="26"/>
      <c r="C1037" s="26"/>
      <c r="D1037" s="22"/>
      <c r="E1037" s="4"/>
      <c r="F1037" s="4"/>
      <c r="G1037" s="4"/>
      <c r="H1037" s="4"/>
      <c r="I1037" s="85"/>
      <c r="J1037" s="4"/>
      <c r="K1037" s="4"/>
      <c r="L1037" s="4"/>
      <c r="M1037" s="4"/>
      <c r="N1037" s="4"/>
      <c r="O1037" s="4"/>
      <c r="P1037" s="4"/>
    </row>
    <row r="1038" spans="1:16" ht="18.600000000000001" customHeight="1" x14ac:dyDescent="0.2">
      <c r="A1038" s="7">
        <f t="shared" si="189"/>
        <v>14</v>
      </c>
      <c r="B1038" s="3"/>
      <c r="C1038" s="4"/>
      <c r="D1038" s="8"/>
      <c r="E1038" s="4"/>
      <c r="F1038" s="4"/>
      <c r="G1038" s="4"/>
      <c r="H1038" s="4"/>
      <c r="I1038" s="85"/>
      <c r="J1038" s="4"/>
      <c r="K1038" s="4"/>
      <c r="L1038" s="4"/>
      <c r="M1038" s="4"/>
      <c r="N1038" s="4"/>
      <c r="O1038" s="4"/>
      <c r="P1038" s="4"/>
    </row>
    <row r="1039" spans="1:16" ht="18.600000000000001" customHeight="1" x14ac:dyDescent="0.2">
      <c r="A1039" s="6">
        <f t="shared" si="189"/>
        <v>15</v>
      </c>
      <c r="B1039" s="15"/>
      <c r="C1039" s="16"/>
      <c r="D1039" s="5"/>
      <c r="E1039" s="16"/>
      <c r="F1039" s="16"/>
      <c r="G1039" s="16"/>
      <c r="H1039" s="16"/>
      <c r="I1039" s="83"/>
      <c r="J1039" s="16"/>
      <c r="K1039" s="16"/>
      <c r="L1039" s="16"/>
      <c r="M1039" s="16"/>
      <c r="N1039" s="16"/>
      <c r="O1039" s="16"/>
      <c r="P1039" s="16"/>
    </row>
    <row r="1040" spans="1:16" ht="18.600000000000001" customHeight="1" x14ac:dyDescent="0.2">
      <c r="A1040" s="32">
        <f t="shared" si="189"/>
        <v>16</v>
      </c>
      <c r="B1040" s="1"/>
      <c r="C1040" s="2"/>
      <c r="D1040" s="33"/>
      <c r="E1040" s="2"/>
      <c r="F1040" s="2"/>
      <c r="G1040" s="2"/>
      <c r="H1040" s="2"/>
      <c r="I1040" s="84"/>
      <c r="J1040" s="2"/>
      <c r="K1040" s="2"/>
      <c r="L1040" s="2"/>
      <c r="M1040" s="2"/>
      <c r="N1040" s="2"/>
      <c r="O1040" s="2"/>
      <c r="P1040" s="2"/>
    </row>
    <row r="1041" spans="1:16" ht="18.600000000000001" customHeight="1" x14ac:dyDescent="0.2">
      <c r="A1041" s="7">
        <f t="shared" si="189"/>
        <v>17</v>
      </c>
      <c r="B1041" s="3"/>
      <c r="C1041" s="4"/>
      <c r="D1041" s="8"/>
      <c r="E1041" s="4"/>
      <c r="F1041" s="4"/>
      <c r="G1041" s="4"/>
      <c r="H1041" s="4"/>
      <c r="I1041" s="85"/>
      <c r="J1041" s="4"/>
      <c r="K1041" s="4"/>
      <c r="L1041" s="4"/>
      <c r="M1041" s="4"/>
      <c r="N1041" s="4"/>
      <c r="O1041" s="4"/>
      <c r="P1041" s="4"/>
    </row>
    <row r="1042" spans="1:16" ht="18.600000000000001" customHeight="1" x14ac:dyDescent="0.2">
      <c r="A1042" s="7">
        <f t="shared" si="189"/>
        <v>18</v>
      </c>
      <c r="B1042" s="3"/>
      <c r="C1042" s="4"/>
      <c r="D1042" s="8"/>
      <c r="E1042" s="4"/>
      <c r="F1042" s="4"/>
      <c r="G1042" s="4"/>
      <c r="H1042" s="4"/>
      <c r="I1042" s="85"/>
      <c r="J1042" s="4"/>
      <c r="K1042" s="4"/>
      <c r="L1042" s="4"/>
      <c r="M1042" s="4"/>
      <c r="N1042" s="4"/>
      <c r="O1042" s="4"/>
      <c r="P1042" s="4"/>
    </row>
    <row r="1043" spans="1:16" ht="18.600000000000001" customHeight="1" x14ac:dyDescent="0.2">
      <c r="A1043" s="7">
        <f t="shared" si="189"/>
        <v>19</v>
      </c>
      <c r="B1043" s="3"/>
      <c r="C1043" s="4"/>
      <c r="D1043" s="8"/>
      <c r="E1043" s="4"/>
      <c r="F1043" s="4"/>
      <c r="G1043" s="4"/>
      <c r="H1043" s="4"/>
      <c r="I1043" s="85"/>
      <c r="J1043" s="4"/>
      <c r="K1043" s="4"/>
      <c r="L1043" s="4"/>
      <c r="M1043" s="4"/>
      <c r="N1043" s="4"/>
      <c r="O1043" s="4"/>
      <c r="P1043" s="4"/>
    </row>
    <row r="1044" spans="1:16" ht="18.600000000000001" customHeight="1" x14ac:dyDescent="0.2">
      <c r="A1044" s="10">
        <f t="shared" si="189"/>
        <v>20</v>
      </c>
      <c r="B1044" s="11"/>
      <c r="C1044" s="12"/>
      <c r="D1044" s="9"/>
      <c r="E1044" s="12"/>
      <c r="F1044" s="12"/>
      <c r="G1044" s="12"/>
      <c r="H1044" s="12"/>
      <c r="I1044" s="86"/>
      <c r="J1044" s="12"/>
      <c r="K1044" s="12"/>
      <c r="L1044" s="12"/>
      <c r="M1044" s="12"/>
      <c r="N1044" s="12"/>
      <c r="O1044" s="12"/>
      <c r="P1044" s="12"/>
    </row>
    <row r="1045" spans="1:16" ht="18.600000000000001" customHeight="1" x14ac:dyDescent="0.2">
      <c r="A1045" s="35">
        <f t="shared" si="189"/>
        <v>21</v>
      </c>
      <c r="B1045" s="13"/>
      <c r="C1045" s="14"/>
      <c r="D1045" s="37"/>
      <c r="E1045" s="14"/>
      <c r="F1045" s="14"/>
      <c r="G1045" s="14"/>
      <c r="H1045" s="14"/>
      <c r="I1045" s="87"/>
      <c r="J1045" s="14"/>
      <c r="K1045" s="14"/>
      <c r="L1045" s="14"/>
      <c r="M1045" s="14"/>
      <c r="N1045" s="14"/>
      <c r="O1045" s="14"/>
      <c r="P1045" s="14"/>
    </row>
    <row r="1046" spans="1:16" ht="18.600000000000001" customHeight="1" x14ac:dyDescent="0.2">
      <c r="A1046" s="7">
        <f t="shared" si="189"/>
        <v>22</v>
      </c>
      <c r="B1046" s="3"/>
      <c r="C1046" s="4"/>
      <c r="D1046" s="8"/>
      <c r="E1046" s="4"/>
      <c r="F1046" s="4"/>
      <c r="G1046" s="4"/>
      <c r="H1046" s="4"/>
      <c r="I1046" s="85"/>
      <c r="J1046" s="4"/>
      <c r="K1046" s="4"/>
      <c r="L1046" s="4"/>
      <c r="M1046" s="4"/>
      <c r="N1046" s="4"/>
      <c r="O1046" s="4"/>
      <c r="P1046" s="4"/>
    </row>
    <row r="1047" spans="1:16" ht="18.600000000000001" customHeight="1" x14ac:dyDescent="0.2">
      <c r="A1047" s="35">
        <f t="shared" si="189"/>
        <v>23</v>
      </c>
      <c r="B1047" s="3"/>
      <c r="C1047" s="4"/>
      <c r="D1047" s="8"/>
      <c r="E1047" s="4"/>
      <c r="F1047" s="4"/>
      <c r="G1047" s="4"/>
      <c r="H1047" s="4"/>
      <c r="I1047" s="85"/>
      <c r="J1047" s="4"/>
      <c r="K1047" s="4"/>
      <c r="L1047" s="4"/>
      <c r="M1047" s="4"/>
      <c r="N1047" s="4"/>
      <c r="O1047" s="4"/>
      <c r="P1047" s="4"/>
    </row>
    <row r="1048" spans="1:16" ht="18.600000000000001" customHeight="1" x14ac:dyDescent="0.2">
      <c r="A1048" s="7">
        <f t="shared" si="189"/>
        <v>24</v>
      </c>
      <c r="B1048" s="3"/>
      <c r="C1048" s="4"/>
      <c r="D1048" s="8"/>
      <c r="E1048" s="4"/>
      <c r="F1048" s="4"/>
      <c r="G1048" s="4"/>
      <c r="H1048" s="4"/>
      <c r="I1048" s="85"/>
      <c r="J1048" s="4"/>
      <c r="K1048" s="4"/>
      <c r="L1048" s="4"/>
      <c r="M1048" s="4"/>
      <c r="N1048" s="4"/>
      <c r="O1048" s="4"/>
      <c r="P1048" s="4"/>
    </row>
    <row r="1049" spans="1:16" ht="18.600000000000001" customHeight="1" x14ac:dyDescent="0.2">
      <c r="A1049" s="35">
        <f t="shared" si="189"/>
        <v>25</v>
      </c>
      <c r="B1049" s="11"/>
      <c r="C1049" s="12"/>
      <c r="D1049" s="9"/>
      <c r="E1049" s="12"/>
      <c r="F1049" s="12"/>
      <c r="G1049" s="12"/>
      <c r="H1049" s="12"/>
      <c r="I1049" s="86"/>
      <c r="J1049" s="12"/>
      <c r="K1049" s="12"/>
      <c r="L1049" s="12"/>
      <c r="M1049" s="12"/>
      <c r="N1049" s="12"/>
      <c r="O1049" s="12"/>
      <c r="P1049" s="12"/>
    </row>
    <row r="1050" spans="1:16" ht="18.600000000000001" customHeight="1" x14ac:dyDescent="0.3">
      <c r="A1050" s="147"/>
      <c r="B1050" s="148"/>
      <c r="C1050" s="147"/>
      <c r="D1050" s="149"/>
      <c r="E1050" s="150">
        <f>SUBTOTAL(9,E1025:E1049)</f>
        <v>0</v>
      </c>
      <c r="F1050" s="152"/>
      <c r="G1050" s="150">
        <f t="shared" ref="G1050" si="190">SUBTOTAL(9,G1025:G1049)</f>
        <v>0</v>
      </c>
      <c r="H1050" s="152"/>
      <c r="I1050" s="150">
        <f t="shared" ref="I1050" si="191">SUBTOTAL(9,I1025:I1049)</f>
        <v>0</v>
      </c>
      <c r="J1050" s="152"/>
      <c r="K1050" s="152"/>
      <c r="L1050" s="152"/>
      <c r="M1050" s="150">
        <f t="shared" ref="M1050" si="192">SUBTOTAL(9,M1025:M1049)</f>
        <v>0</v>
      </c>
      <c r="N1050" s="152"/>
      <c r="O1050" s="150">
        <f t="shared" ref="O1050" si="193">SUBTOTAL(9,O1025:O1049)</f>
        <v>0</v>
      </c>
      <c r="P1050" s="152"/>
    </row>
    <row r="1051" spans="1:16" ht="18.600000000000001" customHeight="1" x14ac:dyDescent="0.2">
      <c r="A1051" s="434" t="str">
        <f>A1021</f>
        <v>DANH SÁCH LỚP KET</v>
      </c>
      <c r="B1051" s="434"/>
      <c r="C1051" s="434"/>
      <c r="D1051" s="434"/>
      <c r="E1051" s="434"/>
      <c r="F1051" s="434"/>
      <c r="G1051" s="434"/>
      <c r="H1051" s="434"/>
      <c r="I1051" s="92"/>
      <c r="J1051" s="48"/>
      <c r="K1051" s="48"/>
      <c r="L1051" s="48"/>
      <c r="M1051" s="41"/>
      <c r="N1051" s="41"/>
      <c r="O1051" s="41"/>
      <c r="P1051" s="41"/>
    </row>
    <row r="1052" spans="1:16" ht="18.600000000000001" customHeight="1" x14ac:dyDescent="0.2">
      <c r="A1052" s="28"/>
      <c r="B1052" s="29"/>
      <c r="C1052" s="30"/>
      <c r="D1052" s="36"/>
      <c r="E1052" s="28"/>
      <c r="F1052" s="28"/>
      <c r="G1052" s="28"/>
      <c r="H1052" s="28"/>
      <c r="I1052" s="79"/>
      <c r="J1052" s="28"/>
      <c r="K1052" s="28"/>
      <c r="L1052" s="28"/>
      <c r="M1052" s="28"/>
      <c r="N1052" s="28"/>
      <c r="O1052" s="28"/>
      <c r="P1052" s="28"/>
    </row>
    <row r="1053" spans="1:16" ht="18.600000000000001" customHeight="1" x14ac:dyDescent="0.2">
      <c r="A1053" s="435" t="s">
        <v>374</v>
      </c>
      <c r="B1053" s="435" t="s">
        <v>380</v>
      </c>
      <c r="C1053" s="435" t="s">
        <v>383</v>
      </c>
      <c r="D1053" s="437" t="s">
        <v>384</v>
      </c>
      <c r="E1053" s="438" t="s">
        <v>385</v>
      </c>
      <c r="F1053" s="439"/>
      <c r="G1053" s="432" t="str">
        <f>$R$1</f>
        <v>Hè 1</v>
      </c>
      <c r="H1053" s="433"/>
      <c r="I1053" s="432" t="str">
        <f>$T$1</f>
        <v>Hè 2</v>
      </c>
      <c r="J1053" s="433"/>
      <c r="K1053" s="201"/>
      <c r="L1053" s="201"/>
      <c r="M1053" s="432" t="str">
        <f>$X$1</f>
        <v>.</v>
      </c>
      <c r="N1053" s="433"/>
      <c r="O1053" s="432" t="str">
        <f>$Z$1</f>
        <v>.</v>
      </c>
      <c r="P1053" s="433"/>
    </row>
    <row r="1054" spans="1:16" ht="18.600000000000001" customHeight="1" x14ac:dyDescent="0.2">
      <c r="A1054" s="436"/>
      <c r="B1054" s="436"/>
      <c r="C1054" s="436"/>
      <c r="D1054" s="436"/>
      <c r="E1054" s="31" t="s">
        <v>381</v>
      </c>
      <c r="F1054" s="31" t="s">
        <v>382</v>
      </c>
      <c r="G1054" s="31" t="s">
        <v>381</v>
      </c>
      <c r="H1054" s="31" t="s">
        <v>382</v>
      </c>
      <c r="I1054" s="80" t="s">
        <v>381</v>
      </c>
      <c r="J1054" s="31" t="s">
        <v>382</v>
      </c>
      <c r="K1054" s="31"/>
      <c r="L1054" s="31"/>
      <c r="M1054" s="31" t="s">
        <v>381</v>
      </c>
      <c r="N1054" s="31" t="s">
        <v>382</v>
      </c>
      <c r="O1054" s="31" t="s">
        <v>381</v>
      </c>
      <c r="P1054" s="31" t="s">
        <v>382</v>
      </c>
    </row>
    <row r="1055" spans="1:16" ht="18.600000000000001" customHeight="1" x14ac:dyDescent="0.2">
      <c r="A1055" s="32">
        <v>1</v>
      </c>
      <c r="B1055" s="26"/>
      <c r="C1055" s="26"/>
      <c r="D1055" s="22"/>
      <c r="E1055" s="32"/>
      <c r="F1055" s="34"/>
      <c r="G1055" s="32"/>
      <c r="H1055" s="93"/>
      <c r="I1055" s="81"/>
      <c r="J1055" s="34"/>
      <c r="K1055" s="34"/>
      <c r="L1055" s="34"/>
      <c r="M1055" s="32"/>
      <c r="N1055" s="34"/>
      <c r="O1055" s="32"/>
      <c r="P1055" s="34"/>
    </row>
    <row r="1056" spans="1:16" ht="18.600000000000001" customHeight="1" x14ac:dyDescent="0.2">
      <c r="A1056" s="7">
        <f t="shared" ref="A1056:A1079" si="194">A1055+1</f>
        <v>2</v>
      </c>
      <c r="B1056" s="26"/>
      <c r="C1056" s="26"/>
      <c r="D1056" s="22"/>
      <c r="E1056" s="7"/>
      <c r="F1056" s="7"/>
      <c r="G1056" s="7"/>
      <c r="H1056" s="7"/>
      <c r="I1056" s="82"/>
      <c r="J1056" s="7"/>
      <c r="K1056" s="7"/>
      <c r="L1056" s="7"/>
      <c r="M1056" s="7"/>
      <c r="N1056" s="7"/>
      <c r="O1056" s="7"/>
      <c r="P1056" s="7"/>
    </row>
    <row r="1057" spans="1:16" ht="18.600000000000001" customHeight="1" x14ac:dyDescent="0.2">
      <c r="A1057" s="7">
        <f t="shared" si="194"/>
        <v>3</v>
      </c>
      <c r="B1057" s="26"/>
      <c r="C1057" s="26"/>
      <c r="D1057" s="22"/>
      <c r="E1057" s="7"/>
      <c r="F1057" s="7"/>
      <c r="G1057" s="7"/>
      <c r="H1057" s="7"/>
      <c r="I1057" s="82"/>
      <c r="J1057" s="7"/>
      <c r="K1057" s="7"/>
      <c r="L1057" s="7"/>
      <c r="M1057" s="7"/>
      <c r="N1057" s="7"/>
      <c r="O1057" s="7"/>
      <c r="P1057" s="7"/>
    </row>
    <row r="1058" spans="1:16" ht="18.600000000000001" customHeight="1" x14ac:dyDescent="0.2">
      <c r="A1058" s="7">
        <f t="shared" si="194"/>
        <v>4</v>
      </c>
      <c r="B1058" s="26"/>
      <c r="C1058" s="26"/>
      <c r="D1058" s="22"/>
      <c r="E1058" s="7"/>
      <c r="F1058" s="7"/>
      <c r="G1058" s="7"/>
      <c r="H1058" s="7"/>
      <c r="I1058" s="82"/>
      <c r="J1058" s="7"/>
      <c r="K1058" s="7"/>
      <c r="L1058" s="7"/>
      <c r="M1058" s="7"/>
      <c r="N1058" s="7"/>
      <c r="O1058" s="7"/>
      <c r="P1058" s="7"/>
    </row>
    <row r="1059" spans="1:16" ht="18.600000000000001" customHeight="1" x14ac:dyDescent="0.2">
      <c r="A1059" s="6">
        <f t="shared" si="194"/>
        <v>5</v>
      </c>
      <c r="B1059" s="58"/>
      <c r="C1059" s="58"/>
      <c r="D1059" s="59"/>
      <c r="E1059" s="16"/>
      <c r="F1059" s="16"/>
      <c r="G1059" s="16"/>
      <c r="H1059" s="16"/>
      <c r="I1059" s="83"/>
      <c r="J1059" s="16"/>
      <c r="K1059" s="16"/>
      <c r="L1059" s="16"/>
      <c r="M1059" s="16"/>
      <c r="N1059" s="16"/>
      <c r="O1059" s="16"/>
      <c r="P1059" s="16"/>
    </row>
    <row r="1060" spans="1:16" ht="18.600000000000001" customHeight="1" x14ac:dyDescent="0.2">
      <c r="A1060" s="56">
        <f t="shared" si="194"/>
        <v>6</v>
      </c>
      <c r="B1060" s="57"/>
      <c r="C1060" s="57"/>
      <c r="D1060" s="21"/>
      <c r="E1060" s="2"/>
      <c r="F1060" s="2"/>
      <c r="G1060" s="2"/>
      <c r="H1060" s="2"/>
      <c r="I1060" s="84"/>
      <c r="J1060" s="2"/>
      <c r="K1060" s="2"/>
      <c r="L1060" s="2"/>
      <c r="M1060" s="2"/>
      <c r="N1060" s="2"/>
      <c r="O1060" s="2"/>
      <c r="P1060" s="2"/>
    </row>
    <row r="1061" spans="1:16" ht="18.600000000000001" customHeight="1" x14ac:dyDescent="0.2">
      <c r="A1061" s="6">
        <f t="shared" si="194"/>
        <v>7</v>
      </c>
      <c r="B1061" s="26"/>
      <c r="C1061" s="26"/>
      <c r="D1061" s="22"/>
      <c r="E1061" s="4"/>
      <c r="F1061" s="4"/>
      <c r="G1061" s="4"/>
      <c r="H1061" s="4"/>
      <c r="I1061" s="85"/>
      <c r="J1061" s="4"/>
      <c r="K1061" s="4"/>
      <c r="L1061" s="4"/>
      <c r="M1061" s="4"/>
      <c r="N1061" s="4"/>
      <c r="O1061" s="4"/>
      <c r="P1061" s="4"/>
    </row>
    <row r="1062" spans="1:16" ht="18.600000000000001" customHeight="1" x14ac:dyDescent="0.2">
      <c r="A1062" s="6">
        <f t="shared" si="194"/>
        <v>8</v>
      </c>
      <c r="B1062" s="26"/>
      <c r="C1062" s="26"/>
      <c r="D1062" s="22"/>
      <c r="E1062" s="4"/>
      <c r="F1062" s="4"/>
      <c r="G1062" s="4"/>
      <c r="H1062" s="4"/>
      <c r="I1062" s="85"/>
      <c r="J1062" s="4"/>
      <c r="K1062" s="4"/>
      <c r="L1062" s="4"/>
      <c r="M1062" s="4"/>
      <c r="N1062" s="4"/>
      <c r="O1062" s="4"/>
      <c r="P1062" s="4"/>
    </row>
    <row r="1063" spans="1:16" ht="18.600000000000001" customHeight="1" x14ac:dyDescent="0.2">
      <c r="A1063" s="6">
        <f t="shared" si="194"/>
        <v>9</v>
      </c>
      <c r="B1063" s="26"/>
      <c r="C1063" s="26"/>
      <c r="D1063" s="22"/>
      <c r="E1063" s="4"/>
      <c r="F1063" s="4"/>
      <c r="G1063" s="4"/>
      <c r="H1063" s="4"/>
      <c r="I1063" s="85"/>
      <c r="J1063" s="4"/>
      <c r="K1063" s="4"/>
      <c r="L1063" s="4"/>
      <c r="M1063" s="4"/>
      <c r="N1063" s="4"/>
      <c r="O1063" s="4"/>
      <c r="P1063" s="4"/>
    </row>
    <row r="1064" spans="1:16" ht="18.600000000000001" customHeight="1" x14ac:dyDescent="0.2">
      <c r="A1064" s="10">
        <f t="shared" si="194"/>
        <v>10</v>
      </c>
      <c r="B1064" s="62"/>
      <c r="C1064" s="62"/>
      <c r="D1064" s="23"/>
      <c r="E1064" s="12"/>
      <c r="F1064" s="12"/>
      <c r="G1064" s="12"/>
      <c r="H1064" s="12"/>
      <c r="I1064" s="86"/>
      <c r="J1064" s="12"/>
      <c r="K1064" s="12"/>
      <c r="L1064" s="12"/>
      <c r="M1064" s="12"/>
      <c r="N1064" s="12"/>
      <c r="O1064" s="12"/>
      <c r="P1064" s="12"/>
    </row>
    <row r="1065" spans="1:16" ht="18.600000000000001" customHeight="1" x14ac:dyDescent="0.2">
      <c r="A1065" s="35">
        <f t="shared" si="194"/>
        <v>11</v>
      </c>
      <c r="B1065" s="60"/>
      <c r="C1065" s="60"/>
      <c r="D1065" s="61"/>
      <c r="E1065" s="14"/>
      <c r="F1065" s="14"/>
      <c r="G1065" s="14"/>
      <c r="H1065" s="14"/>
      <c r="I1065" s="87"/>
      <c r="J1065" s="14"/>
      <c r="K1065" s="14"/>
      <c r="L1065" s="14"/>
      <c r="M1065" s="14"/>
      <c r="N1065" s="14"/>
      <c r="O1065" s="14"/>
      <c r="P1065" s="14"/>
    </row>
    <row r="1066" spans="1:16" ht="18.600000000000001" customHeight="1" x14ac:dyDescent="0.2">
      <c r="A1066" s="7">
        <f t="shared" si="194"/>
        <v>12</v>
      </c>
      <c r="B1066" s="26"/>
      <c r="C1066" s="26"/>
      <c r="D1066" s="22"/>
      <c r="E1066" s="4"/>
      <c r="F1066" s="4"/>
      <c r="G1066" s="4"/>
      <c r="H1066" s="4"/>
      <c r="I1066" s="85"/>
      <c r="J1066" s="4"/>
      <c r="K1066" s="4"/>
      <c r="L1066" s="4"/>
      <c r="M1066" s="4"/>
      <c r="N1066" s="4"/>
      <c r="O1066" s="4"/>
      <c r="P1066" s="4"/>
    </row>
    <row r="1067" spans="1:16" ht="18.600000000000001" customHeight="1" x14ac:dyDescent="0.2">
      <c r="A1067" s="7">
        <f t="shared" si="194"/>
        <v>13</v>
      </c>
      <c r="B1067" s="26"/>
      <c r="C1067" s="26"/>
      <c r="D1067" s="22"/>
      <c r="E1067" s="4"/>
      <c r="F1067" s="4"/>
      <c r="G1067" s="4"/>
      <c r="H1067" s="4"/>
      <c r="I1067" s="85"/>
      <c r="J1067" s="4"/>
      <c r="K1067" s="4"/>
      <c r="L1067" s="4"/>
      <c r="M1067" s="4"/>
      <c r="N1067" s="4"/>
      <c r="O1067" s="4"/>
      <c r="P1067" s="4"/>
    </row>
    <row r="1068" spans="1:16" ht="18.600000000000001" customHeight="1" x14ac:dyDescent="0.2">
      <c r="A1068" s="7">
        <f t="shared" si="194"/>
        <v>14</v>
      </c>
      <c r="B1068" s="3"/>
      <c r="C1068" s="4"/>
      <c r="D1068" s="8"/>
      <c r="E1068" s="4"/>
      <c r="F1068" s="4"/>
      <c r="G1068" s="4"/>
      <c r="H1068" s="4"/>
      <c r="I1068" s="85"/>
      <c r="J1068" s="4"/>
      <c r="K1068" s="4"/>
      <c r="L1068" s="4"/>
      <c r="M1068" s="4"/>
      <c r="N1068" s="4"/>
      <c r="O1068" s="4"/>
      <c r="P1068" s="4"/>
    </row>
    <row r="1069" spans="1:16" ht="18.600000000000001" customHeight="1" x14ac:dyDescent="0.2">
      <c r="A1069" s="6">
        <f t="shared" si="194"/>
        <v>15</v>
      </c>
      <c r="B1069" s="15"/>
      <c r="C1069" s="16"/>
      <c r="D1069" s="5"/>
      <c r="E1069" s="16"/>
      <c r="F1069" s="16"/>
      <c r="G1069" s="16"/>
      <c r="H1069" s="16"/>
      <c r="I1069" s="83"/>
      <c r="J1069" s="16"/>
      <c r="K1069" s="16"/>
      <c r="L1069" s="16"/>
      <c r="M1069" s="16"/>
      <c r="N1069" s="16"/>
      <c r="O1069" s="16"/>
      <c r="P1069" s="16"/>
    </row>
    <row r="1070" spans="1:16" ht="18.600000000000001" customHeight="1" x14ac:dyDescent="0.2">
      <c r="A1070" s="32">
        <f t="shared" si="194"/>
        <v>16</v>
      </c>
      <c r="B1070" s="1"/>
      <c r="C1070" s="2"/>
      <c r="D1070" s="33"/>
      <c r="E1070" s="2"/>
      <c r="F1070" s="2"/>
      <c r="G1070" s="2"/>
      <c r="H1070" s="2"/>
      <c r="I1070" s="84"/>
      <c r="J1070" s="2"/>
      <c r="K1070" s="2"/>
      <c r="L1070" s="2"/>
      <c r="M1070" s="2"/>
      <c r="N1070" s="2"/>
      <c r="O1070" s="2"/>
      <c r="P1070" s="2"/>
    </row>
    <row r="1071" spans="1:16" ht="18.600000000000001" customHeight="1" x14ac:dyDescent="0.2">
      <c r="A1071" s="7">
        <f t="shared" si="194"/>
        <v>17</v>
      </c>
      <c r="B1071" s="3"/>
      <c r="C1071" s="4"/>
      <c r="D1071" s="8"/>
      <c r="E1071" s="4"/>
      <c r="F1071" s="4"/>
      <c r="G1071" s="4"/>
      <c r="H1071" s="4"/>
      <c r="I1071" s="85"/>
      <c r="J1071" s="4"/>
      <c r="K1071" s="4"/>
      <c r="L1071" s="4"/>
      <c r="M1071" s="4"/>
      <c r="N1071" s="4"/>
      <c r="O1071" s="4"/>
      <c r="P1071" s="4"/>
    </row>
    <row r="1072" spans="1:16" ht="18.600000000000001" customHeight="1" x14ac:dyDescent="0.2">
      <c r="A1072" s="7">
        <f t="shared" si="194"/>
        <v>18</v>
      </c>
      <c r="B1072" s="3"/>
      <c r="C1072" s="4"/>
      <c r="D1072" s="8"/>
      <c r="E1072" s="4"/>
      <c r="F1072" s="4"/>
      <c r="G1072" s="4"/>
      <c r="H1072" s="4"/>
      <c r="I1072" s="85"/>
      <c r="J1072" s="4"/>
      <c r="K1072" s="4"/>
      <c r="L1072" s="4"/>
      <c r="M1072" s="4"/>
      <c r="N1072" s="4"/>
      <c r="O1072" s="4"/>
      <c r="P1072" s="4"/>
    </row>
    <row r="1073" spans="1:16" ht="18.600000000000001" customHeight="1" x14ac:dyDescent="0.2">
      <c r="A1073" s="7">
        <f t="shared" si="194"/>
        <v>19</v>
      </c>
      <c r="B1073" s="3"/>
      <c r="C1073" s="4"/>
      <c r="D1073" s="8"/>
      <c r="E1073" s="4"/>
      <c r="F1073" s="4"/>
      <c r="G1073" s="4"/>
      <c r="H1073" s="4"/>
      <c r="I1073" s="85"/>
      <c r="J1073" s="4"/>
      <c r="K1073" s="4"/>
      <c r="L1073" s="4"/>
      <c r="M1073" s="4"/>
      <c r="N1073" s="4"/>
      <c r="O1073" s="4"/>
      <c r="P1073" s="4"/>
    </row>
    <row r="1074" spans="1:16" ht="18.600000000000001" customHeight="1" x14ac:dyDescent="0.2">
      <c r="A1074" s="10">
        <f t="shared" si="194"/>
        <v>20</v>
      </c>
      <c r="B1074" s="11"/>
      <c r="C1074" s="12"/>
      <c r="D1074" s="9"/>
      <c r="E1074" s="12"/>
      <c r="F1074" s="12"/>
      <c r="G1074" s="12"/>
      <c r="H1074" s="12"/>
      <c r="I1074" s="86"/>
      <c r="J1074" s="12"/>
      <c r="K1074" s="12"/>
      <c r="L1074" s="12"/>
      <c r="M1074" s="12"/>
      <c r="N1074" s="12"/>
      <c r="O1074" s="12"/>
      <c r="P1074" s="12"/>
    </row>
    <row r="1075" spans="1:16" ht="18.600000000000001" customHeight="1" x14ac:dyDescent="0.2">
      <c r="A1075" s="35">
        <f t="shared" si="194"/>
        <v>21</v>
      </c>
      <c r="B1075" s="13"/>
      <c r="C1075" s="14"/>
      <c r="D1075" s="37"/>
      <c r="E1075" s="14"/>
      <c r="F1075" s="14"/>
      <c r="G1075" s="14"/>
      <c r="H1075" s="14"/>
      <c r="I1075" s="87"/>
      <c r="J1075" s="14"/>
      <c r="K1075" s="14"/>
      <c r="L1075" s="14"/>
      <c r="M1075" s="14"/>
      <c r="N1075" s="14"/>
      <c r="O1075" s="14"/>
      <c r="P1075" s="14"/>
    </row>
    <row r="1076" spans="1:16" ht="18.600000000000001" customHeight="1" x14ac:dyDescent="0.2">
      <c r="A1076" s="7">
        <f t="shared" si="194"/>
        <v>22</v>
      </c>
      <c r="B1076" s="3"/>
      <c r="C1076" s="4"/>
      <c r="D1076" s="8"/>
      <c r="E1076" s="4"/>
      <c r="F1076" s="4"/>
      <c r="G1076" s="4"/>
      <c r="H1076" s="4"/>
      <c r="I1076" s="85"/>
      <c r="J1076" s="4"/>
      <c r="K1076" s="4"/>
      <c r="L1076" s="4"/>
      <c r="M1076" s="4"/>
      <c r="N1076" s="4"/>
      <c r="O1076" s="4"/>
      <c r="P1076" s="4"/>
    </row>
    <row r="1077" spans="1:16" ht="18.600000000000001" customHeight="1" x14ac:dyDescent="0.2">
      <c r="A1077" s="35">
        <f t="shared" si="194"/>
        <v>23</v>
      </c>
      <c r="B1077" s="3"/>
      <c r="C1077" s="4"/>
      <c r="D1077" s="8"/>
      <c r="E1077" s="4"/>
      <c r="F1077" s="4"/>
      <c r="G1077" s="4"/>
      <c r="H1077" s="4"/>
      <c r="I1077" s="85"/>
      <c r="J1077" s="4"/>
      <c r="K1077" s="4"/>
      <c r="L1077" s="4"/>
      <c r="M1077" s="4"/>
      <c r="N1077" s="4"/>
      <c r="O1077" s="4"/>
      <c r="P1077" s="4"/>
    </row>
    <row r="1078" spans="1:16" ht="18.600000000000001" customHeight="1" x14ac:dyDescent="0.2">
      <c r="A1078" s="7">
        <f t="shared" si="194"/>
        <v>24</v>
      </c>
      <c r="B1078" s="3"/>
      <c r="C1078" s="4"/>
      <c r="D1078" s="8"/>
      <c r="E1078" s="4"/>
      <c r="F1078" s="4"/>
      <c r="G1078" s="4"/>
      <c r="H1078" s="4"/>
      <c r="I1078" s="85"/>
      <c r="J1078" s="4"/>
      <c r="K1078" s="4"/>
      <c r="L1078" s="4"/>
      <c r="M1078" s="4"/>
      <c r="N1078" s="4"/>
      <c r="O1078" s="4"/>
      <c r="P1078" s="4"/>
    </row>
    <row r="1079" spans="1:16" ht="18.600000000000001" customHeight="1" x14ac:dyDescent="0.2">
      <c r="A1079" s="35">
        <f t="shared" si="194"/>
        <v>25</v>
      </c>
      <c r="B1079" s="11"/>
      <c r="C1079" s="12"/>
      <c r="D1079" s="9"/>
      <c r="E1079" s="12"/>
      <c r="F1079" s="12"/>
      <c r="G1079" s="12"/>
      <c r="H1079" s="12"/>
      <c r="I1079" s="86"/>
      <c r="J1079" s="12"/>
      <c r="K1079" s="12"/>
      <c r="L1079" s="12"/>
      <c r="M1079" s="12"/>
      <c r="N1079" s="12"/>
      <c r="O1079" s="12"/>
      <c r="P1079" s="12"/>
    </row>
    <row r="1080" spans="1:16" ht="18.600000000000001" customHeight="1" x14ac:dyDescent="0.3">
      <c r="A1080" s="147"/>
      <c r="B1080" s="148"/>
      <c r="C1080" s="147"/>
      <c r="D1080" s="149"/>
      <c r="E1080" s="150">
        <f>SUBTOTAL(9,E1055:E1079)</f>
        <v>0</v>
      </c>
      <c r="F1080" s="152"/>
      <c r="G1080" s="150">
        <f t="shared" ref="G1080" si="195">SUBTOTAL(9,G1055:G1079)</f>
        <v>0</v>
      </c>
      <c r="H1080" s="152"/>
      <c r="I1080" s="150">
        <f t="shared" ref="I1080" si="196">SUBTOTAL(9,I1055:I1079)</f>
        <v>0</v>
      </c>
      <c r="J1080" s="152"/>
      <c r="K1080" s="152"/>
      <c r="L1080" s="152"/>
      <c r="M1080" s="150">
        <f t="shared" ref="M1080" si="197">SUBTOTAL(9,M1055:M1079)</f>
        <v>0</v>
      </c>
      <c r="N1080" s="152"/>
      <c r="O1080" s="150">
        <f t="shared" ref="O1080" si="198">SUBTOTAL(9,O1055:O1079)</f>
        <v>0</v>
      </c>
      <c r="P1080" s="152"/>
    </row>
  </sheetData>
  <mergeCells count="432">
    <mergeCell ref="G93:H93"/>
    <mergeCell ref="E153:F153"/>
    <mergeCell ref="G153:H153"/>
    <mergeCell ref="A1:H1"/>
    <mergeCell ref="A91:H91"/>
    <mergeCell ref="R1:S1"/>
    <mergeCell ref="R2:S2"/>
    <mergeCell ref="K3:L3"/>
    <mergeCell ref="M3:N3"/>
    <mergeCell ref="I93:J93"/>
    <mergeCell ref="M93:N93"/>
    <mergeCell ref="D93:D94"/>
    <mergeCell ref="E93:F93"/>
    <mergeCell ref="A151:H151"/>
    <mergeCell ref="A121:H121"/>
    <mergeCell ref="A3:A4"/>
    <mergeCell ref="B3:B4"/>
    <mergeCell ref="I153:J153"/>
    <mergeCell ref="M153:N153"/>
    <mergeCell ref="A153:A154"/>
    <mergeCell ref="B153:B154"/>
    <mergeCell ref="C153:C154"/>
    <mergeCell ref="A93:A94"/>
    <mergeCell ref="B93:B94"/>
    <mergeCell ref="AB1:AC1"/>
    <mergeCell ref="Z2:AA2"/>
    <mergeCell ref="AB2:AC2"/>
    <mergeCell ref="O3:P3"/>
    <mergeCell ref="S9:T9"/>
    <mergeCell ref="X1:Y1"/>
    <mergeCell ref="X2:Y2"/>
    <mergeCell ref="T1:U1"/>
    <mergeCell ref="V1:W1"/>
    <mergeCell ref="T2:U2"/>
    <mergeCell ref="V2:W2"/>
    <mergeCell ref="R3:S3"/>
    <mergeCell ref="T3:U3"/>
    <mergeCell ref="V3:W3"/>
    <mergeCell ref="X3:Y3"/>
    <mergeCell ref="Z3:AA3"/>
    <mergeCell ref="T7:U7"/>
    <mergeCell ref="V7:W7"/>
    <mergeCell ref="X7:Y7"/>
    <mergeCell ref="Z7:AA7"/>
    <mergeCell ref="AB7:AC7"/>
    <mergeCell ref="R7:S7"/>
    <mergeCell ref="AB6:AC6"/>
    <mergeCell ref="R5:S5"/>
    <mergeCell ref="C93:C94"/>
    <mergeCell ref="C3:C4"/>
    <mergeCell ref="D3:D4"/>
    <mergeCell ref="A123:A124"/>
    <mergeCell ref="B123:B124"/>
    <mergeCell ref="C123:C124"/>
    <mergeCell ref="D123:D124"/>
    <mergeCell ref="Z1:AA1"/>
    <mergeCell ref="A61:H61"/>
    <mergeCell ref="A63:A64"/>
    <mergeCell ref="B63:B64"/>
    <mergeCell ref="C63:C64"/>
    <mergeCell ref="D63:D64"/>
    <mergeCell ref="E63:F63"/>
    <mergeCell ref="G63:H63"/>
    <mergeCell ref="I63:J63"/>
    <mergeCell ref="M63:N63"/>
    <mergeCell ref="O63:P63"/>
    <mergeCell ref="I3:J3"/>
    <mergeCell ref="E3:F3"/>
    <mergeCell ref="G3:H3"/>
    <mergeCell ref="G123:H123"/>
    <mergeCell ref="I123:J123"/>
    <mergeCell ref="M123:N123"/>
    <mergeCell ref="D153:D154"/>
    <mergeCell ref="E123:F123"/>
    <mergeCell ref="A181:H181"/>
    <mergeCell ref="A183:A184"/>
    <mergeCell ref="B183:B184"/>
    <mergeCell ref="C183:C184"/>
    <mergeCell ref="D183:D184"/>
    <mergeCell ref="E183:F183"/>
    <mergeCell ref="G183:H183"/>
    <mergeCell ref="E243:F243"/>
    <mergeCell ref="G243:H243"/>
    <mergeCell ref="I243:J243"/>
    <mergeCell ref="M243:N243"/>
    <mergeCell ref="K243:L243"/>
    <mergeCell ref="A211:H211"/>
    <mergeCell ref="A213:A214"/>
    <mergeCell ref="B213:B214"/>
    <mergeCell ref="C213:C214"/>
    <mergeCell ref="D213:D214"/>
    <mergeCell ref="E213:F213"/>
    <mergeCell ref="G213:H213"/>
    <mergeCell ref="A361:H361"/>
    <mergeCell ref="A363:A364"/>
    <mergeCell ref="B363:B364"/>
    <mergeCell ref="C363:C364"/>
    <mergeCell ref="D363:D364"/>
    <mergeCell ref="E363:F363"/>
    <mergeCell ref="G363:H363"/>
    <mergeCell ref="I273:J273"/>
    <mergeCell ref="M273:N273"/>
    <mergeCell ref="A301:H301"/>
    <mergeCell ref="A303:A304"/>
    <mergeCell ref="B303:B304"/>
    <mergeCell ref="C303:C304"/>
    <mergeCell ref="D303:D304"/>
    <mergeCell ref="E303:F303"/>
    <mergeCell ref="G303:H303"/>
    <mergeCell ref="I303:J303"/>
    <mergeCell ref="M303:N303"/>
    <mergeCell ref="K273:L273"/>
    <mergeCell ref="K303:L303"/>
    <mergeCell ref="A273:A274"/>
    <mergeCell ref="B273:B274"/>
    <mergeCell ref="C273:C274"/>
    <mergeCell ref="D273:D274"/>
    <mergeCell ref="A421:H421"/>
    <mergeCell ref="A423:A424"/>
    <mergeCell ref="B423:B424"/>
    <mergeCell ref="C423:C424"/>
    <mergeCell ref="D423:D424"/>
    <mergeCell ref="E423:F423"/>
    <mergeCell ref="G423:H423"/>
    <mergeCell ref="I363:J363"/>
    <mergeCell ref="M363:N363"/>
    <mergeCell ref="A391:H391"/>
    <mergeCell ref="A393:A394"/>
    <mergeCell ref="B393:B394"/>
    <mergeCell ref="C393:C394"/>
    <mergeCell ref="D393:D394"/>
    <mergeCell ref="E393:F393"/>
    <mergeCell ref="G393:H393"/>
    <mergeCell ref="I393:J393"/>
    <mergeCell ref="M393:N393"/>
    <mergeCell ref="K363:L363"/>
    <mergeCell ref="K393:L393"/>
    <mergeCell ref="A481:H481"/>
    <mergeCell ref="A483:A484"/>
    <mergeCell ref="B483:B484"/>
    <mergeCell ref="C483:C484"/>
    <mergeCell ref="D483:D484"/>
    <mergeCell ref="E483:F483"/>
    <mergeCell ref="G483:H483"/>
    <mergeCell ref="I423:J423"/>
    <mergeCell ref="M423:N423"/>
    <mergeCell ref="A451:H451"/>
    <mergeCell ref="A453:A454"/>
    <mergeCell ref="B453:B454"/>
    <mergeCell ref="C453:C454"/>
    <mergeCell ref="D453:D454"/>
    <mergeCell ref="E453:F453"/>
    <mergeCell ref="G453:H453"/>
    <mergeCell ref="I453:J453"/>
    <mergeCell ref="M453:N453"/>
    <mergeCell ref="K423:L423"/>
    <mergeCell ref="K453:L453"/>
    <mergeCell ref="A541:H541"/>
    <mergeCell ref="A543:A544"/>
    <mergeCell ref="B543:B544"/>
    <mergeCell ref="C543:C544"/>
    <mergeCell ref="D543:D544"/>
    <mergeCell ref="E543:F543"/>
    <mergeCell ref="G543:H543"/>
    <mergeCell ref="I483:J483"/>
    <mergeCell ref="M483:N483"/>
    <mergeCell ref="A511:H511"/>
    <mergeCell ref="A513:A514"/>
    <mergeCell ref="B513:B514"/>
    <mergeCell ref="C513:C514"/>
    <mergeCell ref="D513:D514"/>
    <mergeCell ref="E513:F513"/>
    <mergeCell ref="G513:H513"/>
    <mergeCell ref="I513:J513"/>
    <mergeCell ref="M513:N513"/>
    <mergeCell ref="K483:L483"/>
    <mergeCell ref="K513:L513"/>
    <mergeCell ref="A601:H601"/>
    <mergeCell ref="A603:A604"/>
    <mergeCell ref="B603:B604"/>
    <mergeCell ref="C603:C604"/>
    <mergeCell ref="D603:D604"/>
    <mergeCell ref="E603:F603"/>
    <mergeCell ref="G603:H603"/>
    <mergeCell ref="I543:J543"/>
    <mergeCell ref="M543:N543"/>
    <mergeCell ref="A571:H571"/>
    <mergeCell ref="A573:A574"/>
    <mergeCell ref="B573:B574"/>
    <mergeCell ref="C573:C574"/>
    <mergeCell ref="D573:D574"/>
    <mergeCell ref="E573:F573"/>
    <mergeCell ref="G573:H573"/>
    <mergeCell ref="I573:J573"/>
    <mergeCell ref="M573:N573"/>
    <mergeCell ref="K543:L543"/>
    <mergeCell ref="K573:L573"/>
    <mergeCell ref="A661:H661"/>
    <mergeCell ref="A663:A664"/>
    <mergeCell ref="B663:B664"/>
    <mergeCell ref="C663:C664"/>
    <mergeCell ref="D663:D664"/>
    <mergeCell ref="E663:F663"/>
    <mergeCell ref="G663:H663"/>
    <mergeCell ref="I603:J603"/>
    <mergeCell ref="M603:N603"/>
    <mergeCell ref="A631:H631"/>
    <mergeCell ref="A633:A634"/>
    <mergeCell ref="B633:B634"/>
    <mergeCell ref="C633:C634"/>
    <mergeCell ref="D633:D634"/>
    <mergeCell ref="E633:F633"/>
    <mergeCell ref="G633:H633"/>
    <mergeCell ref="I633:J633"/>
    <mergeCell ref="M633:N633"/>
    <mergeCell ref="K603:L603"/>
    <mergeCell ref="K633:L633"/>
    <mergeCell ref="A721:H721"/>
    <mergeCell ref="A723:A724"/>
    <mergeCell ref="B723:B724"/>
    <mergeCell ref="C723:C724"/>
    <mergeCell ref="D723:D724"/>
    <mergeCell ref="E723:F723"/>
    <mergeCell ref="G723:H723"/>
    <mergeCell ref="I663:J663"/>
    <mergeCell ref="M663:N663"/>
    <mergeCell ref="A691:H691"/>
    <mergeCell ref="A693:A694"/>
    <mergeCell ref="B693:B694"/>
    <mergeCell ref="C693:C694"/>
    <mergeCell ref="D693:D694"/>
    <mergeCell ref="E693:F693"/>
    <mergeCell ref="G693:H693"/>
    <mergeCell ref="I693:J693"/>
    <mergeCell ref="M693:N693"/>
    <mergeCell ref="K663:L663"/>
    <mergeCell ref="K693:L693"/>
    <mergeCell ref="A781:H781"/>
    <mergeCell ref="A783:A784"/>
    <mergeCell ref="B783:B784"/>
    <mergeCell ref="C783:C784"/>
    <mergeCell ref="D783:D784"/>
    <mergeCell ref="E783:F783"/>
    <mergeCell ref="G783:H783"/>
    <mergeCell ref="I723:J723"/>
    <mergeCell ref="M723:N723"/>
    <mergeCell ref="A751:H751"/>
    <mergeCell ref="A753:A754"/>
    <mergeCell ref="B753:B754"/>
    <mergeCell ref="C753:C754"/>
    <mergeCell ref="D753:D754"/>
    <mergeCell ref="E753:F753"/>
    <mergeCell ref="G753:H753"/>
    <mergeCell ref="I753:J753"/>
    <mergeCell ref="M753:N753"/>
    <mergeCell ref="K723:L723"/>
    <mergeCell ref="K753:L753"/>
    <mergeCell ref="A841:H841"/>
    <mergeCell ref="A843:A844"/>
    <mergeCell ref="B843:B844"/>
    <mergeCell ref="C843:C844"/>
    <mergeCell ref="D843:D844"/>
    <mergeCell ref="E843:F843"/>
    <mergeCell ref="G843:H843"/>
    <mergeCell ref="I783:J783"/>
    <mergeCell ref="M783:N783"/>
    <mergeCell ref="A811:H811"/>
    <mergeCell ref="A813:A814"/>
    <mergeCell ref="B813:B814"/>
    <mergeCell ref="C813:C814"/>
    <mergeCell ref="D813:D814"/>
    <mergeCell ref="E813:F813"/>
    <mergeCell ref="G813:H813"/>
    <mergeCell ref="I813:J813"/>
    <mergeCell ref="M813:N813"/>
    <mergeCell ref="K783:L783"/>
    <mergeCell ref="K813:L813"/>
    <mergeCell ref="A901:H901"/>
    <mergeCell ref="A903:A904"/>
    <mergeCell ref="B903:B904"/>
    <mergeCell ref="C903:C904"/>
    <mergeCell ref="D903:D904"/>
    <mergeCell ref="E903:F903"/>
    <mergeCell ref="G903:H903"/>
    <mergeCell ref="I843:J843"/>
    <mergeCell ref="M843:N843"/>
    <mergeCell ref="A871:H871"/>
    <mergeCell ref="A873:A874"/>
    <mergeCell ref="B873:B874"/>
    <mergeCell ref="C873:C874"/>
    <mergeCell ref="D873:D874"/>
    <mergeCell ref="E873:F873"/>
    <mergeCell ref="G873:H873"/>
    <mergeCell ref="I873:J873"/>
    <mergeCell ref="M873:N873"/>
    <mergeCell ref="K843:L843"/>
    <mergeCell ref="I903:J903"/>
    <mergeCell ref="M903:N903"/>
    <mergeCell ref="A931:H931"/>
    <mergeCell ref="A933:A934"/>
    <mergeCell ref="B933:B934"/>
    <mergeCell ref="C933:C934"/>
    <mergeCell ref="D933:D934"/>
    <mergeCell ref="E933:F933"/>
    <mergeCell ref="G933:H933"/>
    <mergeCell ref="I933:J933"/>
    <mergeCell ref="M933:N933"/>
    <mergeCell ref="A1053:A1054"/>
    <mergeCell ref="B1053:B1054"/>
    <mergeCell ref="A961:H961"/>
    <mergeCell ref="A963:A964"/>
    <mergeCell ref="B963:B964"/>
    <mergeCell ref="C963:C964"/>
    <mergeCell ref="D963:D964"/>
    <mergeCell ref="E963:F963"/>
    <mergeCell ref="G963:H963"/>
    <mergeCell ref="C1053:C1054"/>
    <mergeCell ref="D1053:D1054"/>
    <mergeCell ref="E1053:F1053"/>
    <mergeCell ref="G1053:H1053"/>
    <mergeCell ref="O723:P723"/>
    <mergeCell ref="O753:P753"/>
    <mergeCell ref="O1053:P1053"/>
    <mergeCell ref="A1021:H1021"/>
    <mergeCell ref="A1023:A1024"/>
    <mergeCell ref="B1023:B1024"/>
    <mergeCell ref="C1023:C1024"/>
    <mergeCell ref="D1023:D1024"/>
    <mergeCell ref="E1023:F1023"/>
    <mergeCell ref="G1023:H1023"/>
    <mergeCell ref="I963:J963"/>
    <mergeCell ref="M963:N963"/>
    <mergeCell ref="O963:P963"/>
    <mergeCell ref="A991:H991"/>
    <mergeCell ref="A993:A994"/>
    <mergeCell ref="B993:B994"/>
    <mergeCell ref="C993:C994"/>
    <mergeCell ref="D993:D994"/>
    <mergeCell ref="E993:F993"/>
    <mergeCell ref="G993:H993"/>
    <mergeCell ref="I993:J993"/>
    <mergeCell ref="M993:N993"/>
    <mergeCell ref="O993:P993"/>
    <mergeCell ref="A1051:H1051"/>
    <mergeCell ref="I1053:J1053"/>
    <mergeCell ref="M1053:N1053"/>
    <mergeCell ref="AB3:AC3"/>
    <mergeCell ref="R4:S4"/>
    <mergeCell ref="T4:U4"/>
    <mergeCell ref="V4:W4"/>
    <mergeCell ref="X4:Y4"/>
    <mergeCell ref="Z4:AA4"/>
    <mergeCell ref="AB4:AC4"/>
    <mergeCell ref="I1023:J1023"/>
    <mergeCell ref="M1023:N1023"/>
    <mergeCell ref="O1023:P1023"/>
    <mergeCell ref="O903:P903"/>
    <mergeCell ref="O933:P933"/>
    <mergeCell ref="O843:P843"/>
    <mergeCell ref="O873:P873"/>
    <mergeCell ref="O783:P783"/>
    <mergeCell ref="O813:P813"/>
    <mergeCell ref="AB5:AC5"/>
    <mergeCell ref="R6:S6"/>
    <mergeCell ref="T6:U6"/>
    <mergeCell ref="V6:W6"/>
    <mergeCell ref="X6:Y6"/>
    <mergeCell ref="Z6:AA6"/>
    <mergeCell ref="O663:P663"/>
    <mergeCell ref="O693:P693"/>
    <mergeCell ref="O603:P603"/>
    <mergeCell ref="O633:P633"/>
    <mergeCell ref="O543:P543"/>
    <mergeCell ref="O573:P573"/>
    <mergeCell ref="K153:L153"/>
    <mergeCell ref="K213:L213"/>
    <mergeCell ref="O213:P213"/>
    <mergeCell ref="O153:P153"/>
    <mergeCell ref="O483:P483"/>
    <mergeCell ref="O513:P513"/>
    <mergeCell ref="O423:P423"/>
    <mergeCell ref="O453:P453"/>
    <mergeCell ref="O363:P363"/>
    <mergeCell ref="O393:P393"/>
    <mergeCell ref="O273:P273"/>
    <mergeCell ref="O243:P243"/>
    <mergeCell ref="O303:P303"/>
    <mergeCell ref="M213:N213"/>
    <mergeCell ref="O93:P93"/>
    <mergeCell ref="T5:U5"/>
    <mergeCell ref="V5:W5"/>
    <mergeCell ref="X5:Y5"/>
    <mergeCell ref="Z5:AA5"/>
    <mergeCell ref="K63:L63"/>
    <mergeCell ref="K93:L93"/>
    <mergeCell ref="K123:L123"/>
    <mergeCell ref="O123:P123"/>
    <mergeCell ref="M33:N33"/>
    <mergeCell ref="O33:P33"/>
    <mergeCell ref="A31:H31"/>
    <mergeCell ref="A33:A34"/>
    <mergeCell ref="B33:B34"/>
    <mergeCell ref="C33:C34"/>
    <mergeCell ref="D33:D34"/>
    <mergeCell ref="E33:F33"/>
    <mergeCell ref="G33:H33"/>
    <mergeCell ref="I33:J33"/>
    <mergeCell ref="K33:L33"/>
    <mergeCell ref="I183:J183"/>
    <mergeCell ref="K183:L183"/>
    <mergeCell ref="M183:N183"/>
    <mergeCell ref="O183:P183"/>
    <mergeCell ref="A331:H331"/>
    <mergeCell ref="A333:A334"/>
    <mergeCell ref="B333:B334"/>
    <mergeCell ref="C333:C334"/>
    <mergeCell ref="D333:D334"/>
    <mergeCell ref="E333:F333"/>
    <mergeCell ref="G333:H333"/>
    <mergeCell ref="I333:J333"/>
    <mergeCell ref="K333:L333"/>
    <mergeCell ref="M333:N333"/>
    <mergeCell ref="O333:P333"/>
    <mergeCell ref="A271:H271"/>
    <mergeCell ref="E273:F273"/>
    <mergeCell ref="G273:H273"/>
    <mergeCell ref="I213:J213"/>
    <mergeCell ref="A241:H241"/>
    <mergeCell ref="A243:A244"/>
    <mergeCell ref="B243:B244"/>
    <mergeCell ref="C243:C244"/>
    <mergeCell ref="D243:D244"/>
  </mergeCells>
  <phoneticPr fontId="6" type="noConversion"/>
  <conditionalFormatting sqref="A270:D270 F270 H270 J270:L270 N270 P270">
    <cfRule type="expression" dxfId="1402" priority="1056">
      <formula>ISODD(ROW())</formula>
    </cfRule>
  </conditionalFormatting>
  <conditionalFormatting sqref="A540:D540 F540 H540 J540:L540 N540 P540">
    <cfRule type="expression" dxfId="1401" priority="751">
      <formula>ISODD(ROW())</formula>
    </cfRule>
  </conditionalFormatting>
  <conditionalFormatting sqref="A780:D780 F780 H780 J780:L780 N780 P780">
    <cfRule type="expression" dxfId="1400" priority="446">
      <formula>ISODD(ROW())</formula>
    </cfRule>
  </conditionalFormatting>
  <conditionalFormatting sqref="A1020:D1020 F1020 H1020 J1020:L1020 N1020 P1020">
    <cfRule type="expression" dxfId="1399" priority="141">
      <formula>ISODD(ROW())</formula>
    </cfRule>
  </conditionalFormatting>
  <conditionalFormatting sqref="A1:P4 Q4 A5:A20 E5:P20 A21:P29 A30:D30 F30 H30 J30:L30 N30 P30 A31:P34 A35:A50 E35:P50 A51:P59 A60:D60 F60 H60 J60:L60 N60 P60">
    <cfRule type="expression" dxfId="1398" priority="1299">
      <formula>ISODD(ROW())</formula>
    </cfRule>
  </conditionalFormatting>
  <conditionalFormatting sqref="A2:P4 Q4 A5:A20 E5:P20 A21:P29 A30:D30 F30 H30 J30:L30 N30 P30 A32:P34 A35:A50 E35:P50 A51:P59 A60:D60 F60 H60 J60:L60 N60 P60">
    <cfRule type="expression" dxfId="1397" priority="1327">
      <formula>MOD(ROW(),2)=1</formula>
    </cfRule>
  </conditionalFormatting>
  <conditionalFormatting sqref="A3:P4 Q4 A5:A20 E5:P20 A21:P29 A30:D30 F30 H30 J30:L30 N30 P30 A33:P34 A35:A50 E35:P50 A51:P59 A60:D60 F60 H60 J60:L60 N60 P60">
    <cfRule type="expression" dxfId="1396" priority="1314">
      <formula>ISOODD(ROW())</formula>
    </cfRule>
    <cfRule type="expression" dxfId="1395" priority="1313">
      <formula>-ISODD(ROW())</formula>
    </cfRule>
  </conditionalFormatting>
  <conditionalFormatting sqref="A61:P64 A65:A79 E65:P79 A80:P89 A90:D90 F90 H90 J90:L90 N90 P90">
    <cfRule type="expression" dxfId="1394" priority="1256">
      <formula>ISODD(ROW())</formula>
    </cfRule>
  </conditionalFormatting>
  <conditionalFormatting sqref="A62:P64 A65:A79 E65:P79 A80:P89 A90:D90 F90 H90 J90:L90 N90 P90">
    <cfRule type="expression" dxfId="1393" priority="1284">
      <formula>MOD(ROW(),2)=1</formula>
    </cfRule>
  </conditionalFormatting>
  <conditionalFormatting sqref="A63:P64 A65:A79 E65:P79 A80:P89 A90:D90 F90 H90 J90:L90 N90 P90">
    <cfRule type="expression" dxfId="1392" priority="1271">
      <formula>ISOODD(ROW())</formula>
    </cfRule>
    <cfRule type="expression" dxfId="1391" priority="1270">
      <formula>-ISODD(ROW())</formula>
    </cfRule>
  </conditionalFormatting>
  <conditionalFormatting sqref="A91:P94 A95:A109 E95:P109 A110:P119 A120:D120 F120 H120 J120:L120 N120 P120">
    <cfRule type="expression" dxfId="1390" priority="1209">
      <formula>ISODD(ROW())</formula>
    </cfRule>
  </conditionalFormatting>
  <conditionalFormatting sqref="A92:P94 A95:A109 E95:P109 A110:P119 A120:D120 F120 H120 J120:L120 N120 P120">
    <cfRule type="expression" dxfId="1389" priority="1237">
      <formula>MOD(ROW(),2)=1</formula>
    </cfRule>
  </conditionalFormatting>
  <conditionalFormatting sqref="A93:P94 A95:A109 E95:P109 A110:P119 A120:D120 F120 H120 J120:L120 N120 P120">
    <cfRule type="expression" dxfId="1388" priority="1224">
      <formula>ISOODD(ROW())</formula>
    </cfRule>
    <cfRule type="expression" dxfId="1387" priority="1223">
      <formula>-ISODD(ROW())</formula>
    </cfRule>
  </conditionalFormatting>
  <conditionalFormatting sqref="A121:P124 A125:A141 E125:P141 A142:P149 A150:D150 F150 H150 J150:L150 N150 P150">
    <cfRule type="expression" dxfId="1386" priority="1171">
      <formula>ISODD(ROW())</formula>
    </cfRule>
  </conditionalFormatting>
  <conditionalFormatting sqref="A122:P124 A125:A141 E125:P141 A142:P149 A150:D150 F150 H150 J150:L150 N150 P150">
    <cfRule type="expression" dxfId="1385" priority="1199">
      <formula>MOD(ROW(),2)=1</formula>
    </cfRule>
  </conditionalFormatting>
  <conditionalFormatting sqref="A123:P124 A125:A141 E125:P141 A142:P149 A150:D150 F150 H150 J150:L150 N150 P150">
    <cfRule type="expression" dxfId="1384" priority="1186">
      <formula>ISOODD(ROW())</formula>
    </cfRule>
    <cfRule type="expression" dxfId="1383" priority="1185">
      <formula>-ISODD(ROW())</formula>
    </cfRule>
  </conditionalFormatting>
  <conditionalFormatting sqref="A151:P154 A155:A176 E155:P176 A177:P179 A180:D180 F180 H180 J180:L180 N180 P180">
    <cfRule type="expression" dxfId="1382" priority="1133">
      <formula>ISODD(ROW())</formula>
    </cfRule>
  </conditionalFormatting>
  <conditionalFormatting sqref="A152:P154 A155:A176 E155:P176 A177:P179 A180:D180 F180 H180 J180:L180 N180 P180">
    <cfRule type="expression" dxfId="1381" priority="1161">
      <formula>MOD(ROW(),2)=1</formula>
    </cfRule>
  </conditionalFormatting>
  <conditionalFormatting sqref="A153:P154 A155:A176 E155:P176 A177:P179 A180:D180 F180 H180 J180:L180 N180 P180">
    <cfRule type="expression" dxfId="1380" priority="1147">
      <formula>-ISODD(ROW())</formula>
    </cfRule>
    <cfRule type="expression" dxfId="1379" priority="1148">
      <formula>ISOODD(ROW())</formula>
    </cfRule>
  </conditionalFormatting>
  <conditionalFormatting sqref="A181:P184 A185:A202 E185:P202 A203:P209 A210:D210 F210 H210 J210:L210 N210 P210">
    <cfRule type="expression" dxfId="1378" priority="48">
      <formula>ISODD(ROW())</formula>
    </cfRule>
  </conditionalFormatting>
  <conditionalFormatting sqref="A182:P184 A185:A202 E185:P202 A203:P209 A210:D210 F210 H210 J210:L210 N210 P210">
    <cfRule type="expression" dxfId="1377" priority="53">
      <formula>MOD(ROW(),2)=1</formula>
    </cfRule>
  </conditionalFormatting>
  <conditionalFormatting sqref="A183:P184 A185:A202 E185:P202 A203:P209 A210:D210 F210 H210 J210:L210 N210 P210">
    <cfRule type="expression" dxfId="1376" priority="50">
      <formula>ISOODD(ROW())</formula>
    </cfRule>
    <cfRule type="expression" dxfId="1375" priority="49">
      <formula>-ISODD(ROW())</formula>
    </cfRule>
  </conditionalFormatting>
  <conditionalFormatting sqref="A211:P214 A215:A230 E215:P230 A231:P239 A240:D240 F240 H240 J240:L240 N240 P240">
    <cfRule type="expression" dxfId="1374" priority="1094">
      <formula>ISODD(ROW())</formula>
    </cfRule>
  </conditionalFormatting>
  <conditionalFormatting sqref="A212:P214 A215:A230 E215:P230 A231:P239 A240:D240 F240 H240 J240:L240 N240 P240">
    <cfRule type="expression" dxfId="1373" priority="1122">
      <formula>MOD(ROW(),2)=1</formula>
    </cfRule>
  </conditionalFormatting>
  <conditionalFormatting sqref="A213:P214 A215:A230 E215:P230 A231:P239 A240:D240 F240 H240 J240:L240 N240 P240">
    <cfRule type="expression" dxfId="1372" priority="1109">
      <formula>ISOODD(ROW())</formula>
    </cfRule>
    <cfRule type="expression" dxfId="1371" priority="1108">
      <formula>-ISODD(ROW())</formula>
    </cfRule>
  </conditionalFormatting>
  <conditionalFormatting sqref="A241:P244 A245:A263 E245:P263 A264:P269">
    <cfRule type="expression" dxfId="1370" priority="970">
      <formula>ISODD(ROW())</formula>
    </cfRule>
  </conditionalFormatting>
  <conditionalFormatting sqref="A242:P244 A245:A263 E245:P263 A264:P269 A270:D270 F270 H270 J270:L270 N270 P270">
    <cfRule type="expression" dxfId="1369" priority="1084">
      <formula>MOD(ROW(),2)=1</formula>
    </cfRule>
  </conditionalFormatting>
  <conditionalFormatting sqref="A243:P244 A245:A263 E245:P263 A264:P269 A270:D270 F270 H270 J270:L270 N270 P270">
    <cfRule type="expression" dxfId="1368" priority="1071">
      <formula>ISOODD(ROW())</formula>
    </cfRule>
    <cfRule type="expression" dxfId="1367" priority="1070">
      <formula>-ISODD(ROW())</formula>
    </cfRule>
  </conditionalFormatting>
  <conditionalFormatting sqref="A271:P274 A275:A295 E275:P295 A296:P299 A300:D300 F300 H300 J300:L300 N300 P300">
    <cfRule type="expression" dxfId="1366" priority="1018">
      <formula>ISODD(ROW())</formula>
    </cfRule>
  </conditionalFormatting>
  <conditionalFormatting sqref="A272:P274 A275:A295 E275:P295 A296:P299 A300:D300 F300 H300 J300:L300 N300 P300">
    <cfRule type="expression" dxfId="1365" priority="1046">
      <formula>MOD(ROW(),2)=1</formula>
    </cfRule>
  </conditionalFormatting>
  <conditionalFormatting sqref="A273:P274 A275:A295 E275:P295 A296:P299 A300:D300 F300 H300 J300:L300 N300 P300">
    <cfRule type="expression" dxfId="1364" priority="1033">
      <formula>ISOODD(ROW())</formula>
    </cfRule>
    <cfRule type="expression" dxfId="1363" priority="1032">
      <formula>-ISODD(ROW())</formula>
    </cfRule>
  </conditionalFormatting>
  <conditionalFormatting sqref="A301:P304 A305:A324 E305:P324 A325:P329 A330:D330 F330 H330 J330:L330 N330 P330">
    <cfRule type="expression" dxfId="1362" priority="980">
      <formula>ISODD(ROW())</formula>
    </cfRule>
  </conditionalFormatting>
  <conditionalFormatting sqref="A302:P304 A305:A324 E305:P324 A325:P329 A330:D330 F330 H330 J330:L330 N330 P330">
    <cfRule type="expression" dxfId="1361" priority="1008">
      <formula>MOD(ROW(),2)=1</formula>
    </cfRule>
  </conditionalFormatting>
  <conditionalFormatting sqref="A303:P304 A305:A324 E305:P324 A325:P329 A330:D330 F330 H330 J330:L330 N330 P330">
    <cfRule type="expression" dxfId="1360" priority="994">
      <formula>-ISODD(ROW())</formula>
    </cfRule>
    <cfRule type="expression" dxfId="1359" priority="995">
      <formula>ISOODD(ROW())</formula>
    </cfRule>
  </conditionalFormatting>
  <conditionalFormatting sqref="A331:P334 A335:A358 E335:P358 A359:P359 A360:D360 F360 H360 J360:L360 N360 P360">
    <cfRule type="expression" dxfId="1358" priority="10">
      <formula>ISODD(ROW())</formula>
    </cfRule>
  </conditionalFormatting>
  <conditionalFormatting sqref="A332:P334 A335:A358 E335:P358 A359:P359 A360:D360 F360 H360 J360:L360 N360 P360">
    <cfRule type="expression" dxfId="1357" priority="38">
      <formula>MOD(ROW(),2)=1</formula>
    </cfRule>
  </conditionalFormatting>
  <conditionalFormatting sqref="A333:P334 A335:A358 E335:P358 A359:P359 A360:D360 F360 H360 J360:L360 N360 P360">
    <cfRule type="expression" dxfId="1356" priority="24">
      <formula>-ISODD(ROW())</formula>
    </cfRule>
    <cfRule type="expression" dxfId="1355" priority="25">
      <formula>ISOODD(ROW())</formula>
    </cfRule>
  </conditionalFormatting>
  <conditionalFormatting sqref="A361:P364 A365:A382 E365:P382 A383:P389 A390:D390 F390 H390 J390:L390 N390 P390">
    <cfRule type="expression" dxfId="1354" priority="941">
      <formula>ISODD(ROW())</formula>
    </cfRule>
  </conditionalFormatting>
  <conditionalFormatting sqref="A362:P364 A365:A382 E365:P382 A383:P389 A390:D390 F390 H390 J390:L390 N390 P390">
    <cfRule type="expression" dxfId="1353" priority="969">
      <formula>MOD(ROW(),2)=1</formula>
    </cfRule>
  </conditionalFormatting>
  <conditionalFormatting sqref="A363:P364 A365:A382 E365:P382 A383:P389 A390:D390 F390 H390 J390:L390 N390 P390">
    <cfRule type="expression" dxfId="1352" priority="955">
      <formula>-ISODD(ROW())</formula>
    </cfRule>
    <cfRule type="expression" dxfId="1351" priority="956">
      <formula>ISOODD(ROW())</formula>
    </cfRule>
  </conditionalFormatting>
  <conditionalFormatting sqref="A391:P394 A395:A415 E395:P415 A416:P419 A420:D420 F420 H420 J420:L420 N420 P420">
    <cfRule type="expression" dxfId="1350" priority="903">
      <formula>ISODD(ROW())</formula>
    </cfRule>
  </conditionalFormatting>
  <conditionalFormatting sqref="A392:P394 A395:A415 E395:P415 A416:P419 A420:D420 F420 H420 J420:L420 N420 P420">
    <cfRule type="expression" dxfId="1349" priority="931">
      <formula>MOD(ROW(),2)=1</formula>
    </cfRule>
  </conditionalFormatting>
  <conditionalFormatting sqref="A393:P394 A395:A415 E395:P415 A416:P419 A420:D420 F420 H420 J420:L420 N420 P420">
    <cfRule type="expression" dxfId="1348" priority="918">
      <formula>ISOODD(ROW())</formula>
    </cfRule>
    <cfRule type="expression" dxfId="1347" priority="917">
      <formula>-ISODD(ROW())</formula>
    </cfRule>
  </conditionalFormatting>
  <conditionalFormatting sqref="A421:P424 A425:A449 E425:P449 A450:D450 F450 H450 J450:L450 N450 P450">
    <cfRule type="expression" dxfId="1346" priority="865">
      <formula>ISODD(ROW())</formula>
    </cfRule>
  </conditionalFormatting>
  <conditionalFormatting sqref="A422:P424 A425:A449 E425:P449 A450:D450 F450 H450 J450:L450 N450 P450">
    <cfRule type="expression" dxfId="1345" priority="893">
      <formula>MOD(ROW(),2)=1</formula>
    </cfRule>
  </conditionalFormatting>
  <conditionalFormatting sqref="A423:P424 A425:A449 E425:P449 A450:D450 F450 H450 J450:L450 N450 P450">
    <cfRule type="expression" dxfId="1344" priority="880">
      <formula>ISOODD(ROW())</formula>
    </cfRule>
    <cfRule type="expression" dxfId="1343" priority="879">
      <formula>-ISODD(ROW())</formula>
    </cfRule>
  </conditionalFormatting>
  <conditionalFormatting sqref="A451:P454 A455:A472 E455:P472 A473:P479 A480:D480 F480 H480 J480:L480 N480 P480">
    <cfRule type="expression" dxfId="1342" priority="827">
      <formula>ISODD(ROW())</formula>
    </cfRule>
  </conditionalFormatting>
  <conditionalFormatting sqref="A452:P454 A455:A472 E455:P472 A473:P479 A480:D480 F480 H480 J480:L480 N480 P480">
    <cfRule type="expression" dxfId="1341" priority="855">
      <formula>MOD(ROW(),2)=1</formula>
    </cfRule>
  </conditionalFormatting>
  <conditionalFormatting sqref="A453:P454 A455:A472 E455:P472 A473:P479 A480:D480 F480 H480 J480:L480 N480 P480">
    <cfRule type="expression" dxfId="1340" priority="841">
      <formula>-ISODD(ROW())</formula>
    </cfRule>
    <cfRule type="expression" dxfId="1339" priority="842">
      <formula>ISOODD(ROW())</formula>
    </cfRule>
  </conditionalFormatting>
  <conditionalFormatting sqref="A481:P484 A485:A506 E485:P506 A507:P509 A510:D510 F510 H510 J510:L510 N510 P510">
    <cfRule type="expression" dxfId="1338" priority="789">
      <formula>ISODD(ROW())</formula>
    </cfRule>
  </conditionalFormatting>
  <conditionalFormatting sqref="A482:P484 A485:A506 E485:P506 A507:P509 A510:D510 F510 H510 J510:L510 N510 P510">
    <cfRule type="expression" dxfId="1337" priority="817">
      <formula>MOD(ROW(),2)=1</formula>
    </cfRule>
  </conditionalFormatting>
  <conditionalFormatting sqref="A483:P484 A485:A506 E485:P506 A507:P509 A510:D510 F510 H510 J510:L510 N510 P510">
    <cfRule type="expression" dxfId="1336" priority="804">
      <formula>ISOODD(ROW())</formula>
    </cfRule>
    <cfRule type="expression" dxfId="1335" priority="803">
      <formula>-ISODD(ROW())</formula>
    </cfRule>
  </conditionalFormatting>
  <conditionalFormatting sqref="A511:P514 A515:A539 E515:P539">
    <cfRule type="expression" dxfId="1334" priority="665">
      <formula>ISODD(ROW())</formula>
    </cfRule>
  </conditionalFormatting>
  <conditionalFormatting sqref="A512:P514 A515:A539 E515:P539 A540:D540 F540 H540 J540:L540 N540 P540">
    <cfRule type="expression" dxfId="1333" priority="779">
      <formula>MOD(ROW(),2)=1</formula>
    </cfRule>
  </conditionalFormatting>
  <conditionalFormatting sqref="A513:P514 A515:A539 E515:P539 A540:D540 F540 H540 J540:L540 N540 P540">
    <cfRule type="expression" dxfId="1332" priority="766">
      <formula>ISOODD(ROW())</formula>
    </cfRule>
    <cfRule type="expression" dxfId="1331" priority="765">
      <formula>-ISODD(ROW())</formula>
    </cfRule>
  </conditionalFormatting>
  <conditionalFormatting sqref="A541:P544 A545:A569 E545:P569 A570:D570 F570 H570 J570:L570 N570 P570">
    <cfRule type="expression" dxfId="1330" priority="713">
      <formula>ISODD(ROW())</formula>
    </cfRule>
  </conditionalFormatting>
  <conditionalFormatting sqref="A542:P544 A545:A569 E545:P569 A570:D570 F570 H570 J570:L570 N570 P570">
    <cfRule type="expression" dxfId="1329" priority="741">
      <formula>MOD(ROW(),2)=1</formula>
    </cfRule>
  </conditionalFormatting>
  <conditionalFormatting sqref="A543:P544 A545:A569 E545:P569 A570:D570 F570 H570 J570:L570 N570 P570">
    <cfRule type="expression" dxfId="1328" priority="728">
      <formula>ISOODD(ROW())</formula>
    </cfRule>
    <cfRule type="expression" dxfId="1327" priority="727">
      <formula>-ISODD(ROW())</formula>
    </cfRule>
  </conditionalFormatting>
  <conditionalFormatting sqref="A571:P574 A575:A591 E575:P591 A592:P599 A600:D600 F600 H600 J600:L600 N600 P600">
    <cfRule type="expression" dxfId="1326" priority="675">
      <formula>ISODD(ROW())</formula>
    </cfRule>
  </conditionalFormatting>
  <conditionalFormatting sqref="A572:P574 A575:A591 E575:P591 A592:P599 A600:D600 F600 H600 J600:L600 N600 P600">
    <cfRule type="expression" dxfId="1325" priority="703">
      <formula>MOD(ROW(),2)=1</formula>
    </cfRule>
  </conditionalFormatting>
  <conditionalFormatting sqref="A573:P574 A575:A591 E575:P591 A592:P599 A600:D600 F600 H600 J600:L600 N600 P600">
    <cfRule type="expression" dxfId="1324" priority="690">
      <formula>ISOODD(ROW())</formula>
    </cfRule>
    <cfRule type="expression" dxfId="1323" priority="689">
      <formula>-ISODD(ROW())</formula>
    </cfRule>
  </conditionalFormatting>
  <conditionalFormatting sqref="A601:P604 A605:A629 E605:P629 A630:D630 F630 H630 J630:L630 N630 P630">
    <cfRule type="expression" dxfId="1322" priority="636">
      <formula>ISODD(ROW())</formula>
    </cfRule>
  </conditionalFormatting>
  <conditionalFormatting sqref="A602:P604 A605:A629 E605:P629 A630:D630 F630 H630 J630:L630 N630 P630">
    <cfRule type="expression" dxfId="1321" priority="664">
      <formula>MOD(ROW(),2)=1</formula>
    </cfRule>
  </conditionalFormatting>
  <conditionalFormatting sqref="A603:P604 A605:A629 E605:P629 A630:D630 F630 H630 J630:L630 N630 P630">
    <cfRule type="expression" dxfId="1320" priority="651">
      <formula>ISOODD(ROW())</formula>
    </cfRule>
    <cfRule type="expression" dxfId="1319" priority="650">
      <formula>-ISODD(ROW())</formula>
    </cfRule>
  </conditionalFormatting>
  <conditionalFormatting sqref="A631:P634 A635:A658 E635:P658 A659:P659 A660:D660 F660 H660 J660:L660 N660 P660">
    <cfRule type="expression" dxfId="1318" priority="598">
      <formula>ISODD(ROW())</formula>
    </cfRule>
  </conditionalFormatting>
  <conditionalFormatting sqref="A632:P634 A635:A658 E635:P658 A659:P659 A660:D660 F660 H660 J660:L660 N660 P660">
    <cfRule type="expression" dxfId="1317" priority="626">
      <formula>MOD(ROW(),2)=1</formula>
    </cfRule>
  </conditionalFormatting>
  <conditionalFormatting sqref="A633:P634 A635:A658 E635:P658 A659:P659 A660:D660 F660 H660 J660:L660 N660 P660">
    <cfRule type="expression" dxfId="1316" priority="613">
      <formula>ISOODD(ROW())</formula>
    </cfRule>
    <cfRule type="expression" dxfId="1315" priority="612">
      <formula>-ISODD(ROW())</formula>
    </cfRule>
  </conditionalFormatting>
  <conditionalFormatting sqref="A661:P664 A665:A685 E665:P685 A686:P689 A690:D690 F690 H690 J690:L690 N690 P690">
    <cfRule type="expression" dxfId="1314" priority="560">
      <formula>ISODD(ROW())</formula>
    </cfRule>
  </conditionalFormatting>
  <conditionalFormatting sqref="A662:P664 A665:A685 E665:P685 A686:P689 A690:D690 F690 H690 J690:L690 N690 P690">
    <cfRule type="expression" dxfId="1313" priority="588">
      <formula>MOD(ROW(),2)=1</formula>
    </cfRule>
  </conditionalFormatting>
  <conditionalFormatting sqref="A663:P664 A665:A685 E665:P685 A686:P689 A690:D690 F690 H690 J690:L690 N690 P690">
    <cfRule type="expression" dxfId="1312" priority="575">
      <formula>ISOODD(ROW())</formula>
    </cfRule>
    <cfRule type="expression" dxfId="1311" priority="574">
      <formula>-ISODD(ROW())</formula>
    </cfRule>
  </conditionalFormatting>
  <conditionalFormatting sqref="A691:P694 A695:A708 E695:P708 A709:P719 A720:D720 F720 H720 J720:L720 N720 P720">
    <cfRule type="expression" dxfId="1310" priority="522">
      <formula>ISODD(ROW())</formula>
    </cfRule>
  </conditionalFormatting>
  <conditionalFormatting sqref="A692:P694 A695:A708 E695:P708 A709:P719 A720:D720 F720 H720 J720:L720 N720 P720">
    <cfRule type="expression" dxfId="1309" priority="550">
      <formula>MOD(ROW(),2)=1</formula>
    </cfRule>
  </conditionalFormatting>
  <conditionalFormatting sqref="A693:P694 A695:A708 E695:P708 A709:P719 A720:D720 F720 H720 J720:L720 N720 P720">
    <cfRule type="expression" dxfId="1308" priority="537">
      <formula>ISOODD(ROW())</formula>
    </cfRule>
    <cfRule type="expression" dxfId="1307" priority="536">
      <formula>-ISODD(ROW())</formula>
    </cfRule>
  </conditionalFormatting>
  <conditionalFormatting sqref="A721:P724 A725:A738 E725:P738 A739:P749 A750:D750 F750 H750 J750:L750 N750 P750">
    <cfRule type="expression" dxfId="1306" priority="484">
      <formula>ISODD(ROW())</formula>
    </cfRule>
  </conditionalFormatting>
  <conditionalFormatting sqref="A722:P724 A725:A738 E725:P738 A739:P749 A750:D750 F750 H750 J750:L750 N750 P750">
    <cfRule type="expression" dxfId="1305" priority="512">
      <formula>MOD(ROW(),2)=1</formula>
    </cfRule>
  </conditionalFormatting>
  <conditionalFormatting sqref="A723:P724 A725:A738 E725:P738 A739:P749 A750:D750 F750 H750 J750:L750 N750 P750">
    <cfRule type="expression" dxfId="1304" priority="499">
      <formula>ISOODD(ROW())</formula>
    </cfRule>
    <cfRule type="expression" dxfId="1303" priority="498">
      <formula>-ISODD(ROW())</formula>
    </cfRule>
  </conditionalFormatting>
  <conditionalFormatting sqref="A751:P754 A755:A769 E755:P769 A770:P779">
    <cfRule type="expression" dxfId="1302" priority="360">
      <formula>ISODD(ROW())</formula>
    </cfRule>
  </conditionalFormatting>
  <conditionalFormatting sqref="A752:P754 A755:A769 E755:P769 A770:P779 A780:D780 F780 H780 J780:L780 N780 P780">
    <cfRule type="expression" dxfId="1301" priority="474">
      <formula>MOD(ROW(),2)=1</formula>
    </cfRule>
  </conditionalFormatting>
  <conditionalFormatting sqref="A753:P754 A755:A769 E755:P769 A770:P779 A780:D780 F780 H780 J780:L780 N780 P780">
    <cfRule type="expression" dxfId="1300" priority="461">
      <formula>ISOODD(ROW())</formula>
    </cfRule>
    <cfRule type="expression" dxfId="1299" priority="460">
      <formula>-ISODD(ROW())</formula>
    </cfRule>
  </conditionalFormatting>
  <conditionalFormatting sqref="A781:P784 A785:A798 E785:P798 A799:P809 A810:D810 F810 H810 J810:L810 N810 P810">
    <cfRule type="expression" dxfId="1298" priority="408">
      <formula>ISODD(ROW())</formula>
    </cfRule>
  </conditionalFormatting>
  <conditionalFormatting sqref="A782:P784 A785:A798 E785:P798 A799:P809 A810:D810 F810 H810 J810:L810 N810 P810">
    <cfRule type="expression" dxfId="1297" priority="436">
      <formula>MOD(ROW(),2)=1</formula>
    </cfRule>
  </conditionalFormatting>
  <conditionalFormatting sqref="A783:P784 A785:A798 E785:P798 A799:P809 A810:D810 F810 H810 J810:L810 N810 P810">
    <cfRule type="expression" dxfId="1296" priority="422">
      <formula>-ISODD(ROW())</formula>
    </cfRule>
    <cfRule type="expression" dxfId="1295" priority="423">
      <formula>ISOODD(ROW())</formula>
    </cfRule>
  </conditionalFormatting>
  <conditionalFormatting sqref="A811:P814 A815:A835 E815:P835 A836:P839 A840:D840 F840 H840 J840:L840 N840 P840">
    <cfRule type="expression" dxfId="1294" priority="370">
      <formula>ISODD(ROW())</formula>
    </cfRule>
  </conditionalFormatting>
  <conditionalFormatting sqref="A812:P814 A815:A835 E815:P835 A836:P839 A840:D840 F840 H840 J840:L840 N840 P840">
    <cfRule type="expression" dxfId="1293" priority="398">
      <formula>MOD(ROW(),2)=1</formula>
    </cfRule>
  </conditionalFormatting>
  <conditionalFormatting sqref="A813:P814 A815:A835 E815:P835 A836:P839 A840:D840 F840 H840 J840:L840 N840 P840">
    <cfRule type="expression" dxfId="1292" priority="385">
      <formula>ISOODD(ROW())</formula>
    </cfRule>
    <cfRule type="expression" dxfId="1291" priority="384">
      <formula>-ISODD(ROW())</formula>
    </cfRule>
  </conditionalFormatting>
  <conditionalFormatting sqref="A841:P869 A870:D870 F870 H870 J870:L870 N870 P870">
    <cfRule type="expression" dxfId="1290" priority="331">
      <formula>ISODD(ROW())</formula>
    </cfRule>
  </conditionalFormatting>
  <conditionalFormatting sqref="A842:P844 A845:A857 E845:P857 A858:P869 A870:D870 F870 H870 J870:L870 N870 P870">
    <cfRule type="expression" dxfId="1289" priority="359">
      <formula>MOD(ROW(),2)=1</formula>
    </cfRule>
  </conditionalFormatting>
  <conditionalFormatting sqref="A843:P844 A845:A854 E845:P854 A855:P869 A870:D870 F870 H870 J870:L870 N870 P870">
    <cfRule type="expression" dxfId="1288" priority="346">
      <formula>ISOODD(ROW())</formula>
    </cfRule>
    <cfRule type="expression" dxfId="1287" priority="345">
      <formula>-ISODD(ROW())</formula>
    </cfRule>
  </conditionalFormatting>
  <conditionalFormatting sqref="A871:P899 A900:D900 F900 H900 J900:L900 N900 P900">
    <cfRule type="expression" dxfId="1286" priority="293">
      <formula>ISODD(ROW())</formula>
    </cfRule>
  </conditionalFormatting>
  <conditionalFormatting sqref="A872:P874 A875:A887 E875:P887 A888:P899 A900:D900 F900 H900 J900:L900 N900 P900">
    <cfRule type="expression" dxfId="1285" priority="321">
      <formula>MOD(ROW(),2)=1</formula>
    </cfRule>
  </conditionalFormatting>
  <conditionalFormatting sqref="A873:P874 A875:A884 E875:P884 A885:P899 A900:D900 F900 H900 J900:L900 N900 P900">
    <cfRule type="expression" dxfId="1284" priority="308">
      <formula>ISOODD(ROW())</formula>
    </cfRule>
    <cfRule type="expression" dxfId="1283" priority="307">
      <formula>-ISODD(ROW())</formula>
    </cfRule>
  </conditionalFormatting>
  <conditionalFormatting sqref="A901:P929 A930:D930 F930 H930 J930:L930 N930 P930">
    <cfRule type="expression" dxfId="1282" priority="255">
      <formula>ISODD(ROW())</formula>
    </cfRule>
  </conditionalFormatting>
  <conditionalFormatting sqref="A902:P904 A905:A917 E905:P917 A918:P929 A930:D930 F930 H930 J930:L930 N930 P930">
    <cfRule type="expression" dxfId="1281" priority="283">
      <formula>MOD(ROW(),2)=1</formula>
    </cfRule>
  </conditionalFormatting>
  <conditionalFormatting sqref="A903:P904 A905:A914 E905:P914 A915:P929 A930:D930 F930 H930 J930:L930 N930 P930">
    <cfRule type="expression" dxfId="1280" priority="270">
      <formula>ISOODD(ROW())</formula>
    </cfRule>
    <cfRule type="expression" dxfId="1279" priority="269">
      <formula>-ISODD(ROW())</formula>
    </cfRule>
  </conditionalFormatting>
  <conditionalFormatting sqref="A931:P959 A960:D960 F960 H960 J960:L960 N960 P960">
    <cfRule type="expression" dxfId="1278" priority="217">
      <formula>ISODD(ROW())</formula>
    </cfRule>
  </conditionalFormatting>
  <conditionalFormatting sqref="A932:P934 A935:A947 E935:P947 A948:P959 A960:D960 F960 H960 J960:L960 N960 P960">
    <cfRule type="expression" dxfId="1277" priority="245">
      <formula>MOD(ROW(),2)=1</formula>
    </cfRule>
  </conditionalFormatting>
  <conditionalFormatting sqref="A933:P934 A935:A944 E935:P944 A945:P959 A960:D960 F960 H960 J960:L960 N960 P960">
    <cfRule type="expression" dxfId="1276" priority="232">
      <formula>ISOODD(ROW())</formula>
    </cfRule>
    <cfRule type="expression" dxfId="1275" priority="231">
      <formula>-ISODD(ROW())</formula>
    </cfRule>
  </conditionalFormatting>
  <conditionalFormatting sqref="A961:P989 A990:D990 F990 H990 J990:L990 N990 P990">
    <cfRule type="expression" dxfId="1274" priority="179">
      <formula>ISODD(ROW())</formula>
    </cfRule>
  </conditionalFormatting>
  <conditionalFormatting sqref="A962:P964 A965:A977 E965:P977 A978:P989 A990:D990 F990 H990 J990:L990 N990 P990">
    <cfRule type="expression" dxfId="1273" priority="207">
      <formula>MOD(ROW(),2)=1</formula>
    </cfRule>
  </conditionalFormatting>
  <conditionalFormatting sqref="A963:P964 A965:A974 E965:P974 A975:P989 A990:D990 F990 H990 J990:L990 N990 P990">
    <cfRule type="expression" dxfId="1272" priority="194">
      <formula>ISOODD(ROW())</formula>
    </cfRule>
    <cfRule type="expression" dxfId="1271" priority="193">
      <formula>-ISODD(ROW())</formula>
    </cfRule>
  </conditionalFormatting>
  <conditionalFormatting sqref="A991:P1019">
    <cfRule type="expression" dxfId="1270" priority="55">
      <formula>ISODD(ROW())</formula>
    </cfRule>
  </conditionalFormatting>
  <conditionalFormatting sqref="A992:P994 A995:A1007 E995:P1007 A1008:P1019 A1020:D1020 F1020 H1020 J1020:L1020 N1020 P1020">
    <cfRule type="expression" dxfId="1269" priority="169">
      <formula>MOD(ROW(),2)=1</formula>
    </cfRule>
  </conditionalFormatting>
  <conditionalFormatting sqref="A993:P994 A995:A1004 E995:P1004 A1005:P1019 A1020:D1020 F1020 H1020 J1020:L1020 N1020 P1020">
    <cfRule type="expression" dxfId="1268" priority="155">
      <formula>-ISODD(ROW())</formula>
    </cfRule>
    <cfRule type="expression" dxfId="1267" priority="156">
      <formula>ISOODD(ROW())</formula>
    </cfRule>
  </conditionalFormatting>
  <conditionalFormatting sqref="A1021:P1049 A1050:D1050 F1050 H1050 J1050:L1050 N1050 P1050">
    <cfRule type="expression" dxfId="1266" priority="103">
      <formula>ISODD(ROW())</formula>
    </cfRule>
  </conditionalFormatting>
  <conditionalFormatting sqref="A1022:P1024 A1025:A1037 E1025:P1037 A1038:P1049 A1050:D1050 F1050 H1050 J1050:L1050 N1050 P1050">
    <cfRule type="expression" dxfId="1265" priority="131">
      <formula>MOD(ROW(),2)=1</formula>
    </cfRule>
  </conditionalFormatting>
  <conditionalFormatting sqref="A1023:P1024 A1025:A1034 E1025:P1034 A1035:P1049 A1050:D1050 F1050 H1050 J1050:L1050 N1050 P1050">
    <cfRule type="expression" dxfId="1264" priority="118">
      <formula>ISOODD(ROW())</formula>
    </cfRule>
    <cfRule type="expression" dxfId="1263" priority="117">
      <formula>-ISODD(ROW())</formula>
    </cfRule>
  </conditionalFormatting>
  <conditionalFormatting sqref="A1051:P1079 A1080:D1080 F1080 H1080 J1080:L1080 N1080 P1080">
    <cfRule type="expression" dxfId="1262" priority="65">
      <formula>ISODD(ROW())</formula>
    </cfRule>
  </conditionalFormatting>
  <conditionalFormatting sqref="A1052:P1054 A1055:A1067 E1055:P1067 A1068:P1079 A1080:D1080 F1080 H1080 J1080:L1080 N1080 P1080">
    <cfRule type="expression" dxfId="1261" priority="93">
      <formula>MOD(ROW(),2)=1</formula>
    </cfRule>
  </conditionalFormatting>
  <conditionalFormatting sqref="A1053:P1054 A1055:A1064 E1055:P1064 A1065:P1079 A1080:D1080 F1080 H1080 J1080:L1080 N1080 P1080">
    <cfRule type="expression" dxfId="1260" priority="79">
      <formula>-ISODD(ROW())</formula>
    </cfRule>
    <cfRule type="expression" dxfId="1259" priority="80">
      <formula>ISOODD(ROW())</formula>
    </cfRule>
  </conditionalFormatting>
  <conditionalFormatting sqref="A1081:XFD1048576">
    <cfRule type="expression" priority="1843">
      <formula>"ISODD(RƠ())"</formula>
    </cfRule>
  </conditionalFormatting>
  <conditionalFormatting sqref="B845:C854">
    <cfRule type="expression" dxfId="1258" priority="332">
      <formula>ISODD(ROW())</formula>
    </cfRule>
    <cfRule type="expression" dxfId="1257" priority="334">
      <formula>ISODD(ROW())</formula>
    </cfRule>
    <cfRule type="expression" dxfId="1256" priority="335">
      <formula>ISODD(ROW())</formula>
    </cfRule>
    <cfRule type="expression" dxfId="1255" priority="337">
      <formula>ISODD(RƠ())</formula>
    </cfRule>
  </conditionalFormatting>
  <conditionalFormatting sqref="B855:C857">
    <cfRule type="expression" dxfId="1254" priority="354">
      <formula>ISODD(RƠ())</formula>
    </cfRule>
    <cfRule type="expression" dxfId="1253" priority="349">
      <formula>ISODD(ROW())</formula>
    </cfRule>
    <cfRule type="expression" dxfId="1252" priority="351">
      <formula>ISODD(ROW())</formula>
    </cfRule>
    <cfRule type="expression" dxfId="1251" priority="352">
      <formula>ISODD(ROW())</formula>
    </cfRule>
  </conditionalFormatting>
  <conditionalFormatting sqref="B875:C884">
    <cfRule type="expression" dxfId="1250" priority="299">
      <formula>ISODD(RƠ())</formula>
    </cfRule>
    <cfRule type="expression" dxfId="1249" priority="297">
      <formula>ISODD(ROW())</formula>
    </cfRule>
    <cfRule type="expression" dxfId="1248" priority="296">
      <formula>ISODD(ROW())</formula>
    </cfRule>
    <cfRule type="expression" dxfId="1247" priority="294">
      <formula>ISODD(ROW())</formula>
    </cfRule>
  </conditionalFormatting>
  <conditionalFormatting sqref="B885:C887">
    <cfRule type="expression" dxfId="1246" priority="314">
      <formula>ISODD(ROW())</formula>
    </cfRule>
    <cfRule type="expression" dxfId="1245" priority="313">
      <formula>ISODD(ROW())</formula>
    </cfRule>
    <cfRule type="expression" dxfId="1244" priority="311">
      <formula>ISODD(ROW())</formula>
    </cfRule>
    <cfRule type="expression" dxfId="1243" priority="316">
      <formula>ISODD(RƠ())</formula>
    </cfRule>
  </conditionalFormatting>
  <conditionalFormatting sqref="B905:C914">
    <cfRule type="expression" dxfId="1242" priority="258">
      <formula>ISODD(ROW())</formula>
    </cfRule>
    <cfRule type="expression" dxfId="1241" priority="259">
      <formula>ISODD(ROW())</formula>
    </cfRule>
    <cfRule type="expression" dxfId="1240" priority="261">
      <formula>ISODD(RƠ())</formula>
    </cfRule>
    <cfRule type="expression" dxfId="1239" priority="256">
      <formula>ISODD(ROW())</formula>
    </cfRule>
  </conditionalFormatting>
  <conditionalFormatting sqref="B915:C917">
    <cfRule type="expression" dxfId="1238" priority="273">
      <formula>ISODD(ROW())</formula>
    </cfRule>
    <cfRule type="expression" dxfId="1237" priority="276">
      <formula>ISODD(ROW())</formula>
    </cfRule>
    <cfRule type="expression" dxfId="1236" priority="278">
      <formula>ISODD(RƠ())</formula>
    </cfRule>
    <cfRule type="expression" dxfId="1235" priority="275">
      <formula>ISODD(ROW())</formula>
    </cfRule>
  </conditionalFormatting>
  <conditionalFormatting sqref="B935:C944">
    <cfRule type="expression" dxfId="1234" priority="223">
      <formula>ISODD(RƠ())</formula>
    </cfRule>
    <cfRule type="expression" dxfId="1233" priority="220">
      <formula>ISODD(ROW())</formula>
    </cfRule>
    <cfRule type="expression" dxfId="1232" priority="221">
      <formula>ISODD(ROW())</formula>
    </cfRule>
    <cfRule type="expression" dxfId="1231" priority="218">
      <formula>ISODD(ROW())</formula>
    </cfRule>
  </conditionalFormatting>
  <conditionalFormatting sqref="B945:C947">
    <cfRule type="expression" dxfId="1230" priority="235">
      <formula>ISODD(ROW())</formula>
    </cfRule>
    <cfRule type="expression" dxfId="1229" priority="240">
      <formula>ISODD(RƠ())</formula>
    </cfRule>
    <cfRule type="expression" dxfId="1228" priority="238">
      <formula>ISODD(ROW())</formula>
    </cfRule>
    <cfRule type="expression" dxfId="1227" priority="237">
      <formula>ISODD(ROW())</formula>
    </cfRule>
  </conditionalFormatting>
  <conditionalFormatting sqref="B965:C974">
    <cfRule type="expression" dxfId="1226" priority="180">
      <formula>ISODD(ROW())</formula>
    </cfRule>
    <cfRule type="expression" dxfId="1225" priority="185">
      <formula>ISODD(RƠ())</formula>
    </cfRule>
    <cfRule type="expression" dxfId="1224" priority="183">
      <formula>ISODD(ROW())</formula>
    </cfRule>
    <cfRule type="expression" dxfId="1223" priority="182">
      <formula>ISODD(ROW())</formula>
    </cfRule>
  </conditionalFormatting>
  <conditionalFormatting sqref="B975:C977">
    <cfRule type="expression" dxfId="1222" priority="202">
      <formula>ISODD(RƠ())</formula>
    </cfRule>
    <cfRule type="expression" dxfId="1221" priority="197">
      <formula>ISODD(ROW())</formula>
    </cfRule>
    <cfRule type="expression" dxfId="1220" priority="199">
      <formula>ISODD(ROW())</formula>
    </cfRule>
    <cfRule type="expression" dxfId="1219" priority="200">
      <formula>ISODD(ROW())</formula>
    </cfRule>
  </conditionalFormatting>
  <conditionalFormatting sqref="B995:C1004">
    <cfRule type="expression" dxfId="1218" priority="142">
      <formula>ISODD(ROW())</formula>
    </cfRule>
    <cfRule type="expression" dxfId="1217" priority="144">
      <formula>ISODD(ROW())</formula>
    </cfRule>
    <cfRule type="expression" dxfId="1216" priority="145">
      <formula>ISODD(ROW())</formula>
    </cfRule>
    <cfRule type="expression" dxfId="1215" priority="147">
      <formula>ISODD(RƠ())</formula>
    </cfRule>
  </conditionalFormatting>
  <conditionalFormatting sqref="B1005:C1007">
    <cfRule type="expression" dxfId="1214" priority="159">
      <formula>ISODD(ROW())</formula>
    </cfRule>
    <cfRule type="expression" dxfId="1213" priority="161">
      <formula>ISODD(ROW())</formula>
    </cfRule>
    <cfRule type="expression" dxfId="1212" priority="164">
      <formula>ISODD(RƠ())</formula>
    </cfRule>
    <cfRule type="expression" dxfId="1211" priority="162">
      <formula>ISODD(ROW())</formula>
    </cfRule>
  </conditionalFormatting>
  <conditionalFormatting sqref="B1025:C1034">
    <cfRule type="expression" dxfId="1210" priority="104">
      <formula>ISODD(ROW())</formula>
    </cfRule>
    <cfRule type="expression" dxfId="1209" priority="106">
      <formula>ISODD(ROW())</formula>
    </cfRule>
    <cfRule type="expression" dxfId="1208" priority="109">
      <formula>ISODD(RƠ())</formula>
    </cfRule>
    <cfRule type="expression" dxfId="1207" priority="107">
      <formula>ISODD(ROW())</formula>
    </cfRule>
  </conditionalFormatting>
  <conditionalFormatting sqref="B1035:C1037">
    <cfRule type="expression" dxfId="1206" priority="126">
      <formula>ISODD(RƠ())</formula>
    </cfRule>
    <cfRule type="expression" dxfId="1205" priority="123">
      <formula>ISODD(ROW())</formula>
    </cfRule>
    <cfRule type="expression" dxfId="1204" priority="121">
      <formula>ISODD(ROW())</formula>
    </cfRule>
    <cfRule type="expression" dxfId="1203" priority="124">
      <formula>ISODD(ROW())</formula>
    </cfRule>
  </conditionalFormatting>
  <conditionalFormatting sqref="B1055:C1064">
    <cfRule type="expression" dxfId="1202" priority="66">
      <formula>ISODD(ROW())</formula>
    </cfRule>
    <cfRule type="expression" dxfId="1201" priority="68">
      <formula>ISODD(ROW())</formula>
    </cfRule>
    <cfRule type="expression" dxfId="1200" priority="69">
      <formula>ISODD(ROW())</formula>
    </cfRule>
    <cfRule type="expression" dxfId="1199" priority="71">
      <formula>ISODD(RƠ())</formula>
    </cfRule>
  </conditionalFormatting>
  <conditionalFormatting sqref="B1065:C1067">
    <cfRule type="expression" dxfId="1198" priority="86">
      <formula>ISODD(ROW())</formula>
    </cfRule>
    <cfRule type="expression" dxfId="1197" priority="85">
      <formula>ISODD(ROW())</formula>
    </cfRule>
    <cfRule type="expression" dxfId="1196" priority="83">
      <formula>ISODD(ROW())</formula>
    </cfRule>
    <cfRule type="expression" dxfId="1195" priority="88">
      <formula>ISODD(RƠ())</formula>
    </cfRule>
  </conditionalFormatting>
  <conditionalFormatting sqref="B845:D854">
    <cfRule type="expression" dxfId="1194" priority="336">
      <formula>ISODD(ROW())</formula>
    </cfRule>
    <cfRule type="expression" dxfId="1193" priority="333">
      <formula>"IF(A4:A299);ISODD(ROW()))"</formula>
    </cfRule>
    <cfRule type="expression" dxfId="1192" priority="338">
      <formula>ISODD(ROW())</formula>
    </cfRule>
  </conditionalFormatting>
  <conditionalFormatting sqref="B845:D857">
    <cfRule type="expression" priority="342">
      <formula>"ISODD(ROW())"</formula>
    </cfRule>
    <cfRule type="expression" priority="340">
      <formula>is(ROW())</formula>
    </cfRule>
    <cfRule type="expression" priority="343">
      <formula>ISODD(ROW())</formula>
    </cfRule>
  </conditionalFormatting>
  <conditionalFormatting sqref="B855:D857">
    <cfRule type="expression" dxfId="1191" priority="355">
      <formula>ISODD(ROW())</formula>
    </cfRule>
    <cfRule type="expression" dxfId="1190" priority="353">
      <formula>ISODD(ROW())</formula>
    </cfRule>
    <cfRule type="expression" dxfId="1189" priority="350">
      <formula>"IF(A4:A299);ISODD(ROW()))"</formula>
    </cfRule>
  </conditionalFormatting>
  <conditionalFormatting sqref="B875:D884">
    <cfRule type="expression" dxfId="1188" priority="298">
      <formula>ISODD(ROW())</formula>
    </cfRule>
    <cfRule type="expression" dxfId="1187" priority="295">
      <formula>"IF(A4:A299);ISODD(ROW()))"</formula>
    </cfRule>
    <cfRule type="expression" dxfId="1186" priority="300">
      <formula>ISODD(ROW())</formula>
    </cfRule>
  </conditionalFormatting>
  <conditionalFormatting sqref="B875:D887">
    <cfRule type="expression" priority="305">
      <formula>ISODD(ROW())</formula>
    </cfRule>
    <cfRule type="expression" priority="304">
      <formula>"ISODD(ROW())"</formula>
    </cfRule>
    <cfRule type="expression" priority="302">
      <formula>is(ROW())</formula>
    </cfRule>
  </conditionalFormatting>
  <conditionalFormatting sqref="B885:D887">
    <cfRule type="expression" dxfId="1185" priority="315">
      <formula>ISODD(ROW())</formula>
    </cfRule>
    <cfRule type="expression" dxfId="1184" priority="312">
      <formula>"IF(A4:A299);ISODD(ROW()))"</formula>
    </cfRule>
    <cfRule type="expression" dxfId="1183" priority="317">
      <formula>ISODD(ROW())</formula>
    </cfRule>
  </conditionalFormatting>
  <conditionalFormatting sqref="B905:D914">
    <cfRule type="expression" dxfId="1182" priority="257">
      <formula>"IF(A4:A299);ISODD(ROW()))"</formula>
    </cfRule>
    <cfRule type="expression" dxfId="1181" priority="262">
      <formula>ISODD(ROW())</formula>
    </cfRule>
    <cfRule type="expression" dxfId="1180" priority="260">
      <formula>ISODD(ROW())</formula>
    </cfRule>
  </conditionalFormatting>
  <conditionalFormatting sqref="B905:D917">
    <cfRule type="expression" priority="266">
      <formula>"ISODD(ROW())"</formula>
    </cfRule>
    <cfRule type="expression" priority="264">
      <formula>is(ROW())</formula>
    </cfRule>
    <cfRule type="expression" priority="267">
      <formula>ISODD(ROW())</formula>
    </cfRule>
  </conditionalFormatting>
  <conditionalFormatting sqref="B915:D917">
    <cfRule type="expression" dxfId="1179" priority="274">
      <formula>"IF(A4:A299);ISODD(ROW()))"</formula>
    </cfRule>
    <cfRule type="expression" dxfId="1178" priority="277">
      <formula>ISODD(ROW())</formula>
    </cfRule>
    <cfRule type="expression" dxfId="1177" priority="279">
      <formula>ISODD(ROW())</formula>
    </cfRule>
  </conditionalFormatting>
  <conditionalFormatting sqref="B935:D944">
    <cfRule type="expression" dxfId="1176" priority="224">
      <formula>ISODD(ROW())</formula>
    </cfRule>
    <cfRule type="expression" dxfId="1175" priority="222">
      <formula>ISODD(ROW())</formula>
    </cfRule>
    <cfRule type="expression" dxfId="1174" priority="219">
      <formula>"IF(A4:A299);ISODD(ROW()))"</formula>
    </cfRule>
  </conditionalFormatting>
  <conditionalFormatting sqref="B935:D947">
    <cfRule type="expression" priority="229">
      <formula>ISODD(ROW())</formula>
    </cfRule>
    <cfRule type="expression" priority="228">
      <formula>"ISODD(ROW())"</formula>
    </cfRule>
    <cfRule type="expression" priority="226">
      <formula>is(ROW())</formula>
    </cfRule>
  </conditionalFormatting>
  <conditionalFormatting sqref="B945:D947">
    <cfRule type="expression" dxfId="1173" priority="241">
      <formula>ISODD(ROW())</formula>
    </cfRule>
    <cfRule type="expression" dxfId="1172" priority="236">
      <formula>"IF(A4:A299);ISODD(ROW()))"</formula>
    </cfRule>
    <cfRule type="expression" dxfId="1171" priority="239">
      <formula>ISODD(ROW())</formula>
    </cfRule>
  </conditionalFormatting>
  <conditionalFormatting sqref="B965:D974">
    <cfRule type="expression" dxfId="1170" priority="181">
      <formula>"IF(A4:A299);ISODD(ROW()))"</formula>
    </cfRule>
    <cfRule type="expression" dxfId="1169" priority="184">
      <formula>ISODD(ROW())</formula>
    </cfRule>
    <cfRule type="expression" dxfId="1168" priority="186">
      <formula>ISODD(ROW())</formula>
    </cfRule>
  </conditionalFormatting>
  <conditionalFormatting sqref="B965:D977">
    <cfRule type="expression" priority="188">
      <formula>is(ROW())</formula>
    </cfRule>
    <cfRule type="expression" priority="191">
      <formula>ISODD(ROW())</formula>
    </cfRule>
    <cfRule type="expression" priority="190">
      <formula>"ISODD(ROW())"</formula>
    </cfRule>
  </conditionalFormatting>
  <conditionalFormatting sqref="B975:D977">
    <cfRule type="expression" dxfId="1167" priority="203">
      <formula>ISODD(ROW())</formula>
    </cfRule>
    <cfRule type="expression" dxfId="1166" priority="198">
      <formula>"IF(A4:A299);ISODD(ROW()))"</formula>
    </cfRule>
    <cfRule type="expression" dxfId="1165" priority="201">
      <formula>ISODD(ROW())</formula>
    </cfRule>
  </conditionalFormatting>
  <conditionalFormatting sqref="B995:D1004">
    <cfRule type="expression" dxfId="1164" priority="148">
      <formula>ISODD(ROW())</formula>
    </cfRule>
    <cfRule type="expression" dxfId="1163" priority="146">
      <formula>ISODD(ROW())</formula>
    </cfRule>
    <cfRule type="expression" dxfId="1162" priority="143">
      <formula>"IF(A4:A299);ISODD(ROW()))"</formula>
    </cfRule>
  </conditionalFormatting>
  <conditionalFormatting sqref="B995:D1007">
    <cfRule type="expression" priority="150">
      <formula>is(ROW())</formula>
    </cfRule>
    <cfRule type="expression" priority="152">
      <formula>"ISODD(ROW())"</formula>
    </cfRule>
    <cfRule type="expression" priority="153">
      <formula>ISODD(ROW())</formula>
    </cfRule>
  </conditionalFormatting>
  <conditionalFormatting sqref="B1005:D1007">
    <cfRule type="expression" dxfId="1161" priority="160">
      <formula>"IF(A4:A299);ISODD(ROW()))"</formula>
    </cfRule>
    <cfRule type="expression" dxfId="1160" priority="163">
      <formula>ISODD(ROW())</formula>
    </cfRule>
    <cfRule type="expression" dxfId="1159" priority="165">
      <formula>ISODD(ROW())</formula>
    </cfRule>
  </conditionalFormatting>
  <conditionalFormatting sqref="B1025:D1034">
    <cfRule type="expression" dxfId="1158" priority="110">
      <formula>ISODD(ROW())</formula>
    </cfRule>
    <cfRule type="expression" dxfId="1157" priority="108">
      <formula>ISODD(ROW())</formula>
    </cfRule>
    <cfRule type="expression" dxfId="1156" priority="105">
      <formula>"IF(A4:A299);ISODD(ROW()))"</formula>
    </cfRule>
  </conditionalFormatting>
  <conditionalFormatting sqref="B1025:D1037">
    <cfRule type="expression" priority="115">
      <formula>ISODD(ROW())</formula>
    </cfRule>
    <cfRule type="expression" priority="112">
      <formula>is(ROW())</formula>
    </cfRule>
    <cfRule type="expression" priority="114">
      <formula>"ISODD(ROW())"</formula>
    </cfRule>
  </conditionalFormatting>
  <conditionalFormatting sqref="B1035:D1037">
    <cfRule type="expression" dxfId="1155" priority="122">
      <formula>"IF(A4:A299);ISODD(ROW()))"</formula>
    </cfRule>
    <cfRule type="expression" dxfId="1154" priority="125">
      <formula>ISODD(ROW())</formula>
    </cfRule>
    <cfRule type="expression" dxfId="1153" priority="127">
      <formula>ISODD(ROW())</formula>
    </cfRule>
  </conditionalFormatting>
  <conditionalFormatting sqref="B1055:D1064">
    <cfRule type="expression" dxfId="1152" priority="72">
      <formula>ISODD(ROW())</formula>
    </cfRule>
    <cfRule type="expression" dxfId="1151" priority="67">
      <formula>"IF(A4:A299);ISODD(ROW()))"</formula>
    </cfRule>
    <cfRule type="expression" dxfId="1150" priority="70">
      <formula>ISODD(ROW())</formula>
    </cfRule>
  </conditionalFormatting>
  <conditionalFormatting sqref="B1055:D1067">
    <cfRule type="expression" priority="74">
      <formula>is(ROW())</formula>
    </cfRule>
    <cfRule type="expression" priority="77">
      <formula>ISODD(ROW())</formula>
    </cfRule>
    <cfRule type="expression" priority="76">
      <formula>"ISODD(ROW())"</formula>
    </cfRule>
  </conditionalFormatting>
  <conditionalFormatting sqref="B1065:D1067">
    <cfRule type="expression" dxfId="1149" priority="89">
      <formula>ISODD(ROW())</formula>
    </cfRule>
    <cfRule type="expression" dxfId="1148" priority="87">
      <formula>ISODD(ROW())</formula>
    </cfRule>
    <cfRule type="expression" dxfId="1147" priority="84">
      <formula>"IF(A4:A299);ISODD(ROW()))"</formula>
    </cfRule>
  </conditionalFormatting>
  <conditionalFormatting sqref="D845:D854">
    <cfRule type="expression" dxfId="1146" priority="339">
      <formula>ISODD(ROW())</formula>
    </cfRule>
    <cfRule type="expression" dxfId="1145" priority="341">
      <formula>ISODD(ROW())</formula>
    </cfRule>
    <cfRule type="expression" dxfId="1144" priority="344">
      <formula>ISODD(RƠ())</formula>
    </cfRule>
  </conditionalFormatting>
  <conditionalFormatting sqref="D855:D857">
    <cfRule type="expression" dxfId="1143" priority="357">
      <formula>ISODD(ROW())</formula>
    </cfRule>
    <cfRule type="expression" dxfId="1142" priority="358">
      <formula>ISODD(RƠ())</formula>
    </cfRule>
    <cfRule type="expression" dxfId="1141" priority="356">
      <formula>ISODD(ROW())</formula>
    </cfRule>
  </conditionalFormatting>
  <conditionalFormatting sqref="D875:D884">
    <cfRule type="expression" dxfId="1140" priority="306">
      <formula>ISODD(RƠ())</formula>
    </cfRule>
    <cfRule type="expression" dxfId="1139" priority="301">
      <formula>ISODD(ROW())</formula>
    </cfRule>
    <cfRule type="expression" dxfId="1138" priority="303">
      <formula>ISODD(ROW())</formula>
    </cfRule>
  </conditionalFormatting>
  <conditionalFormatting sqref="D885:D887">
    <cfRule type="expression" dxfId="1137" priority="318">
      <formula>ISODD(ROW())</formula>
    </cfRule>
    <cfRule type="expression" dxfId="1136" priority="319">
      <formula>ISODD(ROW())</formula>
    </cfRule>
    <cfRule type="expression" dxfId="1135" priority="320">
      <formula>ISODD(RƠ())</formula>
    </cfRule>
  </conditionalFormatting>
  <conditionalFormatting sqref="D905:D914">
    <cfRule type="expression" dxfId="1134" priority="263">
      <formula>ISODD(ROW())</formula>
    </cfRule>
    <cfRule type="expression" dxfId="1133" priority="265">
      <formula>ISODD(ROW())</formula>
    </cfRule>
    <cfRule type="expression" dxfId="1132" priority="268">
      <formula>ISODD(RƠ())</formula>
    </cfRule>
  </conditionalFormatting>
  <conditionalFormatting sqref="D915:D917">
    <cfRule type="expression" dxfId="1131" priority="280">
      <formula>ISODD(ROW())</formula>
    </cfRule>
    <cfRule type="expression" dxfId="1130" priority="281">
      <formula>ISODD(ROW())</formula>
    </cfRule>
    <cfRule type="expression" dxfId="1129" priority="282">
      <formula>ISODD(RƠ())</formula>
    </cfRule>
  </conditionalFormatting>
  <conditionalFormatting sqref="D935:D944">
    <cfRule type="expression" dxfId="1128" priority="227">
      <formula>ISODD(ROW())</formula>
    </cfRule>
    <cfRule type="expression" dxfId="1127" priority="230">
      <formula>ISODD(RƠ())</formula>
    </cfRule>
    <cfRule type="expression" dxfId="1126" priority="225">
      <formula>ISODD(ROW())</formula>
    </cfRule>
  </conditionalFormatting>
  <conditionalFormatting sqref="D945:D947">
    <cfRule type="expression" dxfId="1125" priority="244">
      <formula>ISODD(RƠ())</formula>
    </cfRule>
    <cfRule type="expression" dxfId="1124" priority="243">
      <formula>ISODD(ROW())</formula>
    </cfRule>
    <cfRule type="expression" dxfId="1123" priority="242">
      <formula>ISODD(ROW())</formula>
    </cfRule>
  </conditionalFormatting>
  <conditionalFormatting sqref="D965:D974">
    <cfRule type="expression" dxfId="1122" priority="189">
      <formula>ISODD(ROW())</formula>
    </cfRule>
    <cfRule type="expression" dxfId="1121" priority="192">
      <formula>ISODD(RƠ())</formula>
    </cfRule>
    <cfRule type="expression" dxfId="1120" priority="187">
      <formula>ISODD(ROW())</formula>
    </cfRule>
  </conditionalFormatting>
  <conditionalFormatting sqref="D975:D977">
    <cfRule type="expression" dxfId="1119" priority="205">
      <formula>ISODD(ROW())</formula>
    </cfRule>
    <cfRule type="expression" dxfId="1118" priority="204">
      <formula>ISODD(ROW())</formula>
    </cfRule>
    <cfRule type="expression" dxfId="1117" priority="206">
      <formula>ISODD(RƠ())</formula>
    </cfRule>
  </conditionalFormatting>
  <conditionalFormatting sqref="D995:D1004">
    <cfRule type="expression" dxfId="1116" priority="149">
      <formula>ISODD(ROW())</formula>
    </cfRule>
    <cfRule type="expression" dxfId="1115" priority="151">
      <formula>ISODD(ROW())</formula>
    </cfRule>
    <cfRule type="expression" dxfId="1114" priority="154">
      <formula>ISODD(RƠ())</formula>
    </cfRule>
  </conditionalFormatting>
  <conditionalFormatting sqref="D1005:D1007">
    <cfRule type="expression" dxfId="1113" priority="168">
      <formula>ISODD(RƠ())</formula>
    </cfRule>
    <cfRule type="expression" dxfId="1112" priority="167">
      <formula>ISODD(ROW())</formula>
    </cfRule>
    <cfRule type="expression" dxfId="1111" priority="166">
      <formula>ISODD(ROW())</formula>
    </cfRule>
  </conditionalFormatting>
  <conditionalFormatting sqref="D1025:D1034">
    <cfRule type="expression" dxfId="1110" priority="111">
      <formula>ISODD(ROW())</formula>
    </cfRule>
    <cfRule type="expression" dxfId="1109" priority="113">
      <formula>ISODD(ROW())</formula>
    </cfRule>
    <cfRule type="expression" dxfId="1108" priority="116">
      <formula>ISODD(RƠ())</formula>
    </cfRule>
  </conditionalFormatting>
  <conditionalFormatting sqref="D1035:D1037">
    <cfRule type="expression" dxfId="1107" priority="128">
      <formula>ISODD(ROW())</formula>
    </cfRule>
    <cfRule type="expression" dxfId="1106" priority="129">
      <formula>ISODD(ROW())</formula>
    </cfRule>
    <cfRule type="expression" dxfId="1105" priority="130">
      <formula>ISODD(RƠ())</formula>
    </cfRule>
  </conditionalFormatting>
  <conditionalFormatting sqref="D1055:D1064">
    <cfRule type="expression" dxfId="1104" priority="75">
      <formula>ISODD(ROW())</formula>
    </cfRule>
    <cfRule type="expression" dxfId="1103" priority="73">
      <formula>ISODD(ROW())</formula>
    </cfRule>
    <cfRule type="expression" dxfId="1102" priority="78">
      <formula>ISODD(RƠ())</formula>
    </cfRule>
  </conditionalFormatting>
  <conditionalFormatting sqref="D1065:D1067">
    <cfRule type="expression" dxfId="1101" priority="90">
      <formula>ISODD(ROW())</formula>
    </cfRule>
    <cfRule type="expression" dxfId="1100" priority="92">
      <formula>ISODD(RƠ())</formula>
    </cfRule>
    <cfRule type="expression" dxfId="1099" priority="91">
      <formula>ISODD(ROW())</formula>
    </cfRule>
  </conditionalFormatting>
  <conditionalFormatting sqref="E30 G30 I30 M30 O30 E60 G60 I60 M60 O60">
    <cfRule type="expression" dxfId="1098" priority="1292">
      <formula>ISODD(ROW())</formula>
    </cfRule>
    <cfRule type="expression" dxfId="1097" priority="1290">
      <formula>"IF(A4:A299);ISODD(ROW()))"</formula>
    </cfRule>
    <cfRule type="expression" dxfId="1096" priority="1298">
      <formula>ISODD(RƠ())</formula>
    </cfRule>
    <cfRule type="expression" priority="1294">
      <formula>is(ROW())</formula>
    </cfRule>
    <cfRule type="expression" priority="1297">
      <formula>ISODD(ROW())</formula>
    </cfRule>
    <cfRule type="expression" priority="1296">
      <formula>"ISODD(ROW())"</formula>
    </cfRule>
    <cfRule type="expression" dxfId="1095" priority="1295">
      <formula>ISODD(ROW())</formula>
    </cfRule>
    <cfRule type="expression" dxfId="1094" priority="1293">
      <formula>ISODD(ROW())</formula>
    </cfRule>
    <cfRule type="expression" dxfId="1093" priority="1291">
      <formula>ISODD(ROW())</formula>
    </cfRule>
  </conditionalFormatting>
  <conditionalFormatting sqref="E90 G90 I90 M90 O90">
    <cfRule type="expression" priority="1251">
      <formula>is(ROW())</formula>
    </cfRule>
    <cfRule type="expression" priority="1253">
      <formula>"ISODD(ROW())"</formula>
    </cfRule>
    <cfRule type="expression" priority="1254">
      <formula>ISODD(ROW())</formula>
    </cfRule>
    <cfRule type="expression" dxfId="1092" priority="1255">
      <formula>ISODD(RƠ())</formula>
    </cfRule>
    <cfRule type="expression" dxfId="1091" priority="1252">
      <formula>ISODD(ROW())</formula>
    </cfRule>
    <cfRule type="expression" dxfId="1090" priority="1247">
      <formula>"IF(A4:A299);ISODD(ROW()))"</formula>
    </cfRule>
    <cfRule type="expression" dxfId="1089" priority="1248">
      <formula>ISODD(ROW())</formula>
    </cfRule>
    <cfRule type="expression" dxfId="1088" priority="1249">
      <formula>ISODD(ROW())</formula>
    </cfRule>
    <cfRule type="expression" dxfId="1087" priority="1250">
      <formula>ISODD(ROW())</formula>
    </cfRule>
  </conditionalFormatting>
  <conditionalFormatting sqref="E120 G120 I120 M120 O120">
    <cfRule type="expression" priority="1204">
      <formula>is(ROW())</formula>
    </cfRule>
    <cfRule type="expression" dxfId="1086" priority="1205">
      <formula>ISODD(ROW())</formula>
    </cfRule>
    <cfRule type="expression" dxfId="1085" priority="1201">
      <formula>ISODD(ROW())</formula>
    </cfRule>
    <cfRule type="expression" dxfId="1084" priority="1200">
      <formula>"IF(A4:A299);ISODD(ROW()))"</formula>
    </cfRule>
    <cfRule type="expression" priority="1207">
      <formula>ISODD(ROW())</formula>
    </cfRule>
    <cfRule type="expression" dxfId="1083" priority="1208">
      <formula>ISODD(RƠ())</formula>
    </cfRule>
    <cfRule type="expression" dxfId="1082" priority="1203">
      <formula>ISODD(ROW())</formula>
    </cfRule>
    <cfRule type="expression" dxfId="1081" priority="1202">
      <formula>ISODD(ROW())</formula>
    </cfRule>
    <cfRule type="expression" priority="1206">
      <formula>"ISODD(ROW())"</formula>
    </cfRule>
  </conditionalFormatting>
  <conditionalFormatting sqref="E150 G150 I150 M150 O150">
    <cfRule type="expression" priority="1166">
      <formula>is(ROW())</formula>
    </cfRule>
    <cfRule type="expression" dxfId="1080" priority="1167">
      <formula>ISODD(ROW())</formula>
    </cfRule>
    <cfRule type="expression" priority="1168">
      <formula>"ISODD(ROW())"</formula>
    </cfRule>
    <cfRule type="expression" priority="1169">
      <formula>ISODD(ROW())</formula>
    </cfRule>
    <cfRule type="expression" dxfId="1079" priority="1170">
      <formula>ISODD(RƠ())</formula>
    </cfRule>
    <cfRule type="expression" dxfId="1078" priority="1162">
      <formula>"IF(A4:A299);ISODD(ROW()))"</formula>
    </cfRule>
    <cfRule type="expression" dxfId="1077" priority="1163">
      <formula>ISODD(ROW())</formula>
    </cfRule>
    <cfRule type="expression" dxfId="1076" priority="1164">
      <formula>ISODD(ROW())</formula>
    </cfRule>
    <cfRule type="expression" dxfId="1075" priority="1165">
      <formula>ISODD(ROW())</formula>
    </cfRule>
  </conditionalFormatting>
  <conditionalFormatting sqref="E180 G180 I180 M180 O180">
    <cfRule type="expression" priority="1131">
      <formula>ISODD(ROW())</formula>
    </cfRule>
    <cfRule type="expression" priority="1130">
      <formula>"ISODD(ROW())"</formula>
    </cfRule>
    <cfRule type="expression" dxfId="1074" priority="1129">
      <formula>ISODD(ROW())</formula>
    </cfRule>
    <cfRule type="expression" priority="1128">
      <formula>is(ROW())</formula>
    </cfRule>
    <cfRule type="expression" dxfId="1073" priority="1126">
      <formula>ISODD(ROW())</formula>
    </cfRule>
    <cfRule type="expression" dxfId="1072" priority="1124">
      <formula>"IF(A4:A299);ISODD(ROW()))"</formula>
    </cfRule>
    <cfRule type="expression" dxfId="1071" priority="1125">
      <formula>ISODD(ROW())</formula>
    </cfRule>
    <cfRule type="expression" dxfId="1070" priority="1127">
      <formula>ISODD(ROW())</formula>
    </cfRule>
    <cfRule type="expression" dxfId="1069" priority="1132">
      <formula>ISODD(RƠ())</formula>
    </cfRule>
  </conditionalFormatting>
  <conditionalFormatting sqref="E210 G210 I210 M210 O210">
    <cfRule type="expression" dxfId="1068" priority="44">
      <formula>ISODD(ROW())</formula>
    </cfRule>
    <cfRule type="expression" priority="46">
      <formula>ISODD(ROW())</formula>
    </cfRule>
    <cfRule type="expression" dxfId="1067" priority="47">
      <formula>ISODD(RƠ())</formula>
    </cfRule>
    <cfRule type="expression" priority="45">
      <formula>"ISODD(ROW())"</formula>
    </cfRule>
    <cfRule type="expression" dxfId="1066" priority="39">
      <formula>"IF(A4:A299);ISODD(ROW()))"</formula>
    </cfRule>
    <cfRule type="expression" dxfId="1065" priority="40">
      <formula>ISODD(ROW())</formula>
    </cfRule>
    <cfRule type="expression" dxfId="1064" priority="41">
      <formula>ISODD(ROW())</formula>
    </cfRule>
    <cfRule type="expression" dxfId="1063" priority="42">
      <formula>ISODD(ROW())</formula>
    </cfRule>
    <cfRule type="expression" priority="43">
      <formula>is(ROW())</formula>
    </cfRule>
  </conditionalFormatting>
  <conditionalFormatting sqref="E240 G240 I240 M240 O240">
    <cfRule type="expression" dxfId="1062" priority="1086">
      <formula>ISODD(ROW())</formula>
    </cfRule>
    <cfRule type="expression" dxfId="1061" priority="1085">
      <formula>"IF(A4:A299);ISODD(ROW()))"</formula>
    </cfRule>
    <cfRule type="expression" dxfId="1060" priority="1093">
      <formula>ISODD(RƠ())</formula>
    </cfRule>
    <cfRule type="expression" priority="1092">
      <formula>ISODD(ROW())</formula>
    </cfRule>
    <cfRule type="expression" priority="1091">
      <formula>"ISODD(ROW())"</formula>
    </cfRule>
    <cfRule type="expression" dxfId="1059" priority="1090">
      <formula>ISODD(ROW())</formula>
    </cfRule>
    <cfRule type="expression" priority="1089">
      <formula>is(ROW())</formula>
    </cfRule>
    <cfRule type="expression" dxfId="1058" priority="1088">
      <formula>ISODD(ROW())</formula>
    </cfRule>
    <cfRule type="expression" dxfId="1057" priority="1087">
      <formula>ISODD(ROW())</formula>
    </cfRule>
  </conditionalFormatting>
  <conditionalFormatting sqref="E270 G270 I270 M270 O270">
    <cfRule type="expression" dxfId="1056" priority="1048">
      <formula>ISODD(ROW())</formula>
    </cfRule>
    <cfRule type="expression" dxfId="1055" priority="1049">
      <formula>ISODD(ROW())</formula>
    </cfRule>
    <cfRule type="expression" dxfId="1054" priority="1052">
      <formula>ISODD(ROW())</formula>
    </cfRule>
    <cfRule type="expression" priority="1054">
      <formula>ISODD(ROW())</formula>
    </cfRule>
    <cfRule type="expression" dxfId="1053" priority="1055">
      <formula>ISODD(RƠ())</formula>
    </cfRule>
    <cfRule type="expression" priority="1051">
      <formula>is(ROW())</formula>
    </cfRule>
    <cfRule type="expression" priority="1053">
      <formula>"ISODD(ROW())"</formula>
    </cfRule>
    <cfRule type="expression" dxfId="1052" priority="1050">
      <formula>ISODD(ROW())</formula>
    </cfRule>
    <cfRule type="expression" dxfId="1051" priority="1047">
      <formula>"IF(A4:A299);ISODD(ROW()))"</formula>
    </cfRule>
  </conditionalFormatting>
  <conditionalFormatting sqref="E300 G300 I300 M300 O300">
    <cfRule type="expression" dxfId="1050" priority="1012">
      <formula>ISODD(ROW())</formula>
    </cfRule>
    <cfRule type="expression" priority="1013">
      <formula>is(ROW())</formula>
    </cfRule>
    <cfRule type="expression" priority="1015">
      <formula>"ISODD(ROW())"</formula>
    </cfRule>
    <cfRule type="expression" priority="1016">
      <formula>ISODD(ROW())</formula>
    </cfRule>
    <cfRule type="expression" dxfId="1049" priority="1017">
      <formula>ISODD(RƠ())</formula>
    </cfRule>
    <cfRule type="expression" dxfId="1048" priority="1014">
      <formula>ISODD(ROW())</formula>
    </cfRule>
    <cfRule type="expression" dxfId="1047" priority="1011">
      <formula>ISODD(ROW())</formula>
    </cfRule>
    <cfRule type="expression" dxfId="1046" priority="1010">
      <formula>ISODD(ROW())</formula>
    </cfRule>
    <cfRule type="expression" dxfId="1045" priority="1009">
      <formula>"IF(A4:A299);ISODD(ROW()))"</formula>
    </cfRule>
  </conditionalFormatting>
  <conditionalFormatting sqref="E330 G330 I330 M330 O330">
    <cfRule type="expression" dxfId="1044" priority="979">
      <formula>ISODD(RƠ())</formula>
    </cfRule>
    <cfRule type="expression" priority="978">
      <formula>ISODD(ROW())</formula>
    </cfRule>
    <cfRule type="expression" priority="977">
      <formula>"ISODD(ROW())"</formula>
    </cfRule>
    <cfRule type="expression" dxfId="1043" priority="976">
      <formula>ISODD(ROW())</formula>
    </cfRule>
    <cfRule type="expression" priority="975">
      <formula>is(ROW())</formula>
    </cfRule>
    <cfRule type="expression" dxfId="1042" priority="974">
      <formula>ISODD(ROW())</formula>
    </cfRule>
    <cfRule type="expression" dxfId="1041" priority="973">
      <formula>ISODD(ROW())</formula>
    </cfRule>
    <cfRule type="expression" dxfId="1040" priority="972">
      <formula>ISODD(ROW())</formula>
    </cfRule>
    <cfRule type="expression" dxfId="1039" priority="971">
      <formula>"IF(A4:A299);ISODD(ROW()))"</formula>
    </cfRule>
  </conditionalFormatting>
  <conditionalFormatting sqref="E360 G360 I360 M360 O360">
    <cfRule type="expression" priority="8">
      <formula>ISODD(ROW())</formula>
    </cfRule>
    <cfRule type="expression" dxfId="1038" priority="6">
      <formula>ISODD(ROW())</formula>
    </cfRule>
    <cfRule type="expression" dxfId="1037" priority="4">
      <formula>ISODD(ROW())</formula>
    </cfRule>
    <cfRule type="expression" dxfId="1036" priority="3">
      <formula>ISODD(ROW())</formula>
    </cfRule>
    <cfRule type="expression" priority="5">
      <formula>is(ROW())</formula>
    </cfRule>
    <cfRule type="expression" dxfId="1035" priority="1">
      <formula>"IF(A4:A299);ISODD(ROW()))"</formula>
    </cfRule>
    <cfRule type="expression" dxfId="1034" priority="9">
      <formula>ISODD(RƠ())</formula>
    </cfRule>
    <cfRule type="expression" priority="7">
      <formula>"ISODD(ROW())"</formula>
    </cfRule>
    <cfRule type="expression" dxfId="1033" priority="2">
      <formula>ISODD(ROW())</formula>
    </cfRule>
  </conditionalFormatting>
  <conditionalFormatting sqref="E390 G390 I390 M390 O390">
    <cfRule type="expression" dxfId="1032" priority="932">
      <formula>"IF(A4:A299);ISODD(ROW()))"</formula>
    </cfRule>
    <cfRule type="expression" dxfId="1031" priority="933">
      <formula>ISODD(ROW())</formula>
    </cfRule>
    <cfRule type="expression" dxfId="1030" priority="934">
      <formula>ISODD(ROW())</formula>
    </cfRule>
    <cfRule type="expression" dxfId="1029" priority="935">
      <formula>ISODD(ROW())</formula>
    </cfRule>
    <cfRule type="expression" priority="936">
      <formula>is(ROW())</formula>
    </cfRule>
    <cfRule type="expression" dxfId="1028" priority="937">
      <formula>ISODD(ROW())</formula>
    </cfRule>
    <cfRule type="expression" priority="938">
      <formula>"ISODD(ROW())"</formula>
    </cfRule>
    <cfRule type="expression" priority="939">
      <formula>ISODD(ROW())</formula>
    </cfRule>
    <cfRule type="expression" dxfId="1027" priority="940">
      <formula>ISODD(RƠ())</formula>
    </cfRule>
  </conditionalFormatting>
  <conditionalFormatting sqref="E420 G420 I420 M420 O420">
    <cfRule type="expression" dxfId="1026" priority="899">
      <formula>ISODD(ROW())</formula>
    </cfRule>
    <cfRule type="expression" dxfId="1025" priority="896">
      <formula>ISODD(ROW())</formula>
    </cfRule>
    <cfRule type="expression" dxfId="1024" priority="895">
      <formula>ISODD(ROW())</formula>
    </cfRule>
    <cfRule type="expression" dxfId="1023" priority="894">
      <formula>"IF(A4:A299);ISODD(ROW()))"</formula>
    </cfRule>
    <cfRule type="expression" priority="898">
      <formula>is(ROW())</formula>
    </cfRule>
    <cfRule type="expression" priority="900">
      <formula>"ISODD(ROW())"</formula>
    </cfRule>
    <cfRule type="expression" dxfId="1022" priority="897">
      <formula>ISODD(ROW())</formula>
    </cfRule>
    <cfRule type="expression" priority="901">
      <formula>ISODD(ROW())</formula>
    </cfRule>
    <cfRule type="expression" dxfId="1021" priority="902">
      <formula>ISODD(RƠ())</formula>
    </cfRule>
  </conditionalFormatting>
  <conditionalFormatting sqref="E450 G450 I450 M450 O450">
    <cfRule type="expression" dxfId="1020" priority="864">
      <formula>ISODD(RƠ())</formula>
    </cfRule>
    <cfRule type="expression" dxfId="1019" priority="861">
      <formula>ISODD(ROW())</formula>
    </cfRule>
    <cfRule type="expression" priority="863">
      <formula>ISODD(ROW())</formula>
    </cfRule>
    <cfRule type="expression" priority="862">
      <formula>"ISODD(ROW())"</formula>
    </cfRule>
    <cfRule type="expression" priority="860">
      <formula>is(ROW())</formula>
    </cfRule>
    <cfRule type="expression" dxfId="1018" priority="859">
      <formula>ISODD(ROW())</formula>
    </cfRule>
    <cfRule type="expression" dxfId="1017" priority="858">
      <formula>ISODD(ROW())</formula>
    </cfRule>
    <cfRule type="expression" dxfId="1016" priority="857">
      <formula>ISODD(ROW())</formula>
    </cfRule>
    <cfRule type="expression" dxfId="1015" priority="856">
      <formula>"IF(A4:A299);ISODD(ROW()))"</formula>
    </cfRule>
  </conditionalFormatting>
  <conditionalFormatting sqref="E480 G480 I480 M480 O480">
    <cfRule type="expression" dxfId="1014" priority="819">
      <formula>ISODD(ROW())</formula>
    </cfRule>
    <cfRule type="expression" dxfId="1013" priority="818">
      <formula>"IF(A4:A299);ISODD(ROW()))"</formula>
    </cfRule>
    <cfRule type="expression" priority="825">
      <formula>ISODD(ROW())</formula>
    </cfRule>
    <cfRule type="expression" priority="824">
      <formula>"ISODD(ROW())"</formula>
    </cfRule>
    <cfRule type="expression" dxfId="1012" priority="826">
      <formula>ISODD(RƠ())</formula>
    </cfRule>
    <cfRule type="expression" dxfId="1011" priority="823">
      <formula>ISODD(ROW())</formula>
    </cfRule>
    <cfRule type="expression" priority="822">
      <formula>is(ROW())</formula>
    </cfRule>
    <cfRule type="expression" dxfId="1010" priority="821">
      <formula>ISODD(ROW())</formula>
    </cfRule>
    <cfRule type="expression" dxfId="1009" priority="820">
      <formula>ISODD(ROW())</formula>
    </cfRule>
  </conditionalFormatting>
  <conditionalFormatting sqref="E510 G510 I510 M510 O510">
    <cfRule type="expression" dxfId="1008" priority="785">
      <formula>ISODD(ROW())</formula>
    </cfRule>
    <cfRule type="expression" priority="784">
      <formula>is(ROW())</formula>
    </cfRule>
    <cfRule type="expression" dxfId="1007" priority="783">
      <formula>ISODD(ROW())</formula>
    </cfRule>
    <cfRule type="expression" dxfId="1006" priority="782">
      <formula>ISODD(ROW())</formula>
    </cfRule>
    <cfRule type="expression" dxfId="1005" priority="781">
      <formula>ISODD(ROW())</formula>
    </cfRule>
    <cfRule type="expression" dxfId="1004" priority="780">
      <formula>"IF(A4:A299);ISODD(ROW()))"</formula>
    </cfRule>
    <cfRule type="expression" dxfId="1003" priority="788">
      <formula>ISODD(RƠ())</formula>
    </cfRule>
    <cfRule type="expression" priority="787">
      <formula>ISODD(ROW())</formula>
    </cfRule>
    <cfRule type="expression" priority="786">
      <formula>"ISODD(ROW())"</formula>
    </cfRule>
  </conditionalFormatting>
  <conditionalFormatting sqref="E540 G540 I540 M540 O540">
    <cfRule type="expression" dxfId="1002" priority="750">
      <formula>ISODD(RƠ())</formula>
    </cfRule>
    <cfRule type="expression" priority="749">
      <formula>ISODD(ROW())</formula>
    </cfRule>
    <cfRule type="expression" priority="748">
      <formula>"ISODD(ROW())"</formula>
    </cfRule>
    <cfRule type="expression" dxfId="1001" priority="747">
      <formula>ISODD(ROW())</formula>
    </cfRule>
    <cfRule type="expression" priority="746">
      <formula>is(ROW())</formula>
    </cfRule>
    <cfRule type="expression" dxfId="1000" priority="745">
      <formula>ISODD(ROW())</formula>
    </cfRule>
    <cfRule type="expression" dxfId="999" priority="744">
      <formula>ISODD(ROW())</formula>
    </cfRule>
    <cfRule type="expression" dxfId="998" priority="742">
      <formula>"IF(A4:A299);ISODD(ROW()))"</formula>
    </cfRule>
    <cfRule type="expression" dxfId="997" priority="743">
      <formula>ISODD(ROW())</formula>
    </cfRule>
  </conditionalFormatting>
  <conditionalFormatting sqref="E570 G570 I570 M570 O570">
    <cfRule type="expression" dxfId="996" priority="704">
      <formula>"IF(A4:A299);ISODD(ROW()))"</formula>
    </cfRule>
    <cfRule type="expression" dxfId="995" priority="705">
      <formula>ISODD(ROW())</formula>
    </cfRule>
    <cfRule type="expression" dxfId="994" priority="706">
      <formula>ISODD(ROW())</formula>
    </cfRule>
    <cfRule type="expression" dxfId="993" priority="707">
      <formula>ISODD(ROW())</formula>
    </cfRule>
    <cfRule type="expression" priority="708">
      <formula>is(ROW())</formula>
    </cfRule>
    <cfRule type="expression" dxfId="992" priority="709">
      <formula>ISODD(ROW())</formula>
    </cfRule>
    <cfRule type="expression" priority="710">
      <formula>"ISODD(ROW())"</formula>
    </cfRule>
    <cfRule type="expression" priority="711">
      <formula>ISODD(ROW())</formula>
    </cfRule>
    <cfRule type="expression" dxfId="991" priority="712">
      <formula>ISODD(RƠ())</formula>
    </cfRule>
  </conditionalFormatting>
  <conditionalFormatting sqref="E600 G600 I600 M600 O600">
    <cfRule type="expression" dxfId="990" priority="674">
      <formula>ISODD(RƠ())</formula>
    </cfRule>
    <cfRule type="expression" priority="673">
      <formula>ISODD(ROW())</formula>
    </cfRule>
    <cfRule type="expression" priority="672">
      <formula>"ISODD(ROW())"</formula>
    </cfRule>
    <cfRule type="expression" dxfId="989" priority="671">
      <formula>ISODD(ROW())</formula>
    </cfRule>
    <cfRule type="expression" priority="670">
      <formula>is(ROW())</formula>
    </cfRule>
    <cfRule type="expression" dxfId="988" priority="669">
      <formula>ISODD(ROW())</formula>
    </cfRule>
    <cfRule type="expression" dxfId="987" priority="666">
      <formula>"IF(A4:A299);ISODD(ROW()))"</formula>
    </cfRule>
    <cfRule type="expression" dxfId="986" priority="668">
      <formula>ISODD(ROW())</formula>
    </cfRule>
    <cfRule type="expression" dxfId="985" priority="667">
      <formula>ISODD(ROW())</formula>
    </cfRule>
  </conditionalFormatting>
  <conditionalFormatting sqref="E630 G630 I630 M630 O630">
    <cfRule type="expression" dxfId="984" priority="630">
      <formula>ISODD(ROW())</formula>
    </cfRule>
    <cfRule type="expression" dxfId="983" priority="629">
      <formula>ISODD(ROW())</formula>
    </cfRule>
    <cfRule type="expression" dxfId="982" priority="628">
      <formula>ISODD(ROW())</formula>
    </cfRule>
    <cfRule type="expression" dxfId="981" priority="627">
      <formula>"IF(A4:A299);ISODD(ROW()))"</formula>
    </cfRule>
    <cfRule type="expression" dxfId="980" priority="635">
      <formula>ISODD(RƠ())</formula>
    </cfRule>
    <cfRule type="expression" priority="634">
      <formula>ISODD(ROW())</formula>
    </cfRule>
    <cfRule type="expression" priority="633">
      <formula>"ISODD(ROW())"</formula>
    </cfRule>
    <cfRule type="expression" dxfId="979" priority="632">
      <formula>ISODD(ROW())</formula>
    </cfRule>
    <cfRule type="expression" priority="631">
      <formula>is(ROW())</formula>
    </cfRule>
  </conditionalFormatting>
  <conditionalFormatting sqref="E660 G660 I660 M660 O660">
    <cfRule type="expression" dxfId="978" priority="589">
      <formula>"IF(A4:A299);ISODD(ROW()))"</formula>
    </cfRule>
    <cfRule type="expression" dxfId="977" priority="590">
      <formula>ISODD(ROW())</formula>
    </cfRule>
    <cfRule type="expression" dxfId="976" priority="591">
      <formula>ISODD(ROW())</formula>
    </cfRule>
    <cfRule type="expression" dxfId="975" priority="592">
      <formula>ISODD(ROW())</formula>
    </cfRule>
    <cfRule type="expression" priority="593">
      <formula>is(ROW())</formula>
    </cfRule>
    <cfRule type="expression" dxfId="974" priority="594">
      <formula>ISODD(ROW())</formula>
    </cfRule>
    <cfRule type="expression" priority="595">
      <formula>"ISODD(ROW())"</formula>
    </cfRule>
    <cfRule type="expression" priority="596">
      <formula>ISODD(ROW())</formula>
    </cfRule>
    <cfRule type="expression" dxfId="973" priority="597">
      <formula>ISODD(RƠ())</formula>
    </cfRule>
  </conditionalFormatting>
  <conditionalFormatting sqref="E690 G690 I690 M690 O690">
    <cfRule type="expression" priority="555">
      <formula>is(ROW())</formula>
    </cfRule>
    <cfRule type="expression" dxfId="972" priority="553">
      <formula>ISODD(ROW())</formula>
    </cfRule>
    <cfRule type="expression" dxfId="971" priority="552">
      <formula>ISODD(ROW())</formula>
    </cfRule>
    <cfRule type="expression" dxfId="970" priority="554">
      <formula>ISODD(ROW())</formula>
    </cfRule>
    <cfRule type="expression" dxfId="969" priority="556">
      <formula>ISODD(ROW())</formula>
    </cfRule>
    <cfRule type="expression" dxfId="968" priority="551">
      <formula>"IF(A4:A299);ISODD(ROW()))"</formula>
    </cfRule>
    <cfRule type="expression" dxfId="967" priority="559">
      <formula>ISODD(RƠ())</formula>
    </cfRule>
    <cfRule type="expression" priority="558">
      <formula>ISODD(ROW())</formula>
    </cfRule>
    <cfRule type="expression" priority="557">
      <formula>"ISODD(ROW())"</formula>
    </cfRule>
  </conditionalFormatting>
  <conditionalFormatting sqref="E720 G720 I720 M720 O720">
    <cfRule type="expression" priority="520">
      <formula>ISODD(ROW())</formula>
    </cfRule>
    <cfRule type="expression" dxfId="966" priority="516">
      <formula>ISODD(ROW())</formula>
    </cfRule>
    <cfRule type="expression" dxfId="965" priority="515">
      <formula>ISODD(ROW())</formula>
    </cfRule>
    <cfRule type="expression" dxfId="964" priority="521">
      <formula>ISODD(RƠ())</formula>
    </cfRule>
    <cfRule type="expression" dxfId="963" priority="513">
      <formula>"IF(A4:A299);ISODD(ROW()))"</formula>
    </cfRule>
    <cfRule type="expression" priority="519">
      <formula>"ISODD(ROW())"</formula>
    </cfRule>
    <cfRule type="expression" dxfId="962" priority="518">
      <formula>ISODD(ROW())</formula>
    </cfRule>
    <cfRule type="expression" priority="517">
      <formula>is(ROW())</formula>
    </cfRule>
    <cfRule type="expression" dxfId="961" priority="514">
      <formula>ISODD(ROW())</formula>
    </cfRule>
  </conditionalFormatting>
  <conditionalFormatting sqref="E750 G750 I750 M750 O750">
    <cfRule type="expression" dxfId="960" priority="483">
      <formula>ISODD(RƠ())</formula>
    </cfRule>
    <cfRule type="expression" priority="482">
      <formula>ISODD(ROW())</formula>
    </cfRule>
    <cfRule type="expression" priority="481">
      <formula>"ISODD(ROW())"</formula>
    </cfRule>
    <cfRule type="expression" dxfId="959" priority="480">
      <formula>ISODD(ROW())</formula>
    </cfRule>
    <cfRule type="expression" priority="479">
      <formula>is(ROW())</formula>
    </cfRule>
    <cfRule type="expression" dxfId="958" priority="478">
      <formula>ISODD(ROW())</formula>
    </cfRule>
    <cfRule type="expression" dxfId="957" priority="477">
      <formula>ISODD(ROW())</formula>
    </cfRule>
    <cfRule type="expression" dxfId="956" priority="476">
      <formula>ISODD(ROW())</formula>
    </cfRule>
    <cfRule type="expression" dxfId="955" priority="475">
      <formula>"IF(A4:A299);ISODD(ROW()))"</formula>
    </cfRule>
  </conditionalFormatting>
  <conditionalFormatting sqref="E780 G780 I780 M780 O780">
    <cfRule type="expression" priority="444">
      <formula>ISODD(ROW())</formula>
    </cfRule>
    <cfRule type="expression" priority="441">
      <formula>is(ROW())</formula>
    </cfRule>
    <cfRule type="expression" dxfId="954" priority="440">
      <formula>ISODD(ROW())</formula>
    </cfRule>
    <cfRule type="expression" dxfId="953" priority="439">
      <formula>ISODD(ROW())</formula>
    </cfRule>
    <cfRule type="expression" dxfId="952" priority="438">
      <formula>ISODD(ROW())</formula>
    </cfRule>
    <cfRule type="expression" dxfId="951" priority="437">
      <formula>"IF(A4:A299);ISODD(ROW()))"</formula>
    </cfRule>
    <cfRule type="expression" priority="443">
      <formula>"ISODD(ROW())"</formula>
    </cfRule>
    <cfRule type="expression" dxfId="950" priority="442">
      <formula>ISODD(ROW())</formula>
    </cfRule>
    <cfRule type="expression" dxfId="949" priority="445">
      <formula>ISODD(RƠ())</formula>
    </cfRule>
  </conditionalFormatting>
  <conditionalFormatting sqref="E810 G810 I810 M810 O810">
    <cfRule type="expression" dxfId="948" priority="404">
      <formula>ISODD(ROW())</formula>
    </cfRule>
    <cfRule type="expression" priority="405">
      <formula>"ISODD(ROW())"</formula>
    </cfRule>
    <cfRule type="expression" dxfId="947" priority="400">
      <formula>ISODD(ROW())</formula>
    </cfRule>
    <cfRule type="expression" dxfId="946" priority="399">
      <formula>"IF(A4:A299);ISODD(ROW()))"</formula>
    </cfRule>
    <cfRule type="expression" priority="406">
      <formula>ISODD(ROW())</formula>
    </cfRule>
    <cfRule type="expression" dxfId="945" priority="407">
      <formula>ISODD(RƠ())</formula>
    </cfRule>
    <cfRule type="expression" dxfId="944" priority="401">
      <formula>ISODD(ROW())</formula>
    </cfRule>
    <cfRule type="expression" dxfId="943" priority="402">
      <formula>ISODD(ROW())</formula>
    </cfRule>
    <cfRule type="expression" priority="403">
      <formula>is(ROW())</formula>
    </cfRule>
  </conditionalFormatting>
  <conditionalFormatting sqref="E840 G840 I840 M840 O840">
    <cfRule type="expression" dxfId="942" priority="364">
      <formula>ISODD(ROW())</formula>
    </cfRule>
    <cfRule type="expression" priority="368">
      <formula>ISODD(ROW())</formula>
    </cfRule>
    <cfRule type="expression" dxfId="941" priority="362">
      <formula>ISODD(ROW())</formula>
    </cfRule>
    <cfRule type="expression" priority="367">
      <formula>"ISODD(ROW())"</formula>
    </cfRule>
    <cfRule type="expression" dxfId="940" priority="363">
      <formula>ISODD(ROW())</formula>
    </cfRule>
    <cfRule type="expression" dxfId="939" priority="361">
      <formula>"IF(A4:A299);ISODD(ROW()))"</formula>
    </cfRule>
    <cfRule type="expression" dxfId="938" priority="366">
      <formula>ISODD(ROW())</formula>
    </cfRule>
    <cfRule type="expression" dxfId="937" priority="369">
      <formula>ISODD(RƠ())</formula>
    </cfRule>
    <cfRule type="expression" priority="365">
      <formula>is(ROW())</formula>
    </cfRule>
  </conditionalFormatting>
  <conditionalFormatting sqref="E870 G870 I870 M870 O870">
    <cfRule type="expression" dxfId="936" priority="325">
      <formula>ISODD(ROW())</formula>
    </cfRule>
    <cfRule type="expression" dxfId="935" priority="324">
      <formula>ISODD(ROW())</formula>
    </cfRule>
    <cfRule type="expression" priority="326">
      <formula>is(ROW())</formula>
    </cfRule>
    <cfRule type="expression" dxfId="934" priority="327">
      <formula>ISODD(ROW())</formula>
    </cfRule>
    <cfRule type="expression" dxfId="933" priority="323">
      <formula>ISODD(ROW())</formula>
    </cfRule>
    <cfRule type="expression" priority="328">
      <formula>"ISODD(ROW())"</formula>
    </cfRule>
    <cfRule type="expression" priority="329">
      <formula>ISODD(ROW())</formula>
    </cfRule>
    <cfRule type="expression" dxfId="932" priority="322">
      <formula>"IF(A4:A299);ISODD(ROW()))"</formula>
    </cfRule>
    <cfRule type="expression" dxfId="931" priority="330">
      <formula>ISODD(RƠ())</formula>
    </cfRule>
  </conditionalFormatting>
  <conditionalFormatting sqref="E900 G900 I900 M900 O900">
    <cfRule type="expression" priority="290">
      <formula>"ISODD(ROW())"</formula>
    </cfRule>
    <cfRule type="expression" dxfId="930" priority="287">
      <formula>ISODD(ROW())</formula>
    </cfRule>
    <cfRule type="expression" priority="288">
      <formula>is(ROW())</formula>
    </cfRule>
    <cfRule type="expression" dxfId="929" priority="286">
      <formula>ISODD(ROW())</formula>
    </cfRule>
    <cfRule type="expression" dxfId="928" priority="289">
      <formula>ISODD(ROW())</formula>
    </cfRule>
    <cfRule type="expression" priority="291">
      <formula>ISODD(ROW())</formula>
    </cfRule>
    <cfRule type="expression" dxfId="927" priority="284">
      <formula>"IF(A4:A299);ISODD(ROW()))"</formula>
    </cfRule>
    <cfRule type="expression" dxfId="926" priority="285">
      <formula>ISODD(ROW())</formula>
    </cfRule>
    <cfRule type="expression" dxfId="925" priority="292">
      <formula>ISODD(RƠ())</formula>
    </cfRule>
  </conditionalFormatting>
  <conditionalFormatting sqref="E930 G930 I930 M930 O930">
    <cfRule type="expression" priority="252">
      <formula>"ISODD(ROW())"</formula>
    </cfRule>
    <cfRule type="expression" dxfId="924" priority="254">
      <formula>ISODD(RƠ())</formula>
    </cfRule>
    <cfRule type="expression" priority="253">
      <formula>ISODD(ROW())</formula>
    </cfRule>
    <cfRule type="expression" dxfId="923" priority="246">
      <formula>"IF(A4:A299);ISODD(ROW()))"</formula>
    </cfRule>
    <cfRule type="expression" dxfId="922" priority="247">
      <formula>ISODD(ROW())</formula>
    </cfRule>
    <cfRule type="expression" dxfId="921" priority="248">
      <formula>ISODD(ROW())</formula>
    </cfRule>
    <cfRule type="expression" dxfId="920" priority="249">
      <formula>ISODD(ROW())</formula>
    </cfRule>
    <cfRule type="expression" priority="250">
      <formula>is(ROW())</formula>
    </cfRule>
    <cfRule type="expression" dxfId="919" priority="251">
      <formula>ISODD(ROW())</formula>
    </cfRule>
  </conditionalFormatting>
  <conditionalFormatting sqref="E960 G960 I960 M960 O960">
    <cfRule type="expression" dxfId="918" priority="209">
      <formula>ISODD(ROW())</formula>
    </cfRule>
    <cfRule type="expression" dxfId="917" priority="208">
      <formula>"IF(A4:A299);ISODD(ROW()))"</formula>
    </cfRule>
    <cfRule type="expression" dxfId="916" priority="216">
      <formula>ISODD(RƠ())</formula>
    </cfRule>
    <cfRule type="expression" priority="215">
      <formula>ISODD(ROW())</formula>
    </cfRule>
    <cfRule type="expression" priority="214">
      <formula>"ISODD(ROW())"</formula>
    </cfRule>
    <cfRule type="expression" dxfId="915" priority="213">
      <formula>ISODD(ROW())</formula>
    </cfRule>
    <cfRule type="expression" priority="212">
      <formula>is(ROW())</formula>
    </cfRule>
    <cfRule type="expression" dxfId="914" priority="211">
      <formula>ISODD(ROW())</formula>
    </cfRule>
    <cfRule type="expression" dxfId="913" priority="210">
      <formula>ISODD(ROW())</formula>
    </cfRule>
  </conditionalFormatting>
  <conditionalFormatting sqref="E990 G990 I990 M990 O990">
    <cfRule type="expression" dxfId="912" priority="170">
      <formula>"IF(A4:A299);ISODD(ROW()))"</formula>
    </cfRule>
    <cfRule type="expression" dxfId="911" priority="173">
      <formula>ISODD(ROW())</formula>
    </cfRule>
    <cfRule type="expression" dxfId="910" priority="178">
      <formula>ISODD(RƠ())</formula>
    </cfRule>
    <cfRule type="expression" priority="174">
      <formula>is(ROW())</formula>
    </cfRule>
    <cfRule type="expression" dxfId="909" priority="172">
      <formula>ISODD(ROW())</formula>
    </cfRule>
    <cfRule type="expression" priority="177">
      <formula>ISODD(ROW())</formula>
    </cfRule>
    <cfRule type="expression" priority="176">
      <formula>"ISODD(ROW())"</formula>
    </cfRule>
    <cfRule type="expression" dxfId="908" priority="175">
      <formula>ISODD(ROW())</formula>
    </cfRule>
    <cfRule type="expression" dxfId="907" priority="171">
      <formula>ISODD(ROW())</formula>
    </cfRule>
  </conditionalFormatting>
  <conditionalFormatting sqref="E1020 G1020 I1020 M1020 O1020">
    <cfRule type="expression" dxfId="906" priority="140">
      <formula>ISODD(RƠ())</formula>
    </cfRule>
    <cfRule type="expression" priority="139">
      <formula>ISODD(ROW())</formula>
    </cfRule>
    <cfRule type="expression" priority="138">
      <formula>"ISODD(ROW())"</formula>
    </cfRule>
    <cfRule type="expression" dxfId="905" priority="137">
      <formula>ISODD(ROW())</formula>
    </cfRule>
    <cfRule type="expression" priority="136">
      <formula>is(ROW())</formula>
    </cfRule>
    <cfRule type="expression" dxfId="904" priority="135">
      <formula>ISODD(ROW())</formula>
    </cfRule>
    <cfRule type="expression" dxfId="903" priority="134">
      <formula>ISODD(ROW())</formula>
    </cfRule>
    <cfRule type="expression" dxfId="902" priority="133">
      <formula>ISODD(ROW())</formula>
    </cfRule>
    <cfRule type="expression" dxfId="901" priority="132">
      <formula>"IF(A4:A299);ISODD(ROW()))"</formula>
    </cfRule>
  </conditionalFormatting>
  <conditionalFormatting sqref="E1050 G1050 I1050 M1050 O1050">
    <cfRule type="expression" dxfId="900" priority="102">
      <formula>ISODD(RƠ())</formula>
    </cfRule>
    <cfRule type="expression" priority="101">
      <formula>ISODD(ROW())</formula>
    </cfRule>
    <cfRule type="expression" dxfId="899" priority="96">
      <formula>ISODD(ROW())</formula>
    </cfRule>
    <cfRule type="expression" dxfId="898" priority="97">
      <formula>ISODD(ROW())</formula>
    </cfRule>
    <cfRule type="expression" priority="98">
      <formula>is(ROW())</formula>
    </cfRule>
    <cfRule type="expression" dxfId="897" priority="99">
      <formula>ISODD(ROW())</formula>
    </cfRule>
    <cfRule type="expression" dxfId="896" priority="94">
      <formula>"IF(A4:A299);ISODD(ROW()))"</formula>
    </cfRule>
    <cfRule type="expression" dxfId="895" priority="95">
      <formula>ISODD(ROW())</formula>
    </cfRule>
    <cfRule type="expression" priority="100">
      <formula>"ISODD(ROW())"</formula>
    </cfRule>
  </conditionalFormatting>
  <conditionalFormatting sqref="E1080 G1080 I1080 M1080 O1080">
    <cfRule type="expression" priority="60">
      <formula>is(ROW())</formula>
    </cfRule>
    <cfRule type="expression" dxfId="894" priority="61">
      <formula>ISODD(ROW())</formula>
    </cfRule>
    <cfRule type="expression" priority="62">
      <formula>"ISODD(ROW())"</formula>
    </cfRule>
    <cfRule type="expression" priority="63">
      <formula>ISODD(ROW())</formula>
    </cfRule>
    <cfRule type="expression" dxfId="893" priority="64">
      <formula>ISODD(RƠ())</formula>
    </cfRule>
    <cfRule type="expression" dxfId="892" priority="56">
      <formula>"IF(A4:A299);ISODD(ROW()))"</formula>
    </cfRule>
    <cfRule type="expression" dxfId="891" priority="57">
      <formula>ISODD(ROW())</formula>
    </cfRule>
    <cfRule type="expression" dxfId="890" priority="58">
      <formula>ISODD(ROW())</formula>
    </cfRule>
    <cfRule type="expression" dxfId="889" priority="59">
      <formula>ISODD(ROW())</formula>
    </cfRule>
  </conditionalFormatting>
  <conditionalFormatting sqref="E5:P20 A3:P4 Q4 A5:A20 A21:P29 A30:D30 F30 H30 J30:L30 N30 P30 A33:P34 A35:A50 E35:P50 A51:P59 A60:D60 F60 H60 J60:L60 N60 P60">
    <cfRule type="expression" dxfId="888" priority="1316">
      <formula>ISODD(ROW())</formula>
    </cfRule>
  </conditionalFormatting>
  <conditionalFormatting sqref="E65:P79 A63:P64 A65:A79 A80:P89 A90:D90 F90 H90 J90:L90 N90 P90">
    <cfRule type="expression" dxfId="887" priority="1273">
      <formula>ISODD(ROW())</formula>
    </cfRule>
  </conditionalFormatting>
  <conditionalFormatting sqref="E95:P109 A93:P94 A95:A109 A110:P119 A120:D120 F120 H120 J120:L120 N120 P120">
    <cfRule type="expression" dxfId="886" priority="1226">
      <formula>ISODD(ROW())</formula>
    </cfRule>
  </conditionalFormatting>
  <conditionalFormatting sqref="E125:P141 A123:P124 A125:A141 A142:P149 A150:D150 F150 H150 J150:L150 N150 P150">
    <cfRule type="expression" dxfId="885" priority="1188">
      <formula>ISODD(ROW())</formula>
    </cfRule>
  </conditionalFormatting>
  <conditionalFormatting sqref="E155:P176 A153:P154 A155:A176 A177:P179 A180:D180 F180 H180 J180:L180 N180 P180">
    <cfRule type="expression" dxfId="884" priority="1150">
      <formula>ISODD(ROW())</formula>
    </cfRule>
  </conditionalFormatting>
  <conditionalFormatting sqref="E185:P202 A183:P184 A185:A202 A203:P209 A210:D210 F210 H210 J210:L210 N210 P210">
    <cfRule type="expression" dxfId="883" priority="52">
      <formula>ISODD(ROW())</formula>
    </cfRule>
  </conditionalFormatting>
  <conditionalFormatting sqref="E215:P230 A213:P214 A215:A230 A231:P239 A240:D240 F240 H240 J240:L240 N240 P240">
    <cfRule type="expression" dxfId="882" priority="1111">
      <formula>ISODD(ROW())</formula>
    </cfRule>
  </conditionalFormatting>
  <conditionalFormatting sqref="E245:P263 A243:P244 A245:A263 A264:P269 A270:D270 F270 H270 J270:L270 N270 P270">
    <cfRule type="expression" dxfId="881" priority="1073">
      <formula>ISODD(ROW())</formula>
    </cfRule>
  </conditionalFormatting>
  <conditionalFormatting sqref="E275:P295 A273:P274 A275:A295 A296:P299 A300:D300 F300 H300 J300:L300 N300 P300">
    <cfRule type="expression" dxfId="880" priority="1035">
      <formula>ISODD(ROW())</formula>
    </cfRule>
  </conditionalFormatting>
  <conditionalFormatting sqref="E305:P324 A303:P304 A305:A324 A325:P329 A330:D330 F330 H330 J330:L330 N330 P330">
    <cfRule type="expression" dxfId="879" priority="997">
      <formula>ISODD(ROW())</formula>
    </cfRule>
  </conditionalFormatting>
  <conditionalFormatting sqref="E335:P358 A333:P334 A335:A358 A359:P359 A360:D360 F360 H360 J360:L360 N360 P360">
    <cfRule type="expression" dxfId="878" priority="27">
      <formula>ISODD(ROW())</formula>
    </cfRule>
  </conditionalFormatting>
  <conditionalFormatting sqref="E365:P382 A363:P364 A365:A382 A383:P389 A390:D390 F390 H390 J390:L390 N390 P390">
    <cfRule type="expression" dxfId="877" priority="958">
      <formula>ISODD(ROW())</formula>
    </cfRule>
  </conditionalFormatting>
  <conditionalFormatting sqref="E395:P415 A393:P394 A395:A415 A416:P419 A420:D420 F420 H420 J420:L420 N420 P420">
    <cfRule type="expression" dxfId="876" priority="920">
      <formula>ISODD(ROW())</formula>
    </cfRule>
  </conditionalFormatting>
  <conditionalFormatting sqref="E425:P449 A423:P424 A425:A449 A450:D450 F450 H450 J450:L450 N450 P450">
    <cfRule type="expression" dxfId="875" priority="882">
      <formula>ISODD(ROW())</formula>
    </cfRule>
  </conditionalFormatting>
  <conditionalFormatting sqref="E455:P472 A453:P454 A455:A472 A473:P479 A480:D480 F480 H480 J480:L480 N480 P480">
    <cfRule type="expression" dxfId="874" priority="844">
      <formula>ISODD(ROW())</formula>
    </cfRule>
  </conditionalFormatting>
  <conditionalFormatting sqref="E485:P506 A483:P484 A485:A506 A507:P509 A510:D510 F510 H510 J510:L510 N510 P510">
    <cfRule type="expression" dxfId="873" priority="806">
      <formula>ISODD(ROW())</formula>
    </cfRule>
  </conditionalFormatting>
  <conditionalFormatting sqref="E515:P539 A513:P514 A515:A539 A540:D540 F540 H540 J540:L540 N540 P540">
    <cfRule type="expression" dxfId="872" priority="768">
      <formula>ISODD(ROW())</formula>
    </cfRule>
  </conditionalFormatting>
  <conditionalFormatting sqref="E545:P569 A543:P544 A545:A569 A570:D570 F570 H570 J570:L570 N570 P570">
    <cfRule type="expression" dxfId="871" priority="730">
      <formula>ISODD(ROW())</formula>
    </cfRule>
  </conditionalFormatting>
  <conditionalFormatting sqref="E575:P591 A573:P574 A575:A591 A592:P599 A600:D600 F600 H600 J600:L600 N600 P600">
    <cfRule type="expression" dxfId="870" priority="692">
      <formula>ISODD(ROW())</formula>
    </cfRule>
  </conditionalFormatting>
  <conditionalFormatting sqref="E605:P629 A603:P604 A605:A629 A630:D630 F630 H630 J630:L630 N630 P630">
    <cfRule type="expression" dxfId="869" priority="653">
      <formula>ISODD(ROW())</formula>
    </cfRule>
  </conditionalFormatting>
  <conditionalFormatting sqref="E635:P658 A633:P634 A635:A658 A659:P659 A660:D660 F660 H660 J660:L660 N660 P660">
    <cfRule type="expression" dxfId="868" priority="615">
      <formula>ISODD(ROW())</formula>
    </cfRule>
  </conditionalFormatting>
  <conditionalFormatting sqref="E665:P685 A663:P664 A665:A685 A686:P689 A690:D690 F690 H690 J690:L690 N690 P690">
    <cfRule type="expression" dxfId="867" priority="577">
      <formula>ISODD(ROW())</formula>
    </cfRule>
  </conditionalFormatting>
  <conditionalFormatting sqref="E695:P708 A693:P694 A695:A708 A709:P719 A720:D720 F720 H720 J720:L720 N720 P720">
    <cfRule type="expression" dxfId="866" priority="539">
      <formula>ISODD(ROW())</formula>
    </cfRule>
  </conditionalFormatting>
  <conditionalFormatting sqref="E725:P738 A723:P724 A725:A738 A739:P749 A750:D750 F750 H750 J750:L750 N750 P750">
    <cfRule type="expression" dxfId="865" priority="501">
      <formula>ISODD(ROW())</formula>
    </cfRule>
  </conditionalFormatting>
  <conditionalFormatting sqref="E755:P769 A753:P754 A755:A769 A770:P779 A780:D780 F780 H780 J780:L780 N780 P780">
    <cfRule type="expression" dxfId="864" priority="463">
      <formula>ISODD(ROW())</formula>
    </cfRule>
  </conditionalFormatting>
  <conditionalFormatting sqref="E785:P798 A783:P784 A785:A798 A799:P809 A810:D810 F810 H810 J810:L810 N810 P810">
    <cfRule type="expression" dxfId="863" priority="425">
      <formula>ISODD(ROW())</formula>
    </cfRule>
  </conditionalFormatting>
  <conditionalFormatting sqref="E815:P835 A813:P814 A815:A835 A836:P839 A840:D840 F840 H840 J840:L840 N840 P840">
    <cfRule type="expression" dxfId="862" priority="387">
      <formula>ISODD(ROW())</formula>
    </cfRule>
  </conditionalFormatting>
  <conditionalFormatting sqref="E845:P854 A843:P844 A845:A854 A855:P869 A870:D870 F870 H870 J870:L870 N870 P870">
    <cfRule type="expression" dxfId="861" priority="348">
      <formula>ISODD(ROW())</formula>
    </cfRule>
  </conditionalFormatting>
  <conditionalFormatting sqref="E875:P884 A873:P874 A875:A884 A885:P899 A900:D900 F900 H900 J900:L900 N900 P900">
    <cfRule type="expression" dxfId="860" priority="310">
      <formula>ISODD(ROW())</formula>
    </cfRule>
  </conditionalFormatting>
  <conditionalFormatting sqref="E905:P914 A903:P904 A905:A914 A915:P929 A930:D930 F930 H930 J930:L930 N930 P930">
    <cfRule type="expression" dxfId="859" priority="272">
      <formula>ISODD(ROW())</formula>
    </cfRule>
  </conditionalFormatting>
  <conditionalFormatting sqref="E935:P944 A933:P934 A935:A944 A945:P959 A960:D960 F960 H960 J960:L960 N960 P960">
    <cfRule type="expression" dxfId="858" priority="234">
      <formula>ISODD(ROW())</formula>
    </cfRule>
  </conditionalFormatting>
  <conditionalFormatting sqref="E965:P974 A963:P964 A965:A974 A975:P989 A990:D990 F990 H990 J990:L990 N990 P990">
    <cfRule type="expression" dxfId="857" priority="196">
      <formula>ISODD(ROW())</formula>
    </cfRule>
  </conditionalFormatting>
  <conditionalFormatting sqref="E995:P1004 A993:P994 A995:A1004 A1005:P1019 A1020:D1020 F1020 H1020 J1020:L1020 N1020 P1020">
    <cfRule type="expression" dxfId="856" priority="158">
      <formula>ISODD(ROW())</formula>
    </cfRule>
  </conditionalFormatting>
  <conditionalFormatting sqref="E1025:P1034 A1023:P1024 A1025:A1034 A1035:P1049 A1050:D1050 F1050 H1050 J1050:L1050 N1050 P1050">
    <cfRule type="expression" dxfId="855" priority="120">
      <formula>ISODD(ROW())</formula>
    </cfRule>
  </conditionalFormatting>
  <conditionalFormatting sqref="E1055:P1064 A1053:P1054 A1055:A1064 A1065:P1079 A1080:D1080 F1080 H1080 J1080:L1080 N1080 P1080">
    <cfRule type="expression" dxfId="854" priority="82">
      <formula>ISODD(ROW())</formula>
    </cfRule>
  </conditionalFormatting>
  <conditionalFormatting sqref="I14">
    <cfRule type="expression" dxfId="853" priority="1315">
      <formula>ISODD(ROW())</formula>
    </cfRule>
  </conditionalFormatting>
  <conditionalFormatting sqref="I44">
    <cfRule type="expression" dxfId="852" priority="54">
      <formula>ISODD(ROW())</formula>
    </cfRule>
  </conditionalFormatting>
  <conditionalFormatting sqref="I74">
    <cfRule type="expression" dxfId="851" priority="1272">
      <formula>ISODD(ROW())</formula>
    </cfRule>
  </conditionalFormatting>
  <conditionalFormatting sqref="I104">
    <cfRule type="expression" dxfId="850" priority="1225">
      <formula>ISODD(ROW())</formula>
    </cfRule>
  </conditionalFormatting>
  <conditionalFormatting sqref="I134">
    <cfRule type="expression" dxfId="849" priority="1187">
      <formula>ISODD(ROW())</formula>
    </cfRule>
  </conditionalFormatting>
  <conditionalFormatting sqref="I164">
    <cfRule type="expression" dxfId="848" priority="1149">
      <formula>ISODD(ROW())</formula>
    </cfRule>
  </conditionalFormatting>
  <conditionalFormatting sqref="I194">
    <cfRule type="expression" dxfId="847" priority="51">
      <formula>ISODD(ROW())</formula>
    </cfRule>
  </conditionalFormatting>
  <conditionalFormatting sqref="I224">
    <cfRule type="expression" dxfId="846" priority="1110">
      <formula>ISODD(ROW())</formula>
    </cfRule>
  </conditionalFormatting>
  <conditionalFormatting sqref="I254">
    <cfRule type="expression" dxfId="845" priority="1072">
      <formula>ISODD(ROW())</formula>
    </cfRule>
  </conditionalFormatting>
  <conditionalFormatting sqref="I284">
    <cfRule type="expression" dxfId="844" priority="1034">
      <formula>ISODD(ROW())</formula>
    </cfRule>
  </conditionalFormatting>
  <conditionalFormatting sqref="I314">
    <cfRule type="expression" dxfId="843" priority="996">
      <formula>ISODD(ROW())</formula>
    </cfRule>
  </conditionalFormatting>
  <conditionalFormatting sqref="I344">
    <cfRule type="expression" dxfId="842" priority="26">
      <formula>ISODD(ROW())</formula>
    </cfRule>
  </conditionalFormatting>
  <conditionalFormatting sqref="I374">
    <cfRule type="expression" dxfId="841" priority="957">
      <formula>ISODD(ROW())</formula>
    </cfRule>
  </conditionalFormatting>
  <conditionalFormatting sqref="I404">
    <cfRule type="expression" dxfId="840" priority="919">
      <formula>ISODD(ROW())</formula>
    </cfRule>
  </conditionalFormatting>
  <conditionalFormatting sqref="I434">
    <cfRule type="expression" dxfId="839" priority="881">
      <formula>ISODD(ROW())</formula>
    </cfRule>
  </conditionalFormatting>
  <conditionalFormatting sqref="I464">
    <cfRule type="expression" dxfId="838" priority="843">
      <formula>ISODD(ROW())</formula>
    </cfRule>
  </conditionalFormatting>
  <conditionalFormatting sqref="I494">
    <cfRule type="expression" dxfId="837" priority="805">
      <formula>ISODD(ROW())</formula>
    </cfRule>
  </conditionalFormatting>
  <conditionalFormatting sqref="I524">
    <cfRule type="expression" dxfId="836" priority="767">
      <formula>ISODD(ROW())</formula>
    </cfRule>
  </conditionalFormatting>
  <conditionalFormatting sqref="I554">
    <cfRule type="expression" dxfId="835" priority="729">
      <formula>ISODD(ROW())</formula>
    </cfRule>
  </conditionalFormatting>
  <conditionalFormatting sqref="I584">
    <cfRule type="expression" dxfId="834" priority="691">
      <formula>ISODD(ROW())</formula>
    </cfRule>
  </conditionalFormatting>
  <conditionalFormatting sqref="I614">
    <cfRule type="expression" dxfId="833" priority="652">
      <formula>ISODD(ROW())</formula>
    </cfRule>
  </conditionalFormatting>
  <conditionalFormatting sqref="I644">
    <cfRule type="expression" dxfId="832" priority="614">
      <formula>ISODD(ROW())</formula>
    </cfRule>
  </conditionalFormatting>
  <conditionalFormatting sqref="I674">
    <cfRule type="expression" dxfId="831" priority="576">
      <formula>ISODD(ROW())</formula>
    </cfRule>
  </conditionalFormatting>
  <conditionalFormatting sqref="I704">
    <cfRule type="expression" dxfId="830" priority="538">
      <formula>ISODD(ROW())</formula>
    </cfRule>
  </conditionalFormatting>
  <conditionalFormatting sqref="I734">
    <cfRule type="expression" dxfId="829" priority="500">
      <formula>ISODD(ROW())</formula>
    </cfRule>
  </conditionalFormatting>
  <conditionalFormatting sqref="I764">
    <cfRule type="expression" dxfId="828" priority="462">
      <formula>ISODD(ROW())</formula>
    </cfRule>
  </conditionalFormatting>
  <conditionalFormatting sqref="I794">
    <cfRule type="expression" dxfId="827" priority="424">
      <formula>ISODD(ROW())</formula>
    </cfRule>
  </conditionalFormatting>
  <conditionalFormatting sqref="I824">
    <cfRule type="expression" dxfId="826" priority="386">
      <formula>ISODD(ROW())</formula>
    </cfRule>
  </conditionalFormatting>
  <conditionalFormatting sqref="I854">
    <cfRule type="expression" dxfId="825" priority="347">
      <formula>ISODD(ROW())</formula>
    </cfRule>
  </conditionalFormatting>
  <conditionalFormatting sqref="I884">
    <cfRule type="expression" dxfId="824" priority="309">
      <formula>ISODD(ROW())</formula>
    </cfRule>
  </conditionalFormatting>
  <conditionalFormatting sqref="I914">
    <cfRule type="expression" dxfId="823" priority="271">
      <formula>ISODD(ROW())</formula>
    </cfRule>
  </conditionalFormatting>
  <conditionalFormatting sqref="I944">
    <cfRule type="expression" dxfId="822" priority="233">
      <formula>ISODD(ROW())</formula>
    </cfRule>
  </conditionalFormatting>
  <conditionalFormatting sqref="I974">
    <cfRule type="expression" dxfId="821" priority="195">
      <formula>ISODD(ROW())</formula>
    </cfRule>
  </conditionalFormatting>
  <conditionalFormatting sqref="I1004">
    <cfRule type="expression" dxfId="820" priority="157">
      <formula>ISODD(ROW())</formula>
    </cfRule>
  </conditionalFormatting>
  <conditionalFormatting sqref="I1034">
    <cfRule type="expression" dxfId="819" priority="119">
      <formula>ISODD(ROW())</formula>
    </cfRule>
  </conditionalFormatting>
  <conditionalFormatting sqref="I1064">
    <cfRule type="expression" dxfId="818" priority="81">
      <formula>ISODD(ROW())</formula>
    </cfRule>
  </conditionalFormatting>
  <conditionalFormatting sqref="R2:R6 T2:T6 V2:V6 X2:X6 Z2:Z6">
    <cfRule type="expression" dxfId="817" priority="1239">
      <formula>ISODD(ROW())</formula>
    </cfRule>
    <cfRule type="expression" dxfId="816" priority="1238">
      <formula>"IF(A4:A299);ISODD(ROW()))"</formula>
    </cfRule>
    <cfRule type="expression" dxfId="815" priority="1243">
      <formula>ISODD(ROW())</formula>
    </cfRule>
    <cfRule type="expression" priority="1242">
      <formula>is(ROW())</formula>
    </cfRule>
    <cfRule type="expression" priority="1244">
      <formula>"ISODD(ROW())"</formula>
    </cfRule>
    <cfRule type="expression" priority="1245">
      <formula>ISODD(ROW())</formula>
    </cfRule>
    <cfRule type="expression" dxfId="814" priority="1246">
      <formula>ISODD(RƠ())</formula>
    </cfRule>
    <cfRule type="expression" dxfId="813" priority="1241">
      <formula>ISODD(ROW())</formula>
    </cfRule>
    <cfRule type="expression" dxfId="812" priority="1240">
      <formula>ISODD(ROW())</formula>
    </cfRule>
  </conditionalFormatting>
  <conditionalFormatting sqref="R15:X16 R17 T17:X17">
    <cfRule type="expression" priority="1123">
      <formula>"ISODD(RƠ())"</formula>
    </cfRule>
  </conditionalFormatting>
  <conditionalFormatting sqref="R1:AC1">
    <cfRule type="expression" dxfId="811" priority="1286">
      <formula>-ISODD(ROW())</formula>
    </cfRule>
    <cfRule type="expression" dxfId="810" priority="1287">
      <formula>ISOODD(ROW())</formula>
    </cfRule>
    <cfRule type="expression" dxfId="809" priority="1288">
      <formula>ISODD(ROW())</formula>
    </cfRule>
    <cfRule type="expression" dxfId="808" priority="1289">
      <formula>MOD(ROW(),2)=1</formula>
    </cfRule>
    <cfRule type="expression" dxfId="807" priority="1285">
      <formula>ISODD(ROW())</formula>
    </cfRule>
  </conditionalFormatting>
  <pageMargins left="0.5" right="0" top="0.35433070866141703" bottom="0" header="0.31496062992126" footer="0.31496062992126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0DE3-0344-4700-95CD-D63AE33FD391}">
  <dimension ref="A1:AC270"/>
  <sheetViews>
    <sheetView zoomScale="70" zoomScaleNormal="70" workbookViewId="0">
      <selection activeCell="V7" sqref="V7"/>
    </sheetView>
  </sheetViews>
  <sheetFormatPr defaultRowHeight="14.25" x14ac:dyDescent="0.2"/>
  <cols>
    <col min="1" max="1" width="6.875" customWidth="1"/>
    <col min="2" max="2" width="19.875" customWidth="1"/>
    <col min="3" max="3" width="8.5" customWidth="1"/>
    <col min="4" max="4" width="12.5" customWidth="1"/>
    <col min="5" max="16" width="7.5" customWidth="1"/>
  </cols>
  <sheetData>
    <row r="1" spans="1:29" ht="18.600000000000001" customHeight="1" x14ac:dyDescent="0.2">
      <c r="A1" s="434" t="s">
        <v>1042</v>
      </c>
      <c r="B1" s="434"/>
      <c r="C1" s="434"/>
      <c r="D1" s="434"/>
      <c r="E1" s="434"/>
      <c r="F1" s="434"/>
      <c r="G1" s="434"/>
      <c r="H1" s="434"/>
      <c r="I1" s="92">
        <v>1</v>
      </c>
      <c r="J1" s="48"/>
      <c r="K1" s="48"/>
      <c r="L1" s="48"/>
      <c r="M1" s="41"/>
      <c r="N1" s="41"/>
      <c r="O1" s="41"/>
      <c r="P1" s="41"/>
      <c r="R1" s="440" t="s">
        <v>1163</v>
      </c>
      <c r="S1" s="441"/>
      <c r="T1" s="440" t="s">
        <v>1164</v>
      </c>
      <c r="U1" s="441"/>
      <c r="V1" s="440" t="s">
        <v>1165</v>
      </c>
      <c r="W1" s="441"/>
      <c r="X1" s="440" t="s">
        <v>1166</v>
      </c>
      <c r="Y1" s="441"/>
      <c r="Z1" s="440" t="s">
        <v>1167</v>
      </c>
      <c r="AA1" s="441"/>
      <c r="AB1" s="438" t="s">
        <v>748</v>
      </c>
      <c r="AC1" s="439"/>
    </row>
    <row r="2" spans="1:29" ht="18.600000000000001" customHeight="1" x14ac:dyDescent="0.2">
      <c r="A2" s="28"/>
      <c r="B2" s="29"/>
      <c r="C2" s="30"/>
      <c r="D2" s="36"/>
      <c r="E2" s="28"/>
      <c r="F2" s="28"/>
      <c r="G2" s="28"/>
      <c r="H2" s="28"/>
      <c r="I2" s="79"/>
      <c r="J2" s="28"/>
      <c r="K2" s="28"/>
      <c r="L2" s="28"/>
      <c r="M2" s="28"/>
      <c r="N2" s="28"/>
      <c r="O2" s="28"/>
      <c r="P2" s="28"/>
      <c r="R2" s="442">
        <f>SUBTOTAL(9,G5:G60)</f>
        <v>0</v>
      </c>
      <c r="S2" s="443"/>
      <c r="T2" s="442">
        <f>SUBTOTAL(9,I5:I60)</f>
        <v>2</v>
      </c>
      <c r="U2" s="443"/>
      <c r="V2" s="442">
        <f>SUBTOTAL(9,K5:K60)</f>
        <v>0</v>
      </c>
      <c r="W2" s="443"/>
      <c r="X2" s="442">
        <f t="shared" ref="X2" si="0">SUBTOTAL(9,M5:M60)</f>
        <v>0</v>
      </c>
      <c r="Y2" s="443"/>
      <c r="Z2" s="442">
        <f>SUBTOTAL(9,O5:O60)</f>
        <v>0</v>
      </c>
      <c r="AA2" s="443"/>
      <c r="AB2" s="444">
        <f>SUM(R2:Z2)</f>
        <v>2</v>
      </c>
      <c r="AC2" s="444"/>
    </row>
    <row r="3" spans="1:29" ht="18.600000000000001" customHeight="1" x14ac:dyDescent="0.3">
      <c r="A3" s="435" t="s">
        <v>374</v>
      </c>
      <c r="B3" s="435" t="s">
        <v>380</v>
      </c>
      <c r="C3" s="435" t="s">
        <v>383</v>
      </c>
      <c r="D3" s="437" t="s">
        <v>384</v>
      </c>
      <c r="E3" s="438" t="s">
        <v>385</v>
      </c>
      <c r="F3" s="439"/>
      <c r="G3" s="432" t="str">
        <f>$R$1</f>
        <v>Đợt 6</v>
      </c>
      <c r="H3" s="433"/>
      <c r="I3" s="432" t="str">
        <f>$T$1</f>
        <v>Đợt 7</v>
      </c>
      <c r="J3" s="433"/>
      <c r="K3" s="432" t="str">
        <f>V1</f>
        <v>Đợt 8</v>
      </c>
      <c r="L3" s="433"/>
      <c r="M3" s="432" t="str">
        <f>$X$1</f>
        <v>Đợt 9</v>
      </c>
      <c r="N3" s="433"/>
      <c r="O3" s="432" t="str">
        <f>$Z$1</f>
        <v>Đợt 10</v>
      </c>
      <c r="P3" s="433"/>
      <c r="R3" s="89"/>
      <c r="S3" s="90"/>
    </row>
    <row r="4" spans="1:29" ht="18.600000000000001" customHeight="1" x14ac:dyDescent="0.2">
      <c r="A4" s="436"/>
      <c r="B4" s="436"/>
      <c r="C4" s="436"/>
      <c r="D4" s="436"/>
      <c r="E4" s="31" t="s">
        <v>381</v>
      </c>
      <c r="F4" s="31" t="s">
        <v>382</v>
      </c>
      <c r="G4" s="31" t="s">
        <v>381</v>
      </c>
      <c r="H4" s="31" t="s">
        <v>382</v>
      </c>
      <c r="I4" s="80" t="s">
        <v>381</v>
      </c>
      <c r="J4" s="31" t="s">
        <v>382</v>
      </c>
      <c r="K4" s="31"/>
      <c r="L4" s="31"/>
      <c r="M4" s="31" t="s">
        <v>381</v>
      </c>
      <c r="N4" s="31" t="s">
        <v>382</v>
      </c>
      <c r="O4" s="31" t="s">
        <v>381</v>
      </c>
      <c r="P4" s="31" t="s">
        <v>382</v>
      </c>
    </row>
    <row r="5" spans="1:29" ht="18.600000000000001" customHeight="1" x14ac:dyDescent="0.2">
      <c r="A5" s="32">
        <v>1</v>
      </c>
      <c r="B5" s="24" t="s">
        <v>311</v>
      </c>
      <c r="C5" s="24" t="s">
        <v>105</v>
      </c>
      <c r="D5" s="163"/>
      <c r="E5" s="32"/>
      <c r="F5" s="34"/>
      <c r="G5" s="32"/>
      <c r="H5" s="34"/>
      <c r="I5" s="81"/>
      <c r="J5" s="34"/>
      <c r="K5" s="34"/>
      <c r="L5" s="34"/>
      <c r="M5" s="32"/>
      <c r="N5" s="34"/>
      <c r="O5" s="32"/>
      <c r="P5" s="34"/>
    </row>
    <row r="6" spans="1:29" ht="18.600000000000001" customHeight="1" x14ac:dyDescent="0.2">
      <c r="A6" s="7">
        <f t="shared" ref="A6:A29" si="1">A5+1</f>
        <v>2</v>
      </c>
      <c r="B6" s="24" t="s">
        <v>328</v>
      </c>
      <c r="C6" s="24" t="s">
        <v>116</v>
      </c>
      <c r="D6" s="24">
        <v>949689074</v>
      </c>
      <c r="E6" s="7"/>
      <c r="F6" s="7"/>
      <c r="G6" s="7"/>
      <c r="H6" s="7"/>
      <c r="I6" s="82"/>
      <c r="J6" s="7"/>
      <c r="K6" s="7"/>
      <c r="L6" s="7"/>
      <c r="M6" s="7"/>
      <c r="N6" s="7"/>
      <c r="O6" s="7"/>
      <c r="P6" s="7"/>
    </row>
    <row r="7" spans="1:29" ht="18.600000000000001" customHeight="1" x14ac:dyDescent="0.2">
      <c r="A7" s="7">
        <f t="shared" si="1"/>
        <v>3</v>
      </c>
      <c r="B7" s="24" t="s">
        <v>1155</v>
      </c>
      <c r="C7" s="24" t="s">
        <v>113</v>
      </c>
      <c r="D7" s="163"/>
      <c r="E7" s="7"/>
      <c r="F7" s="7"/>
      <c r="G7" s="7"/>
      <c r="H7" s="7"/>
      <c r="I7" s="82"/>
      <c r="J7" s="7"/>
      <c r="K7" s="7"/>
      <c r="L7" s="7"/>
      <c r="M7" s="7"/>
      <c r="N7" s="7"/>
      <c r="O7" s="7"/>
      <c r="P7" s="7"/>
    </row>
    <row r="8" spans="1:29" ht="18.600000000000001" customHeight="1" x14ac:dyDescent="0.2">
      <c r="A8" s="7">
        <f t="shared" si="1"/>
        <v>4</v>
      </c>
      <c r="B8" s="24" t="s">
        <v>192</v>
      </c>
      <c r="C8" s="24" t="s">
        <v>24</v>
      </c>
      <c r="D8" s="163">
        <v>368922929</v>
      </c>
      <c r="E8" s="7"/>
      <c r="F8" s="7"/>
      <c r="G8" s="7"/>
      <c r="H8" s="7"/>
      <c r="I8" s="82"/>
      <c r="J8" s="7"/>
      <c r="K8" s="7"/>
      <c r="L8" s="7"/>
      <c r="M8" s="7"/>
      <c r="N8" s="7"/>
      <c r="O8" s="7"/>
      <c r="P8" s="7"/>
      <c r="Z8" s="91"/>
    </row>
    <row r="9" spans="1:29" ht="18.600000000000001" customHeight="1" x14ac:dyDescent="0.3">
      <c r="A9" s="6">
        <f t="shared" si="1"/>
        <v>5</v>
      </c>
      <c r="B9" s="143" t="s">
        <v>961</v>
      </c>
      <c r="C9" s="143" t="s">
        <v>34</v>
      </c>
      <c r="D9" s="143"/>
      <c r="E9" s="16"/>
      <c r="F9" s="16"/>
      <c r="G9" s="16"/>
      <c r="H9" s="16"/>
      <c r="I9" s="83"/>
      <c r="J9" s="16"/>
      <c r="K9" s="16"/>
      <c r="L9" s="16"/>
      <c r="M9" s="16"/>
      <c r="N9" s="16"/>
      <c r="O9" s="16"/>
      <c r="P9" s="16"/>
      <c r="R9" s="18"/>
      <c r="S9" s="431" t="s">
        <v>403</v>
      </c>
      <c r="T9" s="431"/>
      <c r="U9" s="18"/>
      <c r="V9" s="18"/>
      <c r="W9" s="18"/>
      <c r="X9" s="18"/>
    </row>
    <row r="10" spans="1:29" ht="18.600000000000001" customHeight="1" x14ac:dyDescent="0.3">
      <c r="A10" s="56">
        <f t="shared" si="1"/>
        <v>6</v>
      </c>
      <c r="B10" s="24" t="s">
        <v>323</v>
      </c>
      <c r="C10" s="24" t="s">
        <v>92</v>
      </c>
      <c r="D10" s="25">
        <v>394202755</v>
      </c>
      <c r="E10" s="2"/>
      <c r="F10" s="2"/>
      <c r="G10" s="2"/>
      <c r="H10" s="2"/>
      <c r="I10" s="84"/>
      <c r="J10" s="2"/>
      <c r="K10" s="2"/>
      <c r="L10" s="2"/>
      <c r="M10" s="2"/>
      <c r="N10" s="2"/>
      <c r="O10" s="2"/>
      <c r="P10" s="2"/>
      <c r="R10" s="18">
        <v>1</v>
      </c>
      <c r="S10" s="18" t="s">
        <v>404</v>
      </c>
      <c r="T10" s="18"/>
      <c r="U10" s="18"/>
      <c r="V10" s="18"/>
      <c r="W10" s="18"/>
      <c r="X10" s="18"/>
    </row>
    <row r="11" spans="1:29" ht="18.600000000000001" customHeight="1" x14ac:dyDescent="0.3">
      <c r="A11" s="6">
        <f t="shared" si="1"/>
        <v>7</v>
      </c>
      <c r="B11" s="24" t="s">
        <v>315</v>
      </c>
      <c r="C11" s="24" t="s">
        <v>35</v>
      </c>
      <c r="D11" s="163"/>
      <c r="E11" s="4"/>
      <c r="F11" s="4"/>
      <c r="G11" s="4"/>
      <c r="H11" s="4"/>
      <c r="I11" s="85"/>
      <c r="J11" s="4"/>
      <c r="K11" s="4"/>
      <c r="L11" s="4"/>
      <c r="M11" s="4"/>
      <c r="N11" s="4"/>
      <c r="O11" s="4"/>
      <c r="P11" s="4"/>
      <c r="R11" s="18">
        <v>2</v>
      </c>
      <c r="S11" s="18" t="s">
        <v>405</v>
      </c>
      <c r="T11" s="18"/>
      <c r="U11" s="18"/>
      <c r="V11" s="18"/>
      <c r="W11" s="18"/>
      <c r="X11" s="18"/>
    </row>
    <row r="12" spans="1:29" ht="18.600000000000001" customHeight="1" x14ac:dyDescent="0.3">
      <c r="A12" s="6">
        <f t="shared" si="1"/>
        <v>8</v>
      </c>
      <c r="B12" s="39" t="s">
        <v>713</v>
      </c>
      <c r="C12" s="24" t="s">
        <v>676</v>
      </c>
      <c r="D12" s="163">
        <v>392704496</v>
      </c>
      <c r="E12" s="4"/>
      <c r="F12" s="4"/>
      <c r="G12" s="4"/>
      <c r="H12" s="4"/>
      <c r="I12" s="85"/>
      <c r="J12" s="4"/>
      <c r="K12" s="4"/>
      <c r="L12" s="4"/>
      <c r="M12" s="4"/>
      <c r="N12" s="4"/>
      <c r="O12" s="4"/>
      <c r="P12" s="4"/>
      <c r="R12" s="18">
        <v>3</v>
      </c>
      <c r="S12" s="18" t="s">
        <v>406</v>
      </c>
      <c r="T12" s="18"/>
      <c r="U12" s="18"/>
      <c r="V12" s="18"/>
      <c r="W12" s="18"/>
      <c r="X12" s="18"/>
    </row>
    <row r="13" spans="1:29" ht="18.600000000000001" customHeight="1" x14ac:dyDescent="0.3">
      <c r="A13" s="6">
        <f t="shared" si="1"/>
        <v>9</v>
      </c>
      <c r="B13" s="26"/>
      <c r="C13" s="26"/>
      <c r="D13" s="22"/>
      <c r="E13" s="4"/>
      <c r="F13" s="4"/>
      <c r="G13" s="4"/>
      <c r="H13" s="4"/>
      <c r="I13" s="85"/>
      <c r="J13" s="4"/>
      <c r="K13" s="4"/>
      <c r="L13" s="4"/>
      <c r="M13" s="4"/>
      <c r="N13" s="4"/>
      <c r="O13" s="4"/>
      <c r="P13" s="4"/>
      <c r="R13" s="18">
        <v>4</v>
      </c>
      <c r="S13" s="18" t="s">
        <v>407</v>
      </c>
      <c r="T13" s="18"/>
      <c r="U13" s="18"/>
      <c r="V13" s="18"/>
      <c r="W13" s="18"/>
      <c r="X13" s="18"/>
    </row>
    <row r="14" spans="1:29" ht="18.600000000000001" customHeight="1" x14ac:dyDescent="0.3">
      <c r="A14" s="10">
        <f t="shared" si="1"/>
        <v>10</v>
      </c>
      <c r="B14" s="62"/>
      <c r="C14" s="62"/>
      <c r="D14" s="23"/>
      <c r="E14" s="12"/>
      <c r="F14" s="12"/>
      <c r="G14" s="12"/>
      <c r="H14" s="12"/>
      <c r="I14" s="86"/>
      <c r="J14" s="12"/>
      <c r="K14" s="12"/>
      <c r="L14" s="12"/>
      <c r="M14" s="12"/>
      <c r="N14" s="12"/>
      <c r="O14" s="12"/>
      <c r="P14" s="12"/>
      <c r="R14" s="18">
        <v>5</v>
      </c>
      <c r="S14" s="18" t="s">
        <v>408</v>
      </c>
      <c r="T14" s="18"/>
      <c r="U14" s="18"/>
      <c r="V14" s="18"/>
      <c r="W14" s="18"/>
      <c r="X14" s="18"/>
    </row>
    <row r="15" spans="1:29" ht="18.600000000000001" customHeight="1" x14ac:dyDescent="0.2">
      <c r="A15" s="35">
        <f t="shared" si="1"/>
        <v>11</v>
      </c>
      <c r="B15" s="60"/>
      <c r="C15" s="60"/>
      <c r="D15" s="61"/>
      <c r="E15" s="14"/>
      <c r="F15" s="14"/>
      <c r="G15" s="14"/>
      <c r="H15" s="14"/>
      <c r="I15" s="87"/>
      <c r="J15" s="14"/>
      <c r="K15" s="14"/>
      <c r="L15" s="14"/>
      <c r="M15" s="14"/>
      <c r="N15" s="14"/>
      <c r="O15" s="14"/>
      <c r="P15" s="14"/>
    </row>
    <row r="16" spans="1:29" ht="18.600000000000001" customHeight="1" x14ac:dyDescent="0.2">
      <c r="A16" s="7">
        <f t="shared" si="1"/>
        <v>12</v>
      </c>
      <c r="B16" s="26"/>
      <c r="C16" s="26"/>
      <c r="D16" s="22"/>
      <c r="E16" s="4"/>
      <c r="F16" s="4"/>
      <c r="G16" s="4"/>
      <c r="H16" s="4"/>
      <c r="I16" s="85"/>
      <c r="J16" s="4"/>
      <c r="K16" s="4"/>
      <c r="L16" s="4"/>
      <c r="M16" s="4"/>
      <c r="N16" s="4"/>
      <c r="O16" s="4"/>
      <c r="P16" s="4"/>
    </row>
    <row r="17" spans="1:19" ht="18.600000000000001" customHeight="1" x14ac:dyDescent="0.3">
      <c r="A17" s="7">
        <f t="shared" si="1"/>
        <v>13</v>
      </c>
      <c r="B17" s="26"/>
      <c r="C17" s="26"/>
      <c r="D17" s="22"/>
      <c r="E17" s="4"/>
      <c r="F17" s="4"/>
      <c r="G17" s="4"/>
      <c r="H17" s="4"/>
      <c r="I17" s="85"/>
      <c r="J17" s="4"/>
      <c r="K17" s="4"/>
      <c r="L17" s="4"/>
      <c r="M17" s="4"/>
      <c r="N17" s="4"/>
      <c r="O17" s="4"/>
      <c r="P17" s="4"/>
      <c r="S17" s="18" t="s">
        <v>856</v>
      </c>
    </row>
    <row r="18" spans="1:19" ht="18.600000000000001" customHeight="1" x14ac:dyDescent="0.2">
      <c r="A18" s="7">
        <f t="shared" si="1"/>
        <v>14</v>
      </c>
      <c r="B18" s="3"/>
      <c r="C18" s="4"/>
      <c r="D18" s="8"/>
      <c r="E18" s="4"/>
      <c r="F18" s="4"/>
      <c r="G18" s="4"/>
      <c r="H18" s="4"/>
      <c r="I18" s="85"/>
      <c r="J18" s="4"/>
      <c r="K18" s="4"/>
      <c r="L18" s="4"/>
      <c r="M18" s="4"/>
      <c r="N18" s="4"/>
      <c r="O18" s="4"/>
      <c r="P18" s="4"/>
    </row>
    <row r="19" spans="1:19" ht="18.600000000000001" customHeight="1" x14ac:dyDescent="0.2">
      <c r="A19" s="6">
        <f t="shared" si="1"/>
        <v>15</v>
      </c>
      <c r="B19" s="15"/>
      <c r="C19" s="16"/>
      <c r="D19" s="5"/>
      <c r="E19" s="16"/>
      <c r="F19" s="16"/>
      <c r="G19" s="16"/>
      <c r="H19" s="16"/>
      <c r="I19" s="83"/>
      <c r="J19" s="16"/>
      <c r="K19" s="16"/>
      <c r="L19" s="16"/>
      <c r="M19" s="16"/>
      <c r="N19" s="16"/>
      <c r="O19" s="16"/>
      <c r="P19" s="16"/>
    </row>
    <row r="20" spans="1:19" ht="18.600000000000001" customHeight="1" x14ac:dyDescent="0.2">
      <c r="A20" s="32">
        <f t="shared" si="1"/>
        <v>16</v>
      </c>
      <c r="B20" s="1"/>
      <c r="C20" s="2"/>
      <c r="D20" s="33"/>
      <c r="E20" s="2"/>
      <c r="F20" s="2"/>
      <c r="G20" s="2"/>
      <c r="H20" s="2"/>
      <c r="I20" s="84"/>
      <c r="J20" s="2"/>
      <c r="K20" s="2"/>
      <c r="L20" s="2"/>
      <c r="M20" s="2"/>
      <c r="N20" s="2"/>
      <c r="O20" s="2"/>
      <c r="P20" s="2"/>
    </row>
    <row r="21" spans="1:19" ht="18.600000000000001" customHeight="1" x14ac:dyDescent="0.2">
      <c r="A21" s="7">
        <f t="shared" si="1"/>
        <v>17</v>
      </c>
      <c r="B21" s="3"/>
      <c r="C21" s="4"/>
      <c r="D21" s="8"/>
      <c r="E21" s="4"/>
      <c r="F21" s="4"/>
      <c r="G21" s="4"/>
      <c r="H21" s="4"/>
      <c r="I21" s="85"/>
      <c r="J21" s="4"/>
      <c r="K21" s="4"/>
      <c r="L21" s="4"/>
      <c r="M21" s="4"/>
      <c r="N21" s="4"/>
      <c r="O21" s="4"/>
      <c r="P21" s="4"/>
    </row>
    <row r="22" spans="1:19" ht="18.600000000000001" customHeight="1" x14ac:dyDescent="0.2">
      <c r="A22" s="7">
        <f t="shared" si="1"/>
        <v>18</v>
      </c>
      <c r="B22" s="3"/>
      <c r="C22" s="4"/>
      <c r="D22" s="8"/>
      <c r="E22" s="4"/>
      <c r="F22" s="4"/>
      <c r="G22" s="4"/>
      <c r="H22" s="4"/>
      <c r="I22" s="85"/>
      <c r="J22" s="4"/>
      <c r="K22" s="4"/>
      <c r="L22" s="4"/>
      <c r="M22" s="4"/>
      <c r="N22" s="4"/>
      <c r="O22" s="4"/>
      <c r="P22" s="4"/>
    </row>
    <row r="23" spans="1:19" ht="18.600000000000001" customHeight="1" x14ac:dyDescent="0.2">
      <c r="A23" s="7">
        <f t="shared" si="1"/>
        <v>19</v>
      </c>
      <c r="B23" s="3"/>
      <c r="C23" s="4"/>
      <c r="D23" s="8"/>
      <c r="E23" s="4"/>
      <c r="F23" s="4"/>
      <c r="G23" s="4"/>
      <c r="H23" s="4"/>
      <c r="I23" s="85"/>
      <c r="J23" s="4"/>
      <c r="K23" s="4"/>
      <c r="L23" s="4"/>
      <c r="M23" s="4"/>
      <c r="N23" s="4"/>
      <c r="O23" s="4"/>
      <c r="P23" s="4"/>
    </row>
    <row r="24" spans="1:19" ht="18.600000000000001" customHeight="1" x14ac:dyDescent="0.2">
      <c r="A24" s="10">
        <f t="shared" si="1"/>
        <v>20</v>
      </c>
      <c r="B24" s="11"/>
      <c r="C24" s="12"/>
      <c r="D24" s="9"/>
      <c r="E24" s="12"/>
      <c r="F24" s="12"/>
      <c r="G24" s="12"/>
      <c r="H24" s="12"/>
      <c r="I24" s="86"/>
      <c r="J24" s="12"/>
      <c r="K24" s="12"/>
      <c r="L24" s="12"/>
      <c r="M24" s="12"/>
      <c r="N24" s="12"/>
      <c r="O24" s="12"/>
      <c r="P24" s="12"/>
    </row>
    <row r="25" spans="1:19" ht="18.600000000000001" customHeight="1" x14ac:dyDescent="0.2">
      <c r="A25" s="35">
        <f t="shared" si="1"/>
        <v>21</v>
      </c>
      <c r="B25" s="13"/>
      <c r="C25" s="14"/>
      <c r="D25" s="37"/>
      <c r="E25" s="14"/>
      <c r="F25" s="14"/>
      <c r="G25" s="14"/>
      <c r="H25" s="14"/>
      <c r="I25" s="87"/>
      <c r="J25" s="14"/>
      <c r="K25" s="14"/>
      <c r="L25" s="14"/>
      <c r="M25" s="14"/>
      <c r="N25" s="14"/>
      <c r="O25" s="14"/>
      <c r="P25" s="14"/>
    </row>
    <row r="26" spans="1:19" ht="18.600000000000001" customHeight="1" x14ac:dyDescent="0.2">
      <c r="A26" s="7">
        <f t="shared" si="1"/>
        <v>22</v>
      </c>
      <c r="B26" s="3"/>
      <c r="C26" s="4"/>
      <c r="D26" s="8"/>
      <c r="E26" s="4"/>
      <c r="F26" s="4"/>
      <c r="G26" s="4"/>
      <c r="H26" s="4"/>
      <c r="I26" s="85"/>
      <c r="J26" s="4"/>
      <c r="K26" s="4"/>
      <c r="L26" s="4"/>
      <c r="M26" s="4"/>
      <c r="N26" s="4"/>
      <c r="O26" s="4"/>
      <c r="P26" s="4"/>
    </row>
    <row r="27" spans="1:19" ht="18.600000000000001" customHeight="1" x14ac:dyDescent="0.2">
      <c r="A27" s="35">
        <f t="shared" si="1"/>
        <v>23</v>
      </c>
      <c r="B27" s="3"/>
      <c r="C27" s="4"/>
      <c r="D27" s="8"/>
      <c r="E27" s="4"/>
      <c r="F27" s="4"/>
      <c r="G27" s="4"/>
      <c r="H27" s="4"/>
      <c r="I27" s="85"/>
      <c r="J27" s="4"/>
      <c r="K27" s="4"/>
      <c r="L27" s="4"/>
      <c r="M27" s="4"/>
      <c r="N27" s="4"/>
      <c r="O27" s="4"/>
      <c r="P27" s="4"/>
    </row>
    <row r="28" spans="1:19" ht="18.600000000000001" customHeight="1" x14ac:dyDescent="0.2">
      <c r="A28" s="7">
        <f t="shared" si="1"/>
        <v>24</v>
      </c>
      <c r="B28" s="3"/>
      <c r="C28" s="4"/>
      <c r="D28" s="8"/>
      <c r="E28" s="4"/>
      <c r="F28" s="4"/>
      <c r="G28" s="4"/>
      <c r="H28" s="4"/>
      <c r="I28" s="85"/>
      <c r="J28" s="4"/>
      <c r="K28" s="4"/>
      <c r="L28" s="4"/>
      <c r="M28" s="4"/>
      <c r="N28" s="4"/>
      <c r="O28" s="4"/>
      <c r="P28" s="4"/>
    </row>
    <row r="29" spans="1:19" ht="18.600000000000001" customHeight="1" x14ac:dyDescent="0.2">
      <c r="A29" s="35">
        <f t="shared" si="1"/>
        <v>25</v>
      </c>
      <c r="B29" s="11"/>
      <c r="C29" s="12"/>
      <c r="D29" s="9"/>
      <c r="E29" s="12"/>
      <c r="F29" s="12"/>
      <c r="G29" s="12"/>
      <c r="H29" s="12"/>
      <c r="I29" s="86"/>
      <c r="J29" s="12"/>
      <c r="K29" s="12"/>
      <c r="L29" s="12"/>
      <c r="M29" s="12"/>
      <c r="N29" s="12"/>
      <c r="O29" s="12"/>
      <c r="P29" s="12"/>
    </row>
    <row r="30" spans="1:19" ht="18.600000000000001" customHeight="1" x14ac:dyDescent="0.3">
      <c r="A30" s="147"/>
      <c r="B30" s="148"/>
      <c r="C30" s="147"/>
      <c r="D30" s="149"/>
      <c r="E30" s="150">
        <f>SUBTOTAL(9,E5:E29)</f>
        <v>0</v>
      </c>
      <c r="F30" s="151"/>
      <c r="G30" s="150">
        <f t="shared" ref="G30" si="2">SUBTOTAL(9,G5:G29)</f>
        <v>0</v>
      </c>
      <c r="H30" s="151"/>
      <c r="I30" s="150">
        <f t="shared" ref="I30" si="3">SUBTOTAL(9,I5:I29)</f>
        <v>0</v>
      </c>
      <c r="J30" s="151"/>
      <c r="K30" s="151"/>
      <c r="L30" s="151"/>
      <c r="M30" s="150">
        <f t="shared" ref="M30" si="4">SUBTOTAL(9,M5:M29)</f>
        <v>0</v>
      </c>
      <c r="N30" s="151"/>
      <c r="O30" s="150">
        <f t="shared" ref="O30" si="5">SUBTOTAL(9,O5:O29)</f>
        <v>0</v>
      </c>
      <c r="P30" s="151"/>
    </row>
    <row r="31" spans="1:19" ht="18.600000000000001" customHeight="1" x14ac:dyDescent="0.2">
      <c r="A31" s="434" t="str">
        <f>A1</f>
        <v>DANH SÁCH LÝ</v>
      </c>
      <c r="B31" s="434"/>
      <c r="C31" s="434"/>
      <c r="D31" s="434"/>
      <c r="E31" s="434"/>
      <c r="F31" s="434"/>
      <c r="G31" s="434"/>
      <c r="H31" s="434"/>
      <c r="I31" s="92">
        <v>2</v>
      </c>
      <c r="J31" s="48"/>
      <c r="K31" s="48"/>
      <c r="L31" s="48"/>
      <c r="M31" s="41"/>
      <c r="N31" s="41"/>
      <c r="O31" s="41"/>
      <c r="P31" s="41"/>
    </row>
    <row r="32" spans="1:19" ht="18.600000000000001" customHeight="1" x14ac:dyDescent="0.2">
      <c r="A32" s="28"/>
      <c r="B32" s="29"/>
      <c r="C32" s="30"/>
      <c r="D32" s="36"/>
      <c r="E32" s="28"/>
      <c r="F32" s="28"/>
      <c r="G32" s="28"/>
      <c r="H32" s="28"/>
      <c r="I32" s="79"/>
      <c r="J32" s="28"/>
      <c r="K32" s="28"/>
      <c r="L32" s="28"/>
      <c r="M32" s="28"/>
      <c r="N32" s="28"/>
      <c r="O32" s="28"/>
      <c r="P32" s="28"/>
    </row>
    <row r="33" spans="1:16" ht="18.600000000000001" customHeight="1" x14ac:dyDescent="0.2">
      <c r="A33" s="435" t="s">
        <v>374</v>
      </c>
      <c r="B33" s="435" t="s">
        <v>380</v>
      </c>
      <c r="C33" s="435" t="s">
        <v>383</v>
      </c>
      <c r="D33" s="437" t="s">
        <v>384</v>
      </c>
      <c r="E33" s="438" t="s">
        <v>385</v>
      </c>
      <c r="F33" s="439"/>
      <c r="G33" s="432" t="str">
        <f>$R$1</f>
        <v>Đợt 6</v>
      </c>
      <c r="H33" s="433"/>
      <c r="I33" s="432" t="str">
        <f>$T$1</f>
        <v>Đợt 7</v>
      </c>
      <c r="J33" s="433"/>
      <c r="K33" s="201"/>
      <c r="L33" s="201"/>
      <c r="M33" s="432" t="str">
        <f>$X$1</f>
        <v>Đợt 9</v>
      </c>
      <c r="N33" s="433"/>
      <c r="O33" s="432" t="str">
        <f>$Z$1</f>
        <v>Đợt 10</v>
      </c>
      <c r="P33" s="433"/>
    </row>
    <row r="34" spans="1:16" ht="18.600000000000001" customHeight="1" x14ac:dyDescent="0.2">
      <c r="A34" s="436"/>
      <c r="B34" s="436"/>
      <c r="C34" s="436"/>
      <c r="D34" s="436"/>
      <c r="E34" s="31" t="s">
        <v>381</v>
      </c>
      <c r="F34" s="31" t="s">
        <v>382</v>
      </c>
      <c r="G34" s="31" t="s">
        <v>381</v>
      </c>
      <c r="H34" s="31" t="s">
        <v>382</v>
      </c>
      <c r="I34" s="80" t="s">
        <v>381</v>
      </c>
      <c r="J34" s="31" t="s">
        <v>382</v>
      </c>
      <c r="K34" s="31"/>
      <c r="L34" s="31"/>
      <c r="M34" s="31" t="s">
        <v>381</v>
      </c>
      <c r="N34" s="31" t="s">
        <v>382</v>
      </c>
      <c r="O34" s="31" t="s">
        <v>381</v>
      </c>
      <c r="P34" s="31" t="s">
        <v>382</v>
      </c>
    </row>
    <row r="35" spans="1:16" ht="18.600000000000001" customHeight="1" x14ac:dyDescent="0.2">
      <c r="A35" s="32">
        <v>1</v>
      </c>
      <c r="B35" s="26"/>
      <c r="C35" s="26"/>
      <c r="D35" s="22"/>
      <c r="E35" s="32"/>
      <c r="F35" s="34"/>
      <c r="G35" s="32"/>
      <c r="H35" s="93"/>
      <c r="I35" s="81"/>
      <c r="J35" s="34"/>
      <c r="K35" s="34"/>
      <c r="L35" s="34"/>
      <c r="M35" s="32"/>
      <c r="N35" s="34"/>
      <c r="O35" s="32"/>
      <c r="P35" s="34"/>
    </row>
    <row r="36" spans="1:16" ht="18.600000000000001" customHeight="1" x14ac:dyDescent="0.2">
      <c r="A36" s="7">
        <f t="shared" ref="A36:A59" si="6">A35+1</f>
        <v>2</v>
      </c>
      <c r="B36" s="26"/>
      <c r="C36" s="26"/>
      <c r="D36" s="22"/>
      <c r="E36" s="7"/>
      <c r="F36" s="7"/>
      <c r="G36" s="7"/>
      <c r="H36" s="7"/>
      <c r="I36" s="82"/>
      <c r="J36" s="7"/>
      <c r="K36" s="7"/>
      <c r="L36" s="7"/>
      <c r="M36" s="7"/>
      <c r="N36" s="7"/>
      <c r="O36" s="7"/>
      <c r="P36" s="7"/>
    </row>
    <row r="37" spans="1:16" ht="18.600000000000001" customHeight="1" x14ac:dyDescent="0.2">
      <c r="A37" s="7">
        <f t="shared" si="6"/>
        <v>3</v>
      </c>
      <c r="B37" s="26"/>
      <c r="C37" s="26"/>
      <c r="D37" s="22"/>
      <c r="E37" s="7"/>
      <c r="F37" s="7"/>
      <c r="G37" s="7"/>
      <c r="H37" s="7"/>
      <c r="I37" s="82"/>
      <c r="J37" s="7"/>
      <c r="K37" s="7"/>
      <c r="L37" s="7"/>
      <c r="M37" s="7"/>
      <c r="N37" s="7"/>
      <c r="O37" s="7"/>
      <c r="P37" s="7"/>
    </row>
    <row r="38" spans="1:16" ht="18.600000000000001" customHeight="1" x14ac:dyDescent="0.2">
      <c r="A38" s="7">
        <f t="shared" si="6"/>
        <v>4</v>
      </c>
      <c r="B38" s="26"/>
      <c r="C38" s="26"/>
      <c r="D38" s="22"/>
      <c r="E38" s="7"/>
      <c r="F38" s="7"/>
      <c r="G38" s="7"/>
      <c r="H38" s="7"/>
      <c r="I38" s="82"/>
      <c r="J38" s="7"/>
      <c r="K38" s="7"/>
      <c r="L38" s="7"/>
      <c r="M38" s="7"/>
      <c r="N38" s="7"/>
      <c r="O38" s="7"/>
      <c r="P38" s="7"/>
    </row>
    <row r="39" spans="1:16" ht="18.600000000000001" customHeight="1" x14ac:dyDescent="0.2">
      <c r="A39" s="6">
        <f t="shared" si="6"/>
        <v>5</v>
      </c>
      <c r="B39" s="58"/>
      <c r="C39" s="58"/>
      <c r="D39" s="59"/>
      <c r="E39" s="16"/>
      <c r="F39" s="16"/>
      <c r="G39" s="16"/>
      <c r="H39" s="16"/>
      <c r="I39" s="83"/>
      <c r="J39" s="16"/>
      <c r="K39" s="16"/>
      <c r="L39" s="16"/>
      <c r="M39" s="16"/>
      <c r="N39" s="16"/>
      <c r="O39" s="16"/>
      <c r="P39" s="16"/>
    </row>
    <row r="40" spans="1:16" ht="18.600000000000001" customHeight="1" x14ac:dyDescent="0.2">
      <c r="A40" s="56">
        <f t="shared" si="6"/>
        <v>6</v>
      </c>
      <c r="B40" s="57"/>
      <c r="C40" s="57"/>
      <c r="D40" s="21"/>
      <c r="E40" s="2"/>
      <c r="F40" s="2"/>
      <c r="G40" s="2"/>
      <c r="H40" s="2"/>
      <c r="I40" s="84"/>
      <c r="J40" s="2"/>
      <c r="K40" s="2"/>
      <c r="L40" s="2"/>
      <c r="M40" s="2"/>
      <c r="N40" s="2"/>
      <c r="O40" s="2"/>
      <c r="P40" s="2"/>
    </row>
    <row r="41" spans="1:16" ht="18.600000000000001" customHeight="1" x14ac:dyDescent="0.2">
      <c r="A41" s="6">
        <f t="shared" si="6"/>
        <v>7</v>
      </c>
      <c r="B41" s="26"/>
      <c r="C41" s="26"/>
      <c r="D41" s="22"/>
      <c r="E41" s="4"/>
      <c r="F41" s="4"/>
      <c r="G41" s="4"/>
      <c r="H41" s="4"/>
      <c r="I41" s="85"/>
      <c r="J41" s="4"/>
      <c r="K41" s="4"/>
      <c r="L41" s="4"/>
      <c r="M41" s="4"/>
      <c r="N41" s="4"/>
      <c r="O41" s="4"/>
      <c r="P41" s="4"/>
    </row>
    <row r="42" spans="1:16" ht="18.600000000000001" customHeight="1" x14ac:dyDescent="0.2">
      <c r="A42" s="6">
        <f t="shared" si="6"/>
        <v>8</v>
      </c>
      <c r="B42" s="26"/>
      <c r="C42" s="26"/>
      <c r="D42" s="22"/>
      <c r="E42" s="4"/>
      <c r="F42" s="4"/>
      <c r="G42" s="4"/>
      <c r="H42" s="4"/>
      <c r="I42" s="85"/>
      <c r="J42" s="4"/>
      <c r="K42" s="4"/>
      <c r="L42" s="4"/>
      <c r="M42" s="4"/>
      <c r="N42" s="4"/>
      <c r="O42" s="4"/>
      <c r="P42" s="4"/>
    </row>
    <row r="43" spans="1:16" ht="18.600000000000001" customHeight="1" x14ac:dyDescent="0.2">
      <c r="A43" s="6">
        <f t="shared" si="6"/>
        <v>9</v>
      </c>
      <c r="B43" s="26"/>
      <c r="C43" s="26"/>
      <c r="D43" s="22"/>
      <c r="E43" s="4"/>
      <c r="F43" s="4"/>
      <c r="G43" s="4"/>
      <c r="H43" s="4"/>
      <c r="I43" s="85"/>
      <c r="J43" s="4"/>
      <c r="K43" s="4"/>
      <c r="L43" s="4"/>
      <c r="M43" s="4"/>
      <c r="N43" s="4"/>
      <c r="O43" s="4"/>
      <c r="P43" s="4"/>
    </row>
    <row r="44" spans="1:16" ht="18.600000000000001" customHeight="1" x14ac:dyDescent="0.2">
      <c r="A44" s="10">
        <f t="shared" si="6"/>
        <v>10</v>
      </c>
      <c r="B44" s="62"/>
      <c r="C44" s="62"/>
      <c r="D44" s="23"/>
      <c r="E44" s="12"/>
      <c r="F44" s="12"/>
      <c r="G44" s="12"/>
      <c r="H44" s="12"/>
      <c r="I44" s="86"/>
      <c r="J44" s="12"/>
      <c r="K44" s="12"/>
      <c r="L44" s="12"/>
      <c r="M44" s="12"/>
      <c r="N44" s="12"/>
      <c r="O44" s="12"/>
      <c r="P44" s="12"/>
    </row>
    <row r="45" spans="1:16" ht="18.600000000000001" customHeight="1" x14ac:dyDescent="0.2">
      <c r="A45" s="35">
        <f t="shared" si="6"/>
        <v>11</v>
      </c>
      <c r="B45" s="60"/>
      <c r="C45" s="60"/>
      <c r="D45" s="61"/>
      <c r="E45" s="14"/>
      <c r="F45" s="14"/>
      <c r="G45" s="14"/>
      <c r="H45" s="14"/>
      <c r="I45" s="87"/>
      <c r="J45" s="14"/>
      <c r="K45" s="14"/>
      <c r="L45" s="14"/>
      <c r="M45" s="14"/>
      <c r="N45" s="14"/>
      <c r="O45" s="14"/>
      <c r="P45" s="14"/>
    </row>
    <row r="46" spans="1:16" ht="18.600000000000001" customHeight="1" x14ac:dyDescent="0.2">
      <c r="A46" s="7">
        <f t="shared" si="6"/>
        <v>12</v>
      </c>
      <c r="B46" s="26"/>
      <c r="C46" s="26"/>
      <c r="D46" s="22"/>
      <c r="E46" s="4"/>
      <c r="F46" s="4"/>
      <c r="G46" s="4"/>
      <c r="H46" s="4"/>
      <c r="I46" s="85"/>
      <c r="J46" s="4"/>
      <c r="K46" s="4"/>
      <c r="L46" s="4"/>
      <c r="M46" s="4"/>
      <c r="N46" s="4"/>
      <c r="O46" s="4"/>
      <c r="P46" s="4"/>
    </row>
    <row r="47" spans="1:16" ht="18.600000000000001" customHeight="1" x14ac:dyDescent="0.2">
      <c r="A47" s="7">
        <f t="shared" si="6"/>
        <v>13</v>
      </c>
      <c r="B47" s="26"/>
      <c r="C47" s="26"/>
      <c r="D47" s="22"/>
      <c r="E47" s="4"/>
      <c r="F47" s="4"/>
      <c r="G47" s="4"/>
      <c r="H47" s="4"/>
      <c r="I47" s="85"/>
      <c r="J47" s="4"/>
      <c r="K47" s="4"/>
      <c r="L47" s="4"/>
      <c r="M47" s="4"/>
      <c r="N47" s="4"/>
      <c r="O47" s="4"/>
      <c r="P47" s="4"/>
    </row>
    <row r="48" spans="1:16" ht="18.600000000000001" customHeight="1" x14ac:dyDescent="0.2">
      <c r="A48" s="7">
        <f t="shared" si="6"/>
        <v>14</v>
      </c>
      <c r="B48" s="3"/>
      <c r="C48" s="4"/>
      <c r="D48" s="8"/>
      <c r="E48" s="4"/>
      <c r="F48" s="4"/>
      <c r="G48" s="4"/>
      <c r="H48" s="4"/>
      <c r="I48" s="85"/>
      <c r="J48" s="4"/>
      <c r="K48" s="4"/>
      <c r="L48" s="4"/>
      <c r="M48" s="4"/>
      <c r="N48" s="4"/>
      <c r="O48" s="4"/>
      <c r="P48" s="4"/>
    </row>
    <row r="49" spans="1:16" ht="18.600000000000001" customHeight="1" x14ac:dyDescent="0.2">
      <c r="A49" s="6">
        <f t="shared" si="6"/>
        <v>15</v>
      </c>
      <c r="B49" s="15"/>
      <c r="C49" s="16"/>
      <c r="D49" s="5"/>
      <c r="E49" s="16"/>
      <c r="F49" s="16"/>
      <c r="G49" s="16"/>
      <c r="H49" s="16"/>
      <c r="I49" s="83"/>
      <c r="J49" s="16"/>
      <c r="K49" s="16"/>
      <c r="L49" s="16"/>
      <c r="M49" s="16"/>
      <c r="N49" s="16"/>
      <c r="O49" s="16"/>
      <c r="P49" s="16"/>
    </row>
    <row r="50" spans="1:16" ht="18.600000000000001" customHeight="1" x14ac:dyDescent="0.2">
      <c r="A50" s="32">
        <f t="shared" si="6"/>
        <v>16</v>
      </c>
      <c r="B50" s="1"/>
      <c r="C50" s="2"/>
      <c r="D50" s="33"/>
      <c r="E50" s="2"/>
      <c r="F50" s="2"/>
      <c r="G50" s="2"/>
      <c r="H50" s="2"/>
      <c r="I50" s="84"/>
      <c r="J50" s="2"/>
      <c r="K50" s="2"/>
      <c r="L50" s="2"/>
      <c r="M50" s="2"/>
      <c r="N50" s="2"/>
      <c r="O50" s="2"/>
      <c r="P50" s="2"/>
    </row>
    <row r="51" spans="1:16" ht="18.600000000000001" customHeight="1" x14ac:dyDescent="0.2">
      <c r="A51" s="7">
        <f t="shared" si="6"/>
        <v>17</v>
      </c>
      <c r="B51" s="3"/>
      <c r="C51" s="4"/>
      <c r="D51" s="8"/>
      <c r="E51" s="4"/>
      <c r="F51" s="4"/>
      <c r="G51" s="4"/>
      <c r="H51" s="4"/>
      <c r="I51" s="85"/>
      <c r="J51" s="4"/>
      <c r="K51" s="4"/>
      <c r="L51" s="4"/>
      <c r="M51" s="4"/>
      <c r="N51" s="4"/>
      <c r="O51" s="4"/>
      <c r="P51" s="4"/>
    </row>
    <row r="52" spans="1:16" ht="18.600000000000001" customHeight="1" x14ac:dyDescent="0.2">
      <c r="A52" s="7">
        <f t="shared" si="6"/>
        <v>18</v>
      </c>
      <c r="B52" s="3"/>
      <c r="C52" s="4"/>
      <c r="D52" s="8"/>
      <c r="E52" s="4"/>
      <c r="F52" s="4"/>
      <c r="G52" s="4"/>
      <c r="H52" s="4"/>
      <c r="I52" s="85"/>
      <c r="J52" s="4"/>
      <c r="K52" s="4"/>
      <c r="L52" s="4"/>
      <c r="M52" s="4"/>
      <c r="N52" s="4"/>
      <c r="O52" s="4"/>
      <c r="P52" s="4"/>
    </row>
    <row r="53" spans="1:16" ht="18.600000000000001" customHeight="1" x14ac:dyDescent="0.2">
      <c r="A53" s="7">
        <f t="shared" si="6"/>
        <v>19</v>
      </c>
      <c r="B53" s="3"/>
      <c r="C53" s="4"/>
      <c r="D53" s="8"/>
      <c r="E53" s="4"/>
      <c r="F53" s="4"/>
      <c r="G53" s="4"/>
      <c r="H53" s="4"/>
      <c r="I53" s="85"/>
      <c r="J53" s="4"/>
      <c r="K53" s="4"/>
      <c r="L53" s="4"/>
      <c r="M53" s="4"/>
      <c r="N53" s="4"/>
      <c r="O53" s="4"/>
      <c r="P53" s="4"/>
    </row>
    <row r="54" spans="1:16" ht="18.600000000000001" customHeight="1" x14ac:dyDescent="0.2">
      <c r="A54" s="10">
        <f t="shared" si="6"/>
        <v>20</v>
      </c>
      <c r="B54" s="11"/>
      <c r="C54" s="12"/>
      <c r="D54" s="9"/>
      <c r="E54" s="12"/>
      <c r="F54" s="12"/>
      <c r="G54" s="12"/>
      <c r="H54" s="12"/>
      <c r="I54" s="86"/>
      <c r="J54" s="12"/>
      <c r="K54" s="12"/>
      <c r="L54" s="12"/>
      <c r="M54" s="12"/>
      <c r="N54" s="12"/>
      <c r="O54" s="12"/>
      <c r="P54" s="12"/>
    </row>
    <row r="55" spans="1:16" ht="18.600000000000001" customHeight="1" x14ac:dyDescent="0.2">
      <c r="A55" s="35">
        <f t="shared" si="6"/>
        <v>21</v>
      </c>
      <c r="B55" s="13"/>
      <c r="C55" s="14"/>
      <c r="D55" s="37"/>
      <c r="E55" s="14"/>
      <c r="F55" s="14"/>
      <c r="G55" s="14"/>
      <c r="H55" s="14"/>
      <c r="I55" s="87"/>
      <c r="J55" s="14"/>
      <c r="K55" s="14"/>
      <c r="L55" s="14"/>
      <c r="M55" s="14"/>
      <c r="N55" s="14"/>
      <c r="O55" s="14"/>
      <c r="P55" s="14"/>
    </row>
    <row r="56" spans="1:16" ht="18.600000000000001" customHeight="1" x14ac:dyDescent="0.2">
      <c r="A56" s="7">
        <f t="shared" si="6"/>
        <v>22</v>
      </c>
      <c r="B56" s="3"/>
      <c r="C56" s="4"/>
      <c r="D56" s="8"/>
      <c r="E56" s="4"/>
      <c r="F56" s="4"/>
      <c r="G56" s="4"/>
      <c r="H56" s="4"/>
      <c r="I56" s="85"/>
      <c r="J56" s="4"/>
      <c r="K56" s="4"/>
      <c r="L56" s="4"/>
      <c r="M56" s="4"/>
      <c r="N56" s="4"/>
      <c r="O56" s="4"/>
      <c r="P56" s="4"/>
    </row>
    <row r="57" spans="1:16" ht="18.600000000000001" customHeight="1" x14ac:dyDescent="0.2">
      <c r="A57" s="35">
        <f t="shared" si="6"/>
        <v>23</v>
      </c>
      <c r="B57" s="3"/>
      <c r="C57" s="4"/>
      <c r="D57" s="8"/>
      <c r="E57" s="4"/>
      <c r="F57" s="4"/>
      <c r="G57" s="4"/>
      <c r="H57" s="4"/>
      <c r="I57" s="85"/>
      <c r="J57" s="4"/>
      <c r="K57" s="4"/>
      <c r="L57" s="4"/>
      <c r="M57" s="4"/>
      <c r="N57" s="4"/>
      <c r="O57" s="4"/>
      <c r="P57" s="4"/>
    </row>
    <row r="58" spans="1:16" ht="18.600000000000001" customHeight="1" x14ac:dyDescent="0.2">
      <c r="A58" s="7">
        <f t="shared" si="6"/>
        <v>24</v>
      </c>
      <c r="B58" s="3"/>
      <c r="C58" s="4"/>
      <c r="D58" s="8"/>
      <c r="E58" s="4"/>
      <c r="F58" s="4"/>
      <c r="G58" s="4"/>
      <c r="H58" s="4"/>
      <c r="I58" s="85"/>
      <c r="J58" s="4"/>
      <c r="K58" s="4"/>
      <c r="L58" s="4"/>
      <c r="M58" s="4"/>
      <c r="N58" s="4"/>
      <c r="O58" s="4"/>
      <c r="P58" s="4"/>
    </row>
    <row r="59" spans="1:16" ht="18.600000000000001" customHeight="1" x14ac:dyDescent="0.2">
      <c r="A59" s="35">
        <f t="shared" si="6"/>
        <v>25</v>
      </c>
      <c r="B59" s="11"/>
      <c r="C59" s="12"/>
      <c r="D59" s="9"/>
      <c r="E59" s="12"/>
      <c r="F59" s="12"/>
      <c r="G59" s="12"/>
      <c r="H59" s="12"/>
      <c r="I59" s="86"/>
      <c r="J59" s="12"/>
      <c r="K59" s="12"/>
      <c r="L59" s="12"/>
      <c r="M59" s="12"/>
      <c r="N59" s="12"/>
      <c r="O59" s="12"/>
      <c r="P59" s="12"/>
    </row>
    <row r="60" spans="1:16" ht="18.600000000000001" customHeight="1" x14ac:dyDescent="0.3">
      <c r="A60" s="147"/>
      <c r="B60" s="148"/>
      <c r="C60" s="147"/>
      <c r="D60" s="149"/>
      <c r="E60" s="150">
        <f>SUBTOTAL(9,E35:E59)</f>
        <v>0</v>
      </c>
      <c r="F60" s="152"/>
      <c r="G60" s="150">
        <f t="shared" ref="G60" si="7">SUBTOTAL(9,G35:G59)</f>
        <v>0</v>
      </c>
      <c r="H60" s="152"/>
      <c r="I60" s="150">
        <f t="shared" ref="I60" si="8">SUBTOTAL(9,I35:I59)</f>
        <v>0</v>
      </c>
      <c r="J60" s="152"/>
      <c r="K60" s="152"/>
      <c r="L60" s="152"/>
      <c r="M60" s="150">
        <f t="shared" ref="M60" si="9">SUBTOTAL(9,M35:M59)</f>
        <v>0</v>
      </c>
      <c r="N60" s="152"/>
      <c r="O60" s="150">
        <f t="shared" ref="O60" si="10">SUBTOTAL(9,O35:O59)</f>
        <v>0</v>
      </c>
      <c r="P60" s="152"/>
    </row>
    <row r="61" spans="1:16" ht="18.600000000000001" customHeight="1" x14ac:dyDescent="0.2">
      <c r="A61" s="434" t="str">
        <f>A31</f>
        <v>DANH SÁCH LÝ</v>
      </c>
      <c r="B61" s="434"/>
      <c r="C61" s="434"/>
      <c r="D61" s="434"/>
      <c r="E61" s="434"/>
      <c r="F61" s="434"/>
      <c r="G61" s="434"/>
      <c r="H61" s="434"/>
      <c r="I61" s="92">
        <v>3</v>
      </c>
      <c r="J61" s="48"/>
      <c r="K61" s="48"/>
      <c r="L61" s="48"/>
      <c r="M61" s="41"/>
      <c r="N61" s="41"/>
      <c r="O61" s="41"/>
      <c r="P61" s="41"/>
    </row>
    <row r="62" spans="1:16" ht="18.600000000000001" customHeight="1" x14ac:dyDescent="0.2">
      <c r="A62" s="28"/>
      <c r="B62" s="29"/>
      <c r="C62" s="30"/>
      <c r="D62" s="36"/>
      <c r="E62" s="28"/>
      <c r="F62" s="28"/>
      <c r="G62" s="28"/>
      <c r="H62" s="28"/>
      <c r="I62" s="79"/>
      <c r="J62" s="28"/>
      <c r="K62" s="28"/>
      <c r="L62" s="28"/>
      <c r="M62" s="28"/>
      <c r="N62" s="28"/>
      <c r="O62" s="28"/>
      <c r="P62" s="28"/>
    </row>
    <row r="63" spans="1:16" ht="18.600000000000001" customHeight="1" x14ac:dyDescent="0.2">
      <c r="A63" s="435" t="s">
        <v>374</v>
      </c>
      <c r="B63" s="435" t="s">
        <v>380</v>
      </c>
      <c r="C63" s="435" t="s">
        <v>383</v>
      </c>
      <c r="D63" s="437" t="s">
        <v>384</v>
      </c>
      <c r="E63" s="438" t="s">
        <v>385</v>
      </c>
      <c r="F63" s="439"/>
      <c r="G63" s="432" t="str">
        <f>$R$1</f>
        <v>Đợt 6</v>
      </c>
      <c r="H63" s="433"/>
      <c r="I63" s="432" t="str">
        <f>$T$1</f>
        <v>Đợt 7</v>
      </c>
      <c r="J63" s="433"/>
      <c r="K63" s="201"/>
      <c r="L63" s="201"/>
      <c r="M63" s="432" t="str">
        <f>$X$1</f>
        <v>Đợt 9</v>
      </c>
      <c r="N63" s="433"/>
      <c r="O63" s="432" t="str">
        <f>$Z$1</f>
        <v>Đợt 10</v>
      </c>
      <c r="P63" s="433"/>
    </row>
    <row r="64" spans="1:16" ht="18.600000000000001" customHeight="1" x14ac:dyDescent="0.2">
      <c r="A64" s="436"/>
      <c r="B64" s="436"/>
      <c r="C64" s="436"/>
      <c r="D64" s="436"/>
      <c r="E64" s="31" t="s">
        <v>381</v>
      </c>
      <c r="F64" s="31" t="s">
        <v>382</v>
      </c>
      <c r="G64" s="31" t="s">
        <v>381</v>
      </c>
      <c r="H64" s="31" t="s">
        <v>382</v>
      </c>
      <c r="I64" s="80" t="s">
        <v>381</v>
      </c>
      <c r="J64" s="31" t="s">
        <v>382</v>
      </c>
      <c r="K64" s="31"/>
      <c r="L64" s="31"/>
      <c r="M64" s="31" t="s">
        <v>381</v>
      </c>
      <c r="N64" s="31" t="s">
        <v>382</v>
      </c>
      <c r="O64" s="31" t="s">
        <v>381</v>
      </c>
      <c r="P64" s="31" t="s">
        <v>382</v>
      </c>
    </row>
    <row r="65" spans="1:16" ht="18.600000000000001" customHeight="1" x14ac:dyDescent="0.2">
      <c r="A65" s="32">
        <v>1</v>
      </c>
      <c r="B65" s="26"/>
      <c r="C65" s="26"/>
      <c r="D65" s="22"/>
      <c r="E65" s="32"/>
      <c r="F65" s="34"/>
      <c r="G65" s="32"/>
      <c r="H65" s="93"/>
      <c r="I65" s="81"/>
      <c r="J65" s="34"/>
      <c r="K65" s="34"/>
      <c r="L65" s="34"/>
      <c r="M65" s="32"/>
      <c r="N65" s="34"/>
      <c r="O65" s="32"/>
      <c r="P65" s="34"/>
    </row>
    <row r="66" spans="1:16" ht="18.600000000000001" customHeight="1" x14ac:dyDescent="0.2">
      <c r="A66" s="7">
        <f t="shared" ref="A66:A89" si="11">A65+1</f>
        <v>2</v>
      </c>
      <c r="B66" s="26"/>
      <c r="C66" s="26"/>
      <c r="D66" s="22"/>
      <c r="E66" s="7"/>
      <c r="F66" s="7"/>
      <c r="G66" s="7"/>
      <c r="H66" s="7"/>
      <c r="I66" s="82"/>
      <c r="J66" s="7"/>
      <c r="K66" s="7"/>
      <c r="L66" s="7"/>
      <c r="M66" s="7"/>
      <c r="N66" s="7"/>
      <c r="O66" s="7"/>
      <c r="P66" s="7"/>
    </row>
    <row r="67" spans="1:16" ht="18.600000000000001" customHeight="1" x14ac:dyDescent="0.2">
      <c r="A67" s="7">
        <f t="shared" si="11"/>
        <v>3</v>
      </c>
      <c r="B67" s="26"/>
      <c r="C67" s="26"/>
      <c r="D67" s="22"/>
      <c r="E67" s="7"/>
      <c r="F67" s="7"/>
      <c r="G67" s="7"/>
      <c r="H67" s="7"/>
      <c r="I67" s="82"/>
      <c r="J67" s="7"/>
      <c r="K67" s="7"/>
      <c r="L67" s="7"/>
      <c r="M67" s="7"/>
      <c r="N67" s="7"/>
      <c r="O67" s="7"/>
      <c r="P67" s="7"/>
    </row>
    <row r="68" spans="1:16" ht="18.600000000000001" customHeight="1" x14ac:dyDescent="0.2">
      <c r="A68" s="7">
        <f t="shared" si="11"/>
        <v>4</v>
      </c>
      <c r="B68" s="26"/>
      <c r="C68" s="26"/>
      <c r="D68" s="22"/>
      <c r="E68" s="7"/>
      <c r="F68" s="7"/>
      <c r="G68" s="7"/>
      <c r="H68" s="7"/>
      <c r="I68" s="82"/>
      <c r="J68" s="7"/>
      <c r="K68" s="7"/>
      <c r="L68" s="7"/>
      <c r="M68" s="7"/>
      <c r="N68" s="7"/>
      <c r="O68" s="7"/>
      <c r="P68" s="7"/>
    </row>
    <row r="69" spans="1:16" ht="18.600000000000001" customHeight="1" x14ac:dyDescent="0.2">
      <c r="A69" s="6">
        <f t="shared" si="11"/>
        <v>5</v>
      </c>
      <c r="B69" s="58"/>
      <c r="C69" s="58"/>
      <c r="D69" s="59"/>
      <c r="E69" s="16"/>
      <c r="F69" s="16"/>
      <c r="G69" s="16"/>
      <c r="H69" s="16"/>
      <c r="I69" s="83"/>
      <c r="J69" s="16"/>
      <c r="K69" s="16"/>
      <c r="L69" s="16"/>
      <c r="M69" s="16"/>
      <c r="N69" s="16"/>
      <c r="O69" s="16"/>
      <c r="P69" s="16"/>
    </row>
    <row r="70" spans="1:16" ht="18.600000000000001" customHeight="1" x14ac:dyDescent="0.2">
      <c r="A70" s="56">
        <f t="shared" si="11"/>
        <v>6</v>
      </c>
      <c r="B70" s="57"/>
      <c r="C70" s="57"/>
      <c r="D70" s="21"/>
      <c r="E70" s="2"/>
      <c r="F70" s="2"/>
      <c r="G70" s="2"/>
      <c r="H70" s="2"/>
      <c r="I70" s="84"/>
      <c r="J70" s="2"/>
      <c r="K70" s="2"/>
      <c r="L70" s="2"/>
      <c r="M70" s="2"/>
      <c r="N70" s="2"/>
      <c r="O70" s="2"/>
      <c r="P70" s="2"/>
    </row>
    <row r="71" spans="1:16" ht="18.600000000000001" customHeight="1" x14ac:dyDescent="0.2">
      <c r="A71" s="6">
        <f t="shared" si="11"/>
        <v>7</v>
      </c>
      <c r="B71" s="26"/>
      <c r="C71" s="26"/>
      <c r="D71" s="22"/>
      <c r="E71" s="4"/>
      <c r="F71" s="4"/>
      <c r="G71" s="4"/>
      <c r="H71" s="4"/>
      <c r="I71" s="85"/>
      <c r="J71" s="4"/>
      <c r="K71" s="4"/>
      <c r="L71" s="4"/>
      <c r="M71" s="4"/>
      <c r="N71" s="4"/>
      <c r="O71" s="4"/>
      <c r="P71" s="4"/>
    </row>
    <row r="72" spans="1:16" ht="18.600000000000001" customHeight="1" x14ac:dyDescent="0.2">
      <c r="A72" s="6">
        <f t="shared" si="11"/>
        <v>8</v>
      </c>
      <c r="B72" s="26"/>
      <c r="C72" s="26"/>
      <c r="D72" s="22"/>
      <c r="E72" s="4"/>
      <c r="F72" s="4"/>
      <c r="G72" s="4"/>
      <c r="H72" s="4"/>
      <c r="I72" s="85"/>
      <c r="J72" s="4"/>
      <c r="K72" s="4"/>
      <c r="L72" s="4"/>
      <c r="M72" s="4"/>
      <c r="N72" s="4"/>
      <c r="O72" s="4"/>
      <c r="P72" s="4"/>
    </row>
    <row r="73" spans="1:16" ht="18.600000000000001" customHeight="1" x14ac:dyDescent="0.2">
      <c r="A73" s="6">
        <f t="shared" si="11"/>
        <v>9</v>
      </c>
      <c r="B73" s="26"/>
      <c r="C73" s="26"/>
      <c r="D73" s="22"/>
      <c r="E73" s="4"/>
      <c r="F73" s="4"/>
      <c r="G73" s="4"/>
      <c r="H73" s="4"/>
      <c r="I73" s="85"/>
      <c r="J73" s="4"/>
      <c r="K73" s="4"/>
      <c r="L73" s="4"/>
      <c r="M73" s="4"/>
      <c r="N73" s="4"/>
      <c r="O73" s="4"/>
      <c r="P73" s="4"/>
    </row>
    <row r="74" spans="1:16" ht="18.600000000000001" customHeight="1" x14ac:dyDescent="0.2">
      <c r="A74" s="10">
        <f t="shared" si="11"/>
        <v>10</v>
      </c>
      <c r="B74" s="62"/>
      <c r="C74" s="62"/>
      <c r="D74" s="23"/>
      <c r="E74" s="12"/>
      <c r="F74" s="12"/>
      <c r="G74" s="12"/>
      <c r="H74" s="12"/>
      <c r="I74" s="86"/>
      <c r="J74" s="12"/>
      <c r="K74" s="12"/>
      <c r="L74" s="12"/>
      <c r="M74" s="12"/>
      <c r="N74" s="12"/>
      <c r="O74" s="12"/>
      <c r="P74" s="12"/>
    </row>
    <row r="75" spans="1:16" ht="18.600000000000001" customHeight="1" x14ac:dyDescent="0.2">
      <c r="A75" s="35">
        <f t="shared" si="11"/>
        <v>11</v>
      </c>
      <c r="B75" s="60"/>
      <c r="C75" s="60"/>
      <c r="D75" s="61"/>
      <c r="E75" s="14"/>
      <c r="F75" s="14"/>
      <c r="G75" s="14"/>
      <c r="H75" s="14"/>
      <c r="I75" s="87"/>
      <c r="J75" s="14"/>
      <c r="K75" s="14"/>
      <c r="L75" s="14"/>
      <c r="M75" s="14"/>
      <c r="N75" s="14"/>
      <c r="O75" s="14"/>
      <c r="P75" s="14"/>
    </row>
    <row r="76" spans="1:16" ht="18.600000000000001" customHeight="1" x14ac:dyDescent="0.2">
      <c r="A76" s="7">
        <f t="shared" si="11"/>
        <v>12</v>
      </c>
      <c r="B76" s="26"/>
      <c r="C76" s="26"/>
      <c r="D76" s="22"/>
      <c r="E76" s="4"/>
      <c r="F76" s="4"/>
      <c r="G76" s="4"/>
      <c r="H76" s="4"/>
      <c r="I76" s="85"/>
      <c r="J76" s="4"/>
      <c r="K76" s="4"/>
      <c r="L76" s="4"/>
      <c r="M76" s="4"/>
      <c r="N76" s="4"/>
      <c r="O76" s="4"/>
      <c r="P76" s="4"/>
    </row>
    <row r="77" spans="1:16" ht="18.600000000000001" customHeight="1" x14ac:dyDescent="0.2">
      <c r="A77" s="7">
        <f t="shared" si="11"/>
        <v>13</v>
      </c>
      <c r="B77" s="26"/>
      <c r="C77" s="26"/>
      <c r="D77" s="22"/>
      <c r="E77" s="4"/>
      <c r="F77" s="4"/>
      <c r="G77" s="4"/>
      <c r="H77" s="4"/>
      <c r="I77" s="85"/>
      <c r="J77" s="4"/>
      <c r="K77" s="4"/>
      <c r="L77" s="4"/>
      <c r="M77" s="4"/>
      <c r="N77" s="4"/>
      <c r="O77" s="4"/>
      <c r="P77" s="4"/>
    </row>
    <row r="78" spans="1:16" ht="18.600000000000001" customHeight="1" x14ac:dyDescent="0.2">
      <c r="A78" s="7">
        <f t="shared" si="11"/>
        <v>14</v>
      </c>
      <c r="B78" s="3"/>
      <c r="C78" s="4"/>
      <c r="D78" s="8"/>
      <c r="E78" s="4"/>
      <c r="F78" s="4"/>
      <c r="G78" s="4"/>
      <c r="H78" s="4"/>
      <c r="I78" s="85"/>
      <c r="J78" s="4"/>
      <c r="K78" s="4"/>
      <c r="L78" s="4"/>
      <c r="M78" s="4"/>
      <c r="N78" s="4"/>
      <c r="O78" s="4"/>
      <c r="P78" s="4"/>
    </row>
    <row r="79" spans="1:16" ht="18.600000000000001" customHeight="1" x14ac:dyDescent="0.2">
      <c r="A79" s="6">
        <f t="shared" si="11"/>
        <v>15</v>
      </c>
      <c r="B79" s="15"/>
      <c r="C79" s="16"/>
      <c r="D79" s="5"/>
      <c r="E79" s="16"/>
      <c r="F79" s="16"/>
      <c r="G79" s="16"/>
      <c r="H79" s="16"/>
      <c r="I79" s="83"/>
      <c r="J79" s="16"/>
      <c r="K79" s="16"/>
      <c r="L79" s="16"/>
      <c r="M79" s="16"/>
      <c r="N79" s="16"/>
      <c r="O79" s="16"/>
      <c r="P79" s="16"/>
    </row>
    <row r="80" spans="1:16" ht="18.600000000000001" customHeight="1" x14ac:dyDescent="0.2">
      <c r="A80" s="32">
        <f t="shared" si="11"/>
        <v>16</v>
      </c>
      <c r="B80" s="1"/>
      <c r="C80" s="2"/>
      <c r="D80" s="33"/>
      <c r="E80" s="2"/>
      <c r="F80" s="2"/>
      <c r="G80" s="2"/>
      <c r="H80" s="2"/>
      <c r="I80" s="84"/>
      <c r="J80" s="2"/>
      <c r="K80" s="2"/>
      <c r="L80" s="2"/>
      <c r="M80" s="2"/>
      <c r="N80" s="2"/>
      <c r="O80" s="2"/>
      <c r="P80" s="2"/>
    </row>
    <row r="81" spans="1:16" ht="18.600000000000001" customHeight="1" x14ac:dyDescent="0.2">
      <c r="A81" s="7">
        <f t="shared" si="11"/>
        <v>17</v>
      </c>
      <c r="B81" s="3"/>
      <c r="C81" s="4"/>
      <c r="D81" s="8"/>
      <c r="E81" s="4"/>
      <c r="F81" s="4"/>
      <c r="G81" s="4"/>
      <c r="H81" s="4"/>
      <c r="I81" s="85"/>
      <c r="J81" s="4"/>
      <c r="K81" s="4"/>
      <c r="L81" s="4"/>
      <c r="M81" s="4"/>
      <c r="N81" s="4"/>
      <c r="O81" s="4"/>
      <c r="P81" s="4"/>
    </row>
    <row r="82" spans="1:16" ht="18.600000000000001" customHeight="1" x14ac:dyDescent="0.2">
      <c r="A82" s="7">
        <f t="shared" si="11"/>
        <v>18</v>
      </c>
      <c r="B82" s="3"/>
      <c r="C82" s="4"/>
      <c r="D82" s="8"/>
      <c r="E82" s="4"/>
      <c r="F82" s="4"/>
      <c r="G82" s="4"/>
      <c r="H82" s="4"/>
      <c r="I82" s="85"/>
      <c r="J82" s="4"/>
      <c r="K82" s="4"/>
      <c r="L82" s="4"/>
      <c r="M82" s="4"/>
      <c r="N82" s="4"/>
      <c r="O82" s="4"/>
      <c r="P82" s="4"/>
    </row>
    <row r="83" spans="1:16" ht="18.600000000000001" customHeight="1" x14ac:dyDescent="0.2">
      <c r="A83" s="7">
        <f t="shared" si="11"/>
        <v>19</v>
      </c>
      <c r="B83" s="3"/>
      <c r="C83" s="4"/>
      <c r="D83" s="8"/>
      <c r="E83" s="4"/>
      <c r="F83" s="4"/>
      <c r="G83" s="4"/>
      <c r="H83" s="4"/>
      <c r="I83" s="85"/>
      <c r="J83" s="4"/>
      <c r="K83" s="4"/>
      <c r="L83" s="4"/>
      <c r="M83" s="4"/>
      <c r="N83" s="4"/>
      <c r="O83" s="4"/>
      <c r="P83" s="4"/>
    </row>
    <row r="84" spans="1:16" ht="18.600000000000001" customHeight="1" x14ac:dyDescent="0.2">
      <c r="A84" s="10">
        <f t="shared" si="11"/>
        <v>20</v>
      </c>
      <c r="B84" s="11"/>
      <c r="C84" s="12"/>
      <c r="D84" s="9"/>
      <c r="E84" s="12"/>
      <c r="F84" s="12"/>
      <c r="G84" s="12"/>
      <c r="H84" s="12"/>
      <c r="I84" s="86"/>
      <c r="J84" s="12"/>
      <c r="K84" s="12"/>
      <c r="L84" s="12"/>
      <c r="M84" s="12"/>
      <c r="N84" s="12"/>
      <c r="O84" s="12"/>
      <c r="P84" s="12"/>
    </row>
    <row r="85" spans="1:16" ht="18.600000000000001" customHeight="1" x14ac:dyDescent="0.2">
      <c r="A85" s="35">
        <f t="shared" si="11"/>
        <v>21</v>
      </c>
      <c r="B85" s="13"/>
      <c r="C85" s="14"/>
      <c r="D85" s="37"/>
      <c r="E85" s="14"/>
      <c r="F85" s="14"/>
      <c r="G85" s="14"/>
      <c r="H85" s="14"/>
      <c r="I85" s="87"/>
      <c r="J85" s="14"/>
      <c r="K85" s="14"/>
      <c r="L85" s="14"/>
      <c r="M85" s="14"/>
      <c r="N85" s="14"/>
      <c r="O85" s="14"/>
      <c r="P85" s="14"/>
    </row>
    <row r="86" spans="1:16" ht="18.600000000000001" customHeight="1" x14ac:dyDescent="0.2">
      <c r="A86" s="7">
        <f t="shared" si="11"/>
        <v>22</v>
      </c>
      <c r="B86" s="3"/>
      <c r="C86" s="4"/>
      <c r="D86" s="8"/>
      <c r="E86" s="4"/>
      <c r="F86" s="4"/>
      <c r="G86" s="4"/>
      <c r="H86" s="4"/>
      <c r="I86" s="85"/>
      <c r="J86" s="4"/>
      <c r="K86" s="4"/>
      <c r="L86" s="4"/>
      <c r="M86" s="4"/>
      <c r="N86" s="4"/>
      <c r="O86" s="4"/>
      <c r="P86" s="4"/>
    </row>
    <row r="87" spans="1:16" ht="18.600000000000001" customHeight="1" x14ac:dyDescent="0.2">
      <c r="A87" s="35">
        <f t="shared" si="11"/>
        <v>23</v>
      </c>
      <c r="B87" s="3"/>
      <c r="C87" s="4"/>
      <c r="D87" s="8"/>
      <c r="E87" s="4"/>
      <c r="F87" s="4"/>
      <c r="G87" s="4"/>
      <c r="H87" s="4"/>
      <c r="I87" s="85"/>
      <c r="J87" s="4"/>
      <c r="K87" s="4"/>
      <c r="L87" s="4"/>
      <c r="M87" s="4"/>
      <c r="N87" s="4"/>
      <c r="O87" s="4"/>
      <c r="P87" s="4"/>
    </row>
    <row r="88" spans="1:16" ht="18.600000000000001" customHeight="1" x14ac:dyDescent="0.2">
      <c r="A88" s="7">
        <f t="shared" si="11"/>
        <v>24</v>
      </c>
      <c r="B88" s="3"/>
      <c r="C88" s="4"/>
      <c r="D88" s="8"/>
      <c r="E88" s="4"/>
      <c r="F88" s="4"/>
      <c r="G88" s="4"/>
      <c r="H88" s="4"/>
      <c r="I88" s="85"/>
      <c r="J88" s="4"/>
      <c r="K88" s="4"/>
      <c r="L88" s="4"/>
      <c r="M88" s="4"/>
      <c r="N88" s="4"/>
      <c r="O88" s="4"/>
      <c r="P88" s="4"/>
    </row>
    <row r="89" spans="1:16" ht="18.600000000000001" customHeight="1" x14ac:dyDescent="0.2">
      <c r="A89" s="35">
        <f t="shared" si="11"/>
        <v>25</v>
      </c>
      <c r="B89" s="11"/>
      <c r="C89" s="12"/>
      <c r="D89" s="9"/>
      <c r="E89" s="12"/>
      <c r="F89" s="12"/>
      <c r="G89" s="12"/>
      <c r="H89" s="12"/>
      <c r="I89" s="86"/>
      <c r="J89" s="12"/>
      <c r="K89" s="12"/>
      <c r="L89" s="12"/>
      <c r="M89" s="12"/>
      <c r="N89" s="12"/>
      <c r="O89" s="12"/>
      <c r="P89" s="12"/>
    </row>
    <row r="90" spans="1:16" ht="18.600000000000001" customHeight="1" x14ac:dyDescent="0.3">
      <c r="A90" s="147"/>
      <c r="B90" s="148"/>
      <c r="C90" s="147"/>
      <c r="D90" s="149"/>
      <c r="E90" s="150">
        <f>SUBTOTAL(9,E65:E89)</f>
        <v>0</v>
      </c>
      <c r="F90" s="152"/>
      <c r="G90" s="150">
        <f t="shared" ref="G90" si="12">SUBTOTAL(9,G65:G89)</f>
        <v>0</v>
      </c>
      <c r="H90" s="152"/>
      <c r="I90" s="150">
        <f t="shared" ref="I90" si="13">SUBTOTAL(9,I65:I89)</f>
        <v>0</v>
      </c>
      <c r="J90" s="152"/>
      <c r="K90" s="152"/>
      <c r="L90" s="152"/>
      <c r="M90" s="150">
        <f t="shared" ref="M90" si="14">SUBTOTAL(9,M65:M89)</f>
        <v>0</v>
      </c>
      <c r="N90" s="152"/>
      <c r="O90" s="150">
        <f t="shared" ref="O90" si="15">SUBTOTAL(9,O65:O89)</f>
        <v>0</v>
      </c>
      <c r="P90" s="152"/>
    </row>
    <row r="91" spans="1:16" ht="18.600000000000001" customHeight="1" x14ac:dyDescent="0.2">
      <c r="A91" s="434" t="str">
        <f>A61</f>
        <v>DANH SÁCH LÝ</v>
      </c>
      <c r="B91" s="434"/>
      <c r="C91" s="434"/>
      <c r="D91" s="434"/>
      <c r="E91" s="434"/>
      <c r="F91" s="434"/>
      <c r="G91" s="434"/>
      <c r="H91" s="434"/>
      <c r="I91" s="92">
        <v>4</v>
      </c>
      <c r="J91" s="48"/>
      <c r="K91" s="48"/>
      <c r="L91" s="48"/>
      <c r="M91" s="41"/>
      <c r="N91" s="41"/>
      <c r="O91" s="41"/>
      <c r="P91" s="41"/>
    </row>
    <row r="92" spans="1:16" ht="18.600000000000001" customHeight="1" x14ac:dyDescent="0.2">
      <c r="A92" s="28"/>
      <c r="B92" s="29"/>
      <c r="C92" s="30"/>
      <c r="D92" s="36"/>
      <c r="E92" s="28"/>
      <c r="F92" s="28"/>
      <c r="G92" s="28"/>
      <c r="H92" s="28"/>
      <c r="I92" s="79"/>
      <c r="J92" s="28"/>
      <c r="K92" s="28"/>
      <c r="L92" s="28"/>
      <c r="M92" s="28"/>
      <c r="N92" s="28"/>
      <c r="O92" s="28"/>
      <c r="P92" s="28"/>
    </row>
    <row r="93" spans="1:16" ht="18.600000000000001" customHeight="1" x14ac:dyDescent="0.2">
      <c r="A93" s="435" t="s">
        <v>374</v>
      </c>
      <c r="B93" s="435" t="s">
        <v>380</v>
      </c>
      <c r="C93" s="435" t="s">
        <v>383</v>
      </c>
      <c r="D93" s="437" t="s">
        <v>384</v>
      </c>
      <c r="E93" s="438" t="s">
        <v>385</v>
      </c>
      <c r="F93" s="439"/>
      <c r="G93" s="432" t="str">
        <f>$R$1</f>
        <v>Đợt 6</v>
      </c>
      <c r="H93" s="433"/>
      <c r="I93" s="432" t="str">
        <f>$T$1</f>
        <v>Đợt 7</v>
      </c>
      <c r="J93" s="433"/>
      <c r="K93" s="201"/>
      <c r="L93" s="201"/>
      <c r="M93" s="432" t="str">
        <f>$X$1</f>
        <v>Đợt 9</v>
      </c>
      <c r="N93" s="433"/>
      <c r="O93" s="432" t="str">
        <f>$Z$1</f>
        <v>Đợt 10</v>
      </c>
      <c r="P93" s="433"/>
    </row>
    <row r="94" spans="1:16" ht="18.600000000000001" customHeight="1" x14ac:dyDescent="0.2">
      <c r="A94" s="436"/>
      <c r="B94" s="436"/>
      <c r="C94" s="436"/>
      <c r="D94" s="436"/>
      <c r="E94" s="31" t="s">
        <v>381</v>
      </c>
      <c r="F94" s="31" t="s">
        <v>382</v>
      </c>
      <c r="G94" s="31" t="s">
        <v>381</v>
      </c>
      <c r="H94" s="31" t="s">
        <v>382</v>
      </c>
      <c r="I94" s="80" t="s">
        <v>381</v>
      </c>
      <c r="J94" s="31" t="s">
        <v>382</v>
      </c>
      <c r="K94" s="31"/>
      <c r="L94" s="31"/>
      <c r="M94" s="31" t="s">
        <v>381</v>
      </c>
      <c r="N94" s="31" t="s">
        <v>382</v>
      </c>
      <c r="O94" s="31" t="s">
        <v>381</v>
      </c>
      <c r="P94" s="31" t="s">
        <v>382</v>
      </c>
    </row>
    <row r="95" spans="1:16" ht="18.600000000000001" customHeight="1" x14ac:dyDescent="0.2">
      <c r="A95" s="32">
        <v>1</v>
      </c>
      <c r="B95" s="26"/>
      <c r="C95" s="26"/>
      <c r="D95" s="22"/>
      <c r="E95" s="32"/>
      <c r="F95" s="34"/>
      <c r="G95" s="32"/>
      <c r="H95" s="93"/>
      <c r="I95" s="81"/>
      <c r="J95" s="34"/>
      <c r="K95" s="34"/>
      <c r="L95" s="34"/>
      <c r="M95" s="32"/>
      <c r="N95" s="34"/>
      <c r="O95" s="32"/>
      <c r="P95" s="34"/>
    </row>
    <row r="96" spans="1:16" ht="18.600000000000001" customHeight="1" x14ac:dyDescent="0.2">
      <c r="A96" s="7">
        <f t="shared" ref="A96:A119" si="16">A95+1</f>
        <v>2</v>
      </c>
      <c r="B96" s="26"/>
      <c r="C96" s="26"/>
      <c r="D96" s="22"/>
      <c r="E96" s="7"/>
      <c r="F96" s="7"/>
      <c r="G96" s="7"/>
      <c r="H96" s="7"/>
      <c r="I96" s="82"/>
      <c r="J96" s="7"/>
      <c r="K96" s="7"/>
      <c r="L96" s="7"/>
      <c r="M96" s="7"/>
      <c r="N96" s="7"/>
      <c r="O96" s="7"/>
      <c r="P96" s="7"/>
    </row>
    <row r="97" spans="1:16" ht="18.600000000000001" customHeight="1" x14ac:dyDescent="0.2">
      <c r="A97" s="7">
        <f t="shared" si="16"/>
        <v>3</v>
      </c>
      <c r="B97" s="26"/>
      <c r="C97" s="26"/>
      <c r="D97" s="22"/>
      <c r="E97" s="7"/>
      <c r="F97" s="7"/>
      <c r="G97" s="7"/>
      <c r="H97" s="7"/>
      <c r="I97" s="82"/>
      <c r="J97" s="7"/>
      <c r="K97" s="7"/>
      <c r="L97" s="7"/>
      <c r="M97" s="7"/>
      <c r="N97" s="7"/>
      <c r="O97" s="7"/>
      <c r="P97" s="7"/>
    </row>
    <row r="98" spans="1:16" ht="18.600000000000001" customHeight="1" x14ac:dyDescent="0.2">
      <c r="A98" s="7">
        <f t="shared" si="16"/>
        <v>4</v>
      </c>
      <c r="B98" s="26"/>
      <c r="C98" s="26"/>
      <c r="D98" s="22"/>
      <c r="E98" s="7"/>
      <c r="F98" s="7"/>
      <c r="G98" s="7"/>
      <c r="H98" s="7"/>
      <c r="I98" s="82"/>
      <c r="J98" s="7"/>
      <c r="K98" s="7"/>
      <c r="L98" s="7"/>
      <c r="M98" s="7"/>
      <c r="N98" s="7"/>
      <c r="O98" s="7"/>
      <c r="P98" s="7"/>
    </row>
    <row r="99" spans="1:16" ht="18.600000000000001" customHeight="1" x14ac:dyDescent="0.2">
      <c r="A99" s="6">
        <f t="shared" si="16"/>
        <v>5</v>
      </c>
      <c r="B99" s="58"/>
      <c r="C99" s="58"/>
      <c r="D99" s="59"/>
      <c r="E99" s="16"/>
      <c r="F99" s="16"/>
      <c r="G99" s="16"/>
      <c r="H99" s="16"/>
      <c r="I99" s="83"/>
      <c r="J99" s="16"/>
      <c r="K99" s="16"/>
      <c r="L99" s="16"/>
      <c r="M99" s="16"/>
      <c r="N99" s="16"/>
      <c r="O99" s="16"/>
      <c r="P99" s="16"/>
    </row>
    <row r="100" spans="1:16" ht="18.600000000000001" customHeight="1" x14ac:dyDescent="0.2">
      <c r="A100" s="56">
        <f t="shared" si="16"/>
        <v>6</v>
      </c>
      <c r="B100" s="57"/>
      <c r="C100" s="57"/>
      <c r="D100" s="21"/>
      <c r="E100" s="2"/>
      <c r="F100" s="2"/>
      <c r="G100" s="2"/>
      <c r="H100" s="2"/>
      <c r="I100" s="84"/>
      <c r="J100" s="2"/>
      <c r="K100" s="2"/>
      <c r="L100" s="2"/>
      <c r="M100" s="2"/>
      <c r="N100" s="2"/>
      <c r="O100" s="2"/>
      <c r="P100" s="2"/>
    </row>
    <row r="101" spans="1:16" ht="18.600000000000001" customHeight="1" x14ac:dyDescent="0.2">
      <c r="A101" s="6">
        <f t="shared" si="16"/>
        <v>7</v>
      </c>
      <c r="B101" s="26"/>
      <c r="C101" s="26"/>
      <c r="D101" s="22"/>
      <c r="E101" s="4"/>
      <c r="F101" s="4"/>
      <c r="G101" s="4"/>
      <c r="H101" s="4"/>
      <c r="I101" s="85"/>
      <c r="J101" s="4"/>
      <c r="K101" s="4"/>
      <c r="L101" s="4"/>
      <c r="M101" s="4"/>
      <c r="N101" s="4"/>
      <c r="O101" s="4"/>
      <c r="P101" s="4"/>
    </row>
    <row r="102" spans="1:16" ht="18.600000000000001" customHeight="1" x14ac:dyDescent="0.2">
      <c r="A102" s="6">
        <f t="shared" si="16"/>
        <v>8</v>
      </c>
      <c r="B102" s="26"/>
      <c r="C102" s="26"/>
      <c r="D102" s="22"/>
      <c r="E102" s="4"/>
      <c r="F102" s="4"/>
      <c r="G102" s="4"/>
      <c r="H102" s="4"/>
      <c r="I102" s="85"/>
      <c r="J102" s="4"/>
      <c r="K102" s="4"/>
      <c r="L102" s="4"/>
      <c r="M102" s="4"/>
      <c r="N102" s="4"/>
      <c r="O102" s="4"/>
      <c r="P102" s="4"/>
    </row>
    <row r="103" spans="1:16" ht="18.600000000000001" customHeight="1" x14ac:dyDescent="0.2">
      <c r="A103" s="6">
        <f t="shared" si="16"/>
        <v>9</v>
      </c>
      <c r="B103" s="26"/>
      <c r="C103" s="26"/>
      <c r="D103" s="22"/>
      <c r="E103" s="4"/>
      <c r="F103" s="4"/>
      <c r="G103" s="4"/>
      <c r="H103" s="4"/>
      <c r="I103" s="85"/>
      <c r="J103" s="4"/>
      <c r="K103" s="4"/>
      <c r="L103" s="4"/>
      <c r="M103" s="4"/>
      <c r="N103" s="4"/>
      <c r="O103" s="4"/>
      <c r="P103" s="4"/>
    </row>
    <row r="104" spans="1:16" ht="18.600000000000001" customHeight="1" x14ac:dyDescent="0.2">
      <c r="A104" s="10">
        <f t="shared" si="16"/>
        <v>10</v>
      </c>
      <c r="B104" s="62"/>
      <c r="C104" s="62"/>
      <c r="D104" s="23"/>
      <c r="E104" s="12"/>
      <c r="F104" s="12"/>
      <c r="G104" s="12"/>
      <c r="H104" s="12"/>
      <c r="I104" s="86"/>
      <c r="J104" s="12"/>
      <c r="K104" s="12"/>
      <c r="L104" s="12"/>
      <c r="M104" s="12"/>
      <c r="N104" s="12"/>
      <c r="O104" s="12"/>
      <c r="P104" s="12"/>
    </row>
    <row r="105" spans="1:16" ht="18.600000000000001" customHeight="1" x14ac:dyDescent="0.2">
      <c r="A105" s="35">
        <f t="shared" si="16"/>
        <v>11</v>
      </c>
      <c r="B105" s="60"/>
      <c r="C105" s="60"/>
      <c r="D105" s="61"/>
      <c r="E105" s="14"/>
      <c r="F105" s="14"/>
      <c r="G105" s="14"/>
      <c r="H105" s="14"/>
      <c r="I105" s="87"/>
      <c r="J105" s="14"/>
      <c r="K105" s="14"/>
      <c r="L105" s="14"/>
      <c r="M105" s="14"/>
      <c r="N105" s="14"/>
      <c r="O105" s="14"/>
      <c r="P105" s="14"/>
    </row>
    <row r="106" spans="1:16" ht="18.600000000000001" customHeight="1" x14ac:dyDescent="0.2">
      <c r="A106" s="7">
        <f t="shared" si="16"/>
        <v>12</v>
      </c>
      <c r="B106" s="26"/>
      <c r="C106" s="26"/>
      <c r="D106" s="22"/>
      <c r="E106" s="4"/>
      <c r="F106" s="4"/>
      <c r="G106" s="4"/>
      <c r="H106" s="4"/>
      <c r="I106" s="85"/>
      <c r="J106" s="4"/>
      <c r="K106" s="4"/>
      <c r="L106" s="4"/>
      <c r="M106" s="4"/>
      <c r="N106" s="4"/>
      <c r="O106" s="4"/>
      <c r="P106" s="4"/>
    </row>
    <row r="107" spans="1:16" ht="18.600000000000001" customHeight="1" x14ac:dyDescent="0.2">
      <c r="A107" s="7">
        <f t="shared" si="16"/>
        <v>13</v>
      </c>
      <c r="B107" s="26"/>
      <c r="C107" s="26"/>
      <c r="D107" s="22"/>
      <c r="E107" s="4"/>
      <c r="F107" s="4"/>
      <c r="G107" s="4"/>
      <c r="H107" s="4"/>
      <c r="I107" s="85"/>
      <c r="J107" s="4"/>
      <c r="K107" s="4"/>
      <c r="L107" s="4"/>
      <c r="M107" s="4"/>
      <c r="N107" s="4"/>
      <c r="O107" s="4"/>
      <c r="P107" s="4"/>
    </row>
    <row r="108" spans="1:16" ht="18.600000000000001" customHeight="1" x14ac:dyDescent="0.2">
      <c r="A108" s="7">
        <f t="shared" si="16"/>
        <v>14</v>
      </c>
      <c r="B108" s="3"/>
      <c r="C108" s="4"/>
      <c r="D108" s="8"/>
      <c r="E108" s="4"/>
      <c r="F108" s="4"/>
      <c r="G108" s="4"/>
      <c r="H108" s="4"/>
      <c r="I108" s="85"/>
      <c r="J108" s="4"/>
      <c r="K108" s="4"/>
      <c r="L108" s="4"/>
      <c r="M108" s="4"/>
      <c r="N108" s="4"/>
      <c r="O108" s="4"/>
      <c r="P108" s="4"/>
    </row>
    <row r="109" spans="1:16" ht="18.600000000000001" customHeight="1" x14ac:dyDescent="0.2">
      <c r="A109" s="6">
        <f t="shared" si="16"/>
        <v>15</v>
      </c>
      <c r="B109" s="15"/>
      <c r="C109" s="16"/>
      <c r="D109" s="5"/>
      <c r="E109" s="16"/>
      <c r="F109" s="16"/>
      <c r="G109" s="16"/>
      <c r="H109" s="16"/>
      <c r="I109" s="83"/>
      <c r="J109" s="16"/>
      <c r="K109" s="16"/>
      <c r="L109" s="16"/>
      <c r="M109" s="16"/>
      <c r="N109" s="16"/>
      <c r="O109" s="16"/>
      <c r="P109" s="16"/>
    </row>
    <row r="110" spans="1:16" ht="18.600000000000001" customHeight="1" x14ac:dyDescent="0.2">
      <c r="A110" s="32">
        <f t="shared" si="16"/>
        <v>16</v>
      </c>
      <c r="B110" s="1"/>
      <c r="C110" s="2"/>
      <c r="D110" s="33"/>
      <c r="E110" s="2"/>
      <c r="F110" s="2"/>
      <c r="G110" s="2"/>
      <c r="H110" s="2"/>
      <c r="I110" s="84"/>
      <c r="J110" s="2"/>
      <c r="K110" s="2"/>
      <c r="L110" s="2"/>
      <c r="M110" s="2"/>
      <c r="N110" s="2"/>
      <c r="O110" s="2"/>
      <c r="P110" s="2"/>
    </row>
    <row r="111" spans="1:16" ht="18.600000000000001" customHeight="1" x14ac:dyDescent="0.2">
      <c r="A111" s="7">
        <f t="shared" si="16"/>
        <v>17</v>
      </c>
      <c r="B111" s="3"/>
      <c r="C111" s="4"/>
      <c r="D111" s="8"/>
      <c r="E111" s="4"/>
      <c r="F111" s="4"/>
      <c r="G111" s="4"/>
      <c r="H111" s="4"/>
      <c r="I111" s="85"/>
      <c r="J111" s="4"/>
      <c r="K111" s="4"/>
      <c r="L111" s="4"/>
      <c r="M111" s="4"/>
      <c r="N111" s="4"/>
      <c r="O111" s="4"/>
      <c r="P111" s="4"/>
    </row>
    <row r="112" spans="1:16" ht="18.600000000000001" customHeight="1" x14ac:dyDescent="0.2">
      <c r="A112" s="7">
        <f t="shared" si="16"/>
        <v>18</v>
      </c>
      <c r="B112" s="3"/>
      <c r="C112" s="4"/>
      <c r="D112" s="8"/>
      <c r="E112" s="4"/>
      <c r="F112" s="4"/>
      <c r="G112" s="4"/>
      <c r="H112" s="4"/>
      <c r="I112" s="85"/>
      <c r="J112" s="4"/>
      <c r="K112" s="4"/>
      <c r="L112" s="4"/>
      <c r="M112" s="4"/>
      <c r="N112" s="4"/>
      <c r="O112" s="4"/>
      <c r="P112" s="4"/>
    </row>
    <row r="113" spans="1:16" ht="18.600000000000001" customHeight="1" x14ac:dyDescent="0.2">
      <c r="A113" s="7">
        <f t="shared" si="16"/>
        <v>19</v>
      </c>
      <c r="B113" s="3"/>
      <c r="C113" s="4"/>
      <c r="D113" s="8"/>
      <c r="E113" s="4"/>
      <c r="F113" s="4"/>
      <c r="G113" s="4"/>
      <c r="H113" s="4"/>
      <c r="I113" s="85"/>
      <c r="J113" s="4"/>
      <c r="K113" s="4"/>
      <c r="L113" s="4"/>
      <c r="M113" s="4"/>
      <c r="N113" s="4"/>
      <c r="O113" s="4"/>
      <c r="P113" s="4"/>
    </row>
    <row r="114" spans="1:16" ht="18.600000000000001" customHeight="1" x14ac:dyDescent="0.2">
      <c r="A114" s="10">
        <f t="shared" si="16"/>
        <v>20</v>
      </c>
      <c r="B114" s="11"/>
      <c r="C114" s="12"/>
      <c r="D114" s="9"/>
      <c r="E114" s="12"/>
      <c r="F114" s="12"/>
      <c r="G114" s="12"/>
      <c r="H114" s="12"/>
      <c r="I114" s="86"/>
      <c r="J114" s="12"/>
      <c r="K114" s="12"/>
      <c r="L114" s="12"/>
      <c r="M114" s="12"/>
      <c r="N114" s="12"/>
      <c r="O114" s="12"/>
      <c r="P114" s="12"/>
    </row>
    <row r="115" spans="1:16" ht="18.600000000000001" customHeight="1" x14ac:dyDescent="0.2">
      <c r="A115" s="35">
        <f t="shared" si="16"/>
        <v>21</v>
      </c>
      <c r="B115" s="13"/>
      <c r="C115" s="14"/>
      <c r="D115" s="37"/>
      <c r="E115" s="14"/>
      <c r="F115" s="14"/>
      <c r="G115" s="14"/>
      <c r="H115" s="14"/>
      <c r="I115" s="87"/>
      <c r="J115" s="14"/>
      <c r="K115" s="14"/>
      <c r="L115" s="14"/>
      <c r="M115" s="14"/>
      <c r="N115" s="14"/>
      <c r="O115" s="14"/>
      <c r="P115" s="14"/>
    </row>
    <row r="116" spans="1:16" ht="18.600000000000001" customHeight="1" x14ac:dyDescent="0.2">
      <c r="A116" s="7">
        <f t="shared" si="16"/>
        <v>22</v>
      </c>
      <c r="B116" s="3"/>
      <c r="C116" s="4"/>
      <c r="D116" s="8"/>
      <c r="E116" s="4"/>
      <c r="F116" s="4"/>
      <c r="G116" s="4"/>
      <c r="H116" s="4"/>
      <c r="I116" s="85"/>
      <c r="J116" s="4"/>
      <c r="K116" s="4"/>
      <c r="L116" s="4"/>
      <c r="M116" s="4"/>
      <c r="N116" s="4"/>
      <c r="O116" s="4"/>
      <c r="P116" s="4"/>
    </row>
    <row r="117" spans="1:16" ht="18.600000000000001" customHeight="1" x14ac:dyDescent="0.2">
      <c r="A117" s="35">
        <f t="shared" si="16"/>
        <v>23</v>
      </c>
      <c r="B117" s="3"/>
      <c r="C117" s="4"/>
      <c r="D117" s="8"/>
      <c r="E117" s="4"/>
      <c r="F117" s="4"/>
      <c r="G117" s="4"/>
      <c r="H117" s="4"/>
      <c r="I117" s="85"/>
      <c r="J117" s="4"/>
      <c r="K117" s="4"/>
      <c r="L117" s="4"/>
      <c r="M117" s="4"/>
      <c r="N117" s="4"/>
      <c r="O117" s="4"/>
      <c r="P117" s="4"/>
    </row>
    <row r="118" spans="1:16" ht="18.600000000000001" customHeight="1" x14ac:dyDescent="0.2">
      <c r="A118" s="7">
        <f t="shared" si="16"/>
        <v>24</v>
      </c>
      <c r="B118" s="3"/>
      <c r="C118" s="4"/>
      <c r="D118" s="8"/>
      <c r="E118" s="4"/>
      <c r="F118" s="4"/>
      <c r="G118" s="4"/>
      <c r="H118" s="4"/>
      <c r="I118" s="85"/>
      <c r="J118" s="4"/>
      <c r="K118" s="4"/>
      <c r="L118" s="4"/>
      <c r="M118" s="4"/>
      <c r="N118" s="4"/>
      <c r="O118" s="4"/>
      <c r="P118" s="4"/>
    </row>
    <row r="119" spans="1:16" ht="18.600000000000001" customHeight="1" x14ac:dyDescent="0.2">
      <c r="A119" s="35">
        <f t="shared" si="16"/>
        <v>25</v>
      </c>
      <c r="B119" s="11"/>
      <c r="C119" s="12"/>
      <c r="D119" s="9"/>
      <c r="E119" s="12"/>
      <c r="F119" s="12"/>
      <c r="G119" s="12"/>
      <c r="H119" s="12"/>
      <c r="I119" s="86"/>
      <c r="J119" s="12"/>
      <c r="K119" s="12"/>
      <c r="L119" s="12"/>
      <c r="M119" s="12"/>
      <c r="N119" s="12"/>
      <c r="O119" s="12"/>
      <c r="P119" s="12"/>
    </row>
    <row r="120" spans="1:16" ht="18.600000000000001" customHeight="1" x14ac:dyDescent="0.3">
      <c r="A120" s="147"/>
      <c r="B120" s="148"/>
      <c r="C120" s="147"/>
      <c r="D120" s="149"/>
      <c r="E120" s="150">
        <f>SUBTOTAL(9,E95:E119)</f>
        <v>0</v>
      </c>
      <c r="F120" s="152"/>
      <c r="G120" s="150">
        <f t="shared" ref="G120" si="17">SUBTOTAL(9,G95:G119)</f>
        <v>0</v>
      </c>
      <c r="H120" s="152"/>
      <c r="I120" s="150">
        <f t="shared" ref="I120" si="18">SUBTOTAL(9,I95:I119)</f>
        <v>0</v>
      </c>
      <c r="J120" s="152"/>
      <c r="K120" s="152"/>
      <c r="L120" s="152"/>
      <c r="M120" s="150">
        <f t="shared" ref="M120" si="19">SUBTOTAL(9,M95:M119)</f>
        <v>0</v>
      </c>
      <c r="N120" s="152"/>
      <c r="O120" s="150">
        <f t="shared" ref="O120" si="20">SUBTOTAL(9,O95:O119)</f>
        <v>0</v>
      </c>
      <c r="P120" s="152"/>
    </row>
    <row r="121" spans="1:16" ht="18.600000000000001" customHeight="1" x14ac:dyDescent="0.2">
      <c r="A121" s="434" t="str">
        <f>A91</f>
        <v>DANH SÁCH LÝ</v>
      </c>
      <c r="B121" s="434"/>
      <c r="C121" s="434"/>
      <c r="D121" s="434"/>
      <c r="E121" s="434"/>
      <c r="F121" s="434"/>
      <c r="G121" s="434"/>
      <c r="H121" s="434"/>
      <c r="I121" s="92">
        <v>5</v>
      </c>
      <c r="J121" s="48"/>
      <c r="K121" s="48"/>
      <c r="L121" s="48"/>
      <c r="M121" s="41"/>
      <c r="N121" s="41"/>
      <c r="O121" s="41"/>
      <c r="P121" s="41"/>
    </row>
    <row r="122" spans="1:16" ht="18.600000000000001" customHeight="1" x14ac:dyDescent="0.2">
      <c r="A122" s="28"/>
      <c r="B122" s="29"/>
      <c r="C122" s="30"/>
      <c r="D122" s="36"/>
      <c r="E122" s="28"/>
      <c r="F122" s="28"/>
      <c r="G122" s="28"/>
      <c r="H122" s="28"/>
      <c r="I122" s="79"/>
      <c r="J122" s="28"/>
      <c r="K122" s="28"/>
      <c r="L122" s="28"/>
      <c r="M122" s="28"/>
      <c r="N122" s="28"/>
      <c r="O122" s="28"/>
      <c r="P122" s="28"/>
    </row>
    <row r="123" spans="1:16" ht="18.600000000000001" customHeight="1" x14ac:dyDescent="0.2">
      <c r="A123" s="435" t="s">
        <v>374</v>
      </c>
      <c r="B123" s="435" t="s">
        <v>380</v>
      </c>
      <c r="C123" s="435" t="s">
        <v>383</v>
      </c>
      <c r="D123" s="437" t="s">
        <v>384</v>
      </c>
      <c r="E123" s="438" t="s">
        <v>385</v>
      </c>
      <c r="F123" s="439"/>
      <c r="G123" s="432" t="str">
        <f>$R$1</f>
        <v>Đợt 6</v>
      </c>
      <c r="H123" s="433"/>
      <c r="I123" s="432" t="str">
        <f>$T$1</f>
        <v>Đợt 7</v>
      </c>
      <c r="J123" s="433"/>
      <c r="K123" s="201"/>
      <c r="L123" s="201"/>
      <c r="M123" s="432" t="str">
        <f>$X$1</f>
        <v>Đợt 9</v>
      </c>
      <c r="N123" s="433"/>
      <c r="O123" s="432" t="str">
        <f>$Z$1</f>
        <v>Đợt 10</v>
      </c>
      <c r="P123" s="433"/>
    </row>
    <row r="124" spans="1:16" ht="18.600000000000001" customHeight="1" x14ac:dyDescent="0.2">
      <c r="A124" s="436"/>
      <c r="B124" s="436"/>
      <c r="C124" s="436"/>
      <c r="D124" s="436"/>
      <c r="E124" s="31" t="s">
        <v>381</v>
      </c>
      <c r="F124" s="31" t="s">
        <v>382</v>
      </c>
      <c r="G124" s="31" t="s">
        <v>381</v>
      </c>
      <c r="H124" s="31" t="s">
        <v>382</v>
      </c>
      <c r="I124" s="80" t="s">
        <v>381</v>
      </c>
      <c r="J124" s="31" t="s">
        <v>382</v>
      </c>
      <c r="K124" s="31"/>
      <c r="L124" s="31"/>
      <c r="M124" s="31" t="s">
        <v>381</v>
      </c>
      <c r="N124" s="31" t="s">
        <v>382</v>
      </c>
      <c r="O124" s="31" t="s">
        <v>381</v>
      </c>
      <c r="P124" s="31" t="s">
        <v>382</v>
      </c>
    </row>
    <row r="125" spans="1:16" ht="18.600000000000001" customHeight="1" x14ac:dyDescent="0.2">
      <c r="A125" s="32">
        <v>1</v>
      </c>
      <c r="B125" s="26"/>
      <c r="C125" s="26"/>
      <c r="D125" s="22"/>
      <c r="E125" s="32"/>
      <c r="F125" s="34"/>
      <c r="G125" s="32"/>
      <c r="H125" s="93"/>
      <c r="I125" s="81"/>
      <c r="J125" s="34"/>
      <c r="K125" s="34"/>
      <c r="L125" s="34"/>
      <c r="M125" s="32"/>
      <c r="N125" s="34"/>
      <c r="O125" s="32"/>
      <c r="P125" s="34"/>
    </row>
    <row r="126" spans="1:16" ht="18.600000000000001" customHeight="1" x14ac:dyDescent="0.2">
      <c r="A126" s="7">
        <f t="shared" ref="A126:A149" si="21">A125+1</f>
        <v>2</v>
      </c>
      <c r="B126" s="26"/>
      <c r="C126" s="26"/>
      <c r="D126" s="22"/>
      <c r="E126" s="7"/>
      <c r="F126" s="7"/>
      <c r="G126" s="7"/>
      <c r="H126" s="7"/>
      <c r="I126" s="82"/>
      <c r="J126" s="7"/>
      <c r="K126" s="7"/>
      <c r="L126" s="7"/>
      <c r="M126" s="7"/>
      <c r="N126" s="7"/>
      <c r="O126" s="7"/>
      <c r="P126" s="7"/>
    </row>
    <row r="127" spans="1:16" ht="18.600000000000001" customHeight="1" x14ac:dyDescent="0.2">
      <c r="A127" s="7">
        <f t="shared" si="21"/>
        <v>3</v>
      </c>
      <c r="B127" s="26"/>
      <c r="C127" s="26"/>
      <c r="D127" s="22"/>
      <c r="E127" s="7"/>
      <c r="F127" s="7"/>
      <c r="G127" s="7"/>
      <c r="H127" s="7"/>
      <c r="I127" s="82"/>
      <c r="J127" s="7"/>
      <c r="K127" s="7"/>
      <c r="L127" s="7"/>
      <c r="M127" s="7"/>
      <c r="N127" s="7"/>
      <c r="O127" s="7"/>
      <c r="P127" s="7"/>
    </row>
    <row r="128" spans="1:16" ht="18.600000000000001" customHeight="1" x14ac:dyDescent="0.2">
      <c r="A128" s="7">
        <f t="shared" si="21"/>
        <v>4</v>
      </c>
      <c r="B128" s="26"/>
      <c r="C128" s="26"/>
      <c r="D128" s="22"/>
      <c r="E128" s="7"/>
      <c r="F128" s="7"/>
      <c r="G128" s="7"/>
      <c r="H128" s="7"/>
      <c r="I128" s="82"/>
      <c r="J128" s="7"/>
      <c r="K128" s="7"/>
      <c r="L128" s="7"/>
      <c r="M128" s="7"/>
      <c r="N128" s="7"/>
      <c r="O128" s="7"/>
      <c r="P128" s="7"/>
    </row>
    <row r="129" spans="1:16" ht="18.600000000000001" customHeight="1" x14ac:dyDescent="0.2">
      <c r="A129" s="6">
        <f t="shared" si="21"/>
        <v>5</v>
      </c>
      <c r="B129" s="58"/>
      <c r="C129" s="58"/>
      <c r="D129" s="59"/>
      <c r="E129" s="16"/>
      <c r="F129" s="16"/>
      <c r="G129" s="16"/>
      <c r="H129" s="16"/>
      <c r="I129" s="83"/>
      <c r="J129" s="16"/>
      <c r="K129" s="16"/>
      <c r="L129" s="16"/>
      <c r="M129" s="16"/>
      <c r="N129" s="16"/>
      <c r="O129" s="16"/>
      <c r="P129" s="16"/>
    </row>
    <row r="130" spans="1:16" ht="18.600000000000001" customHeight="1" x14ac:dyDescent="0.2">
      <c r="A130" s="56">
        <f t="shared" si="21"/>
        <v>6</v>
      </c>
      <c r="B130" s="57"/>
      <c r="C130" s="57"/>
      <c r="D130" s="21"/>
      <c r="E130" s="2"/>
      <c r="F130" s="2"/>
      <c r="G130" s="2"/>
      <c r="H130" s="2"/>
      <c r="I130" s="84"/>
      <c r="J130" s="2"/>
      <c r="K130" s="2"/>
      <c r="L130" s="2"/>
      <c r="M130" s="2"/>
      <c r="N130" s="2"/>
      <c r="O130" s="2"/>
      <c r="P130" s="2"/>
    </row>
    <row r="131" spans="1:16" ht="18.600000000000001" customHeight="1" x14ac:dyDescent="0.2">
      <c r="A131" s="6">
        <f t="shared" si="21"/>
        <v>7</v>
      </c>
      <c r="B131" s="26"/>
      <c r="C131" s="26"/>
      <c r="D131" s="22"/>
      <c r="E131" s="4"/>
      <c r="F131" s="4"/>
      <c r="G131" s="4"/>
      <c r="H131" s="4"/>
      <c r="I131" s="85"/>
      <c r="J131" s="4"/>
      <c r="K131" s="4"/>
      <c r="L131" s="4"/>
      <c r="M131" s="4"/>
      <c r="N131" s="4"/>
      <c r="O131" s="4"/>
      <c r="P131" s="4"/>
    </row>
    <row r="132" spans="1:16" ht="18.600000000000001" customHeight="1" x14ac:dyDescent="0.2">
      <c r="A132" s="6">
        <f t="shared" si="21"/>
        <v>8</v>
      </c>
      <c r="B132" s="26"/>
      <c r="C132" s="26"/>
      <c r="D132" s="22"/>
      <c r="E132" s="4"/>
      <c r="F132" s="4"/>
      <c r="G132" s="4"/>
      <c r="H132" s="4"/>
      <c r="I132" s="85"/>
      <c r="J132" s="4"/>
      <c r="K132" s="4"/>
      <c r="L132" s="4"/>
      <c r="M132" s="4"/>
      <c r="N132" s="4"/>
      <c r="O132" s="4"/>
      <c r="P132" s="4"/>
    </row>
    <row r="133" spans="1:16" ht="18.600000000000001" customHeight="1" x14ac:dyDescent="0.2">
      <c r="A133" s="6">
        <f t="shared" si="21"/>
        <v>9</v>
      </c>
      <c r="B133" s="26"/>
      <c r="C133" s="26"/>
      <c r="D133" s="22"/>
      <c r="E133" s="4"/>
      <c r="F133" s="4"/>
      <c r="G133" s="4"/>
      <c r="H133" s="4"/>
      <c r="I133" s="85"/>
      <c r="J133" s="4"/>
      <c r="K133" s="4"/>
      <c r="L133" s="4"/>
      <c r="M133" s="4"/>
      <c r="N133" s="4"/>
      <c r="O133" s="4"/>
      <c r="P133" s="4"/>
    </row>
    <row r="134" spans="1:16" ht="18.600000000000001" customHeight="1" x14ac:dyDescent="0.2">
      <c r="A134" s="10">
        <f t="shared" si="21"/>
        <v>10</v>
      </c>
      <c r="B134" s="62"/>
      <c r="C134" s="62"/>
      <c r="D134" s="23"/>
      <c r="E134" s="12"/>
      <c r="F134" s="12"/>
      <c r="G134" s="12"/>
      <c r="H134" s="12"/>
      <c r="I134" s="86"/>
      <c r="J134" s="12"/>
      <c r="K134" s="12"/>
      <c r="L134" s="12"/>
      <c r="M134" s="12"/>
      <c r="N134" s="12"/>
      <c r="O134" s="12"/>
      <c r="P134" s="12"/>
    </row>
    <row r="135" spans="1:16" ht="18.600000000000001" customHeight="1" x14ac:dyDescent="0.2">
      <c r="A135" s="35">
        <f t="shared" si="21"/>
        <v>11</v>
      </c>
      <c r="B135" s="60"/>
      <c r="C135" s="60"/>
      <c r="D135" s="61"/>
      <c r="E135" s="14"/>
      <c r="F135" s="14"/>
      <c r="G135" s="14"/>
      <c r="H135" s="14"/>
      <c r="I135" s="87"/>
      <c r="J135" s="14"/>
      <c r="K135" s="14"/>
      <c r="L135" s="14"/>
      <c r="M135" s="14"/>
      <c r="N135" s="14"/>
      <c r="O135" s="14"/>
      <c r="P135" s="14"/>
    </row>
    <row r="136" spans="1:16" ht="18.600000000000001" customHeight="1" x14ac:dyDescent="0.2">
      <c r="A136" s="7">
        <f t="shared" si="21"/>
        <v>12</v>
      </c>
      <c r="B136" s="26"/>
      <c r="C136" s="26"/>
      <c r="D136" s="22"/>
      <c r="E136" s="4"/>
      <c r="F136" s="4"/>
      <c r="G136" s="4"/>
      <c r="H136" s="4"/>
      <c r="I136" s="85"/>
      <c r="J136" s="4"/>
      <c r="K136" s="4"/>
      <c r="L136" s="4"/>
      <c r="M136" s="4"/>
      <c r="N136" s="4"/>
      <c r="O136" s="4"/>
      <c r="P136" s="4"/>
    </row>
    <row r="137" spans="1:16" ht="18.600000000000001" customHeight="1" x14ac:dyDescent="0.2">
      <c r="A137" s="7">
        <f t="shared" si="21"/>
        <v>13</v>
      </c>
      <c r="B137" s="26"/>
      <c r="C137" s="26"/>
      <c r="D137" s="22"/>
      <c r="E137" s="4"/>
      <c r="F137" s="4"/>
      <c r="G137" s="4"/>
      <c r="H137" s="4"/>
      <c r="I137" s="85"/>
      <c r="J137" s="4"/>
      <c r="K137" s="4"/>
      <c r="L137" s="4"/>
      <c r="M137" s="4"/>
      <c r="N137" s="4"/>
      <c r="O137" s="4"/>
      <c r="P137" s="4"/>
    </row>
    <row r="138" spans="1:16" ht="18.600000000000001" customHeight="1" x14ac:dyDescent="0.2">
      <c r="A138" s="7">
        <f t="shared" si="21"/>
        <v>14</v>
      </c>
      <c r="B138" s="3"/>
      <c r="C138" s="4"/>
      <c r="D138" s="8"/>
      <c r="E138" s="4"/>
      <c r="F138" s="4"/>
      <c r="G138" s="4"/>
      <c r="H138" s="4"/>
      <c r="I138" s="85"/>
      <c r="J138" s="4"/>
      <c r="K138" s="4"/>
      <c r="L138" s="4"/>
      <c r="M138" s="4"/>
      <c r="N138" s="4"/>
      <c r="O138" s="4"/>
      <c r="P138" s="4"/>
    </row>
    <row r="139" spans="1:16" ht="18.600000000000001" customHeight="1" x14ac:dyDescent="0.2">
      <c r="A139" s="6">
        <f t="shared" si="21"/>
        <v>15</v>
      </c>
      <c r="B139" s="15"/>
      <c r="C139" s="16"/>
      <c r="D139" s="5"/>
      <c r="E139" s="16"/>
      <c r="F139" s="16"/>
      <c r="G139" s="16"/>
      <c r="H139" s="16"/>
      <c r="I139" s="83"/>
      <c r="J139" s="16"/>
      <c r="K139" s="16"/>
      <c r="L139" s="16"/>
      <c r="M139" s="16"/>
      <c r="N139" s="16"/>
      <c r="O139" s="16"/>
      <c r="P139" s="16"/>
    </row>
    <row r="140" spans="1:16" ht="18.600000000000001" customHeight="1" x14ac:dyDescent="0.2">
      <c r="A140" s="32">
        <f t="shared" si="21"/>
        <v>16</v>
      </c>
      <c r="B140" s="1"/>
      <c r="C140" s="2"/>
      <c r="D140" s="33"/>
      <c r="E140" s="2"/>
      <c r="F140" s="2"/>
      <c r="G140" s="2"/>
      <c r="H140" s="2"/>
      <c r="I140" s="84"/>
      <c r="J140" s="2"/>
      <c r="K140" s="2"/>
      <c r="L140" s="2"/>
      <c r="M140" s="2"/>
      <c r="N140" s="2"/>
      <c r="O140" s="2"/>
      <c r="P140" s="2"/>
    </row>
    <row r="141" spans="1:16" ht="18.600000000000001" customHeight="1" x14ac:dyDescent="0.2">
      <c r="A141" s="7">
        <f t="shared" si="21"/>
        <v>17</v>
      </c>
      <c r="B141" s="3"/>
      <c r="C141" s="4"/>
      <c r="D141" s="8"/>
      <c r="E141" s="4"/>
      <c r="F141" s="4"/>
      <c r="G141" s="4"/>
      <c r="H141" s="4"/>
      <c r="I141" s="85"/>
      <c r="J141" s="4"/>
      <c r="K141" s="4"/>
      <c r="L141" s="4"/>
      <c r="M141" s="4"/>
      <c r="N141" s="4"/>
      <c r="O141" s="4"/>
      <c r="P141" s="4"/>
    </row>
    <row r="142" spans="1:16" ht="18.600000000000001" customHeight="1" x14ac:dyDescent="0.2">
      <c r="A142" s="7">
        <f t="shared" si="21"/>
        <v>18</v>
      </c>
      <c r="B142" s="3"/>
      <c r="C142" s="4"/>
      <c r="D142" s="8"/>
      <c r="E142" s="4"/>
      <c r="F142" s="4"/>
      <c r="G142" s="4"/>
      <c r="H142" s="4"/>
      <c r="I142" s="85"/>
      <c r="J142" s="4"/>
      <c r="K142" s="4"/>
      <c r="L142" s="4"/>
      <c r="M142" s="4"/>
      <c r="N142" s="4"/>
      <c r="O142" s="4"/>
      <c r="P142" s="4"/>
    </row>
    <row r="143" spans="1:16" ht="18.600000000000001" customHeight="1" x14ac:dyDescent="0.2">
      <c r="A143" s="7">
        <f t="shared" si="21"/>
        <v>19</v>
      </c>
      <c r="B143" s="3"/>
      <c r="C143" s="4"/>
      <c r="D143" s="8"/>
      <c r="E143" s="4"/>
      <c r="F143" s="4"/>
      <c r="G143" s="4"/>
      <c r="H143" s="4"/>
      <c r="I143" s="85"/>
      <c r="J143" s="4"/>
      <c r="K143" s="4"/>
      <c r="L143" s="4"/>
      <c r="M143" s="4"/>
      <c r="N143" s="4"/>
      <c r="O143" s="4"/>
      <c r="P143" s="4"/>
    </row>
    <row r="144" spans="1:16" ht="18.600000000000001" customHeight="1" x14ac:dyDescent="0.2">
      <c r="A144" s="10">
        <f t="shared" si="21"/>
        <v>20</v>
      </c>
      <c r="B144" s="11"/>
      <c r="C144" s="12"/>
      <c r="D144" s="9"/>
      <c r="E144" s="12"/>
      <c r="F144" s="12"/>
      <c r="G144" s="12"/>
      <c r="H144" s="12"/>
      <c r="I144" s="86"/>
      <c r="J144" s="12"/>
      <c r="K144" s="12"/>
      <c r="L144" s="12"/>
      <c r="M144" s="12"/>
      <c r="N144" s="12"/>
      <c r="O144" s="12"/>
      <c r="P144" s="12"/>
    </row>
    <row r="145" spans="1:16" ht="18.600000000000001" customHeight="1" x14ac:dyDescent="0.2">
      <c r="A145" s="35">
        <f t="shared" si="21"/>
        <v>21</v>
      </c>
      <c r="B145" s="13"/>
      <c r="C145" s="14"/>
      <c r="D145" s="37"/>
      <c r="E145" s="14"/>
      <c r="F145" s="14"/>
      <c r="G145" s="14"/>
      <c r="H145" s="14"/>
      <c r="I145" s="87"/>
      <c r="J145" s="14"/>
      <c r="K145" s="14"/>
      <c r="L145" s="14"/>
      <c r="M145" s="14"/>
      <c r="N145" s="14"/>
      <c r="O145" s="14"/>
      <c r="P145" s="14"/>
    </row>
    <row r="146" spans="1:16" ht="18.600000000000001" customHeight="1" x14ac:dyDescent="0.2">
      <c r="A146" s="7">
        <f t="shared" si="21"/>
        <v>22</v>
      </c>
      <c r="B146" s="3"/>
      <c r="C146" s="4"/>
      <c r="D146" s="8"/>
      <c r="E146" s="4"/>
      <c r="F146" s="4"/>
      <c r="G146" s="4"/>
      <c r="H146" s="4"/>
      <c r="I146" s="85"/>
      <c r="J146" s="4"/>
      <c r="K146" s="4"/>
      <c r="L146" s="4"/>
      <c r="M146" s="4"/>
      <c r="N146" s="4"/>
      <c r="O146" s="4"/>
      <c r="P146" s="4"/>
    </row>
    <row r="147" spans="1:16" ht="18.600000000000001" customHeight="1" x14ac:dyDescent="0.2">
      <c r="A147" s="35">
        <f t="shared" si="21"/>
        <v>23</v>
      </c>
      <c r="B147" s="3"/>
      <c r="C147" s="4"/>
      <c r="D147" s="8"/>
      <c r="E147" s="4"/>
      <c r="F147" s="4"/>
      <c r="G147" s="4"/>
      <c r="H147" s="4"/>
      <c r="I147" s="85"/>
      <c r="J147" s="4"/>
      <c r="K147" s="4"/>
      <c r="L147" s="4"/>
      <c r="M147" s="4"/>
      <c r="N147" s="4"/>
      <c r="O147" s="4"/>
      <c r="P147" s="4"/>
    </row>
    <row r="148" spans="1:16" ht="18.600000000000001" customHeight="1" x14ac:dyDescent="0.2">
      <c r="A148" s="7">
        <f t="shared" si="21"/>
        <v>24</v>
      </c>
      <c r="B148" s="3"/>
      <c r="C148" s="4"/>
      <c r="D148" s="8"/>
      <c r="E148" s="4"/>
      <c r="F148" s="4"/>
      <c r="G148" s="4"/>
      <c r="H148" s="4"/>
      <c r="I148" s="85"/>
      <c r="J148" s="4"/>
      <c r="K148" s="4"/>
      <c r="L148" s="4"/>
      <c r="M148" s="4"/>
      <c r="N148" s="4"/>
      <c r="O148" s="4"/>
      <c r="P148" s="4"/>
    </row>
    <row r="149" spans="1:16" ht="18.600000000000001" customHeight="1" x14ac:dyDescent="0.2">
      <c r="A149" s="35">
        <f t="shared" si="21"/>
        <v>25</v>
      </c>
      <c r="B149" s="11"/>
      <c r="C149" s="12"/>
      <c r="D149" s="9"/>
      <c r="E149" s="12"/>
      <c r="F149" s="12"/>
      <c r="G149" s="12"/>
      <c r="H149" s="12"/>
      <c r="I149" s="86"/>
      <c r="J149" s="12"/>
      <c r="K149" s="12"/>
      <c r="L149" s="12"/>
      <c r="M149" s="12"/>
      <c r="N149" s="12"/>
      <c r="O149" s="12"/>
      <c r="P149" s="12"/>
    </row>
    <row r="150" spans="1:16" ht="18.600000000000001" customHeight="1" x14ac:dyDescent="0.3">
      <c r="A150" s="147"/>
      <c r="B150" s="148"/>
      <c r="C150" s="147"/>
      <c r="D150" s="149"/>
      <c r="E150" s="150">
        <f>SUBTOTAL(9,E125:E149)</f>
        <v>0</v>
      </c>
      <c r="F150" s="152"/>
      <c r="G150" s="150">
        <f t="shared" ref="G150" si="22">SUBTOTAL(9,G125:G149)</f>
        <v>0</v>
      </c>
      <c r="H150" s="152"/>
      <c r="I150" s="150">
        <f t="shared" ref="I150" si="23">SUBTOTAL(9,I125:I149)</f>
        <v>0</v>
      </c>
      <c r="J150" s="152"/>
      <c r="K150" s="152"/>
      <c r="L150" s="152"/>
      <c r="M150" s="150">
        <f t="shared" ref="M150" si="24">SUBTOTAL(9,M125:M149)</f>
        <v>0</v>
      </c>
      <c r="N150" s="152"/>
      <c r="O150" s="150">
        <f t="shared" ref="O150" si="25">SUBTOTAL(9,O125:O149)</f>
        <v>0</v>
      </c>
      <c r="P150" s="152"/>
    </row>
    <row r="151" spans="1:16" ht="18.600000000000001" customHeight="1" x14ac:dyDescent="0.2">
      <c r="A151" s="434" t="str">
        <f>A121</f>
        <v>DANH SÁCH LÝ</v>
      </c>
      <c r="B151" s="434"/>
      <c r="C151" s="434"/>
      <c r="D151" s="434"/>
      <c r="E151" s="434"/>
      <c r="F151" s="434"/>
      <c r="G151" s="434"/>
      <c r="H151" s="434"/>
      <c r="I151" s="92">
        <v>6</v>
      </c>
      <c r="J151" s="48"/>
      <c r="K151" s="48"/>
      <c r="L151" s="48"/>
      <c r="M151" s="41"/>
      <c r="N151" s="41"/>
      <c r="O151" s="41"/>
      <c r="P151" s="41"/>
    </row>
    <row r="152" spans="1:16" ht="18.600000000000001" customHeight="1" x14ac:dyDescent="0.2">
      <c r="A152" s="28"/>
      <c r="B152" s="29"/>
      <c r="C152" s="30"/>
      <c r="D152" s="36"/>
      <c r="E152" s="28"/>
      <c r="F152" s="28"/>
      <c r="G152" s="28"/>
      <c r="H152" s="28"/>
      <c r="I152" s="79"/>
      <c r="J152" s="28"/>
      <c r="K152" s="28"/>
      <c r="L152" s="28"/>
      <c r="M152" s="28"/>
      <c r="N152" s="28"/>
      <c r="O152" s="28"/>
      <c r="P152" s="28"/>
    </row>
    <row r="153" spans="1:16" ht="18.600000000000001" customHeight="1" x14ac:dyDescent="0.2">
      <c r="A153" s="435" t="s">
        <v>374</v>
      </c>
      <c r="B153" s="435" t="s">
        <v>380</v>
      </c>
      <c r="C153" s="435" t="s">
        <v>383</v>
      </c>
      <c r="D153" s="437" t="s">
        <v>384</v>
      </c>
      <c r="E153" s="438" t="s">
        <v>385</v>
      </c>
      <c r="F153" s="439"/>
      <c r="G153" s="432" t="str">
        <f>$R$1</f>
        <v>Đợt 6</v>
      </c>
      <c r="H153" s="433"/>
      <c r="I153" s="432" t="str">
        <f>$T$1</f>
        <v>Đợt 7</v>
      </c>
      <c r="J153" s="433"/>
      <c r="K153" s="201"/>
      <c r="L153" s="201"/>
      <c r="M153" s="432" t="str">
        <f>$X$1</f>
        <v>Đợt 9</v>
      </c>
      <c r="N153" s="433"/>
      <c r="O153" s="432" t="str">
        <f>$Z$1</f>
        <v>Đợt 10</v>
      </c>
      <c r="P153" s="433"/>
    </row>
    <row r="154" spans="1:16" ht="18.600000000000001" customHeight="1" x14ac:dyDescent="0.2">
      <c r="A154" s="436"/>
      <c r="B154" s="436"/>
      <c r="C154" s="436"/>
      <c r="D154" s="436"/>
      <c r="E154" s="31" t="s">
        <v>381</v>
      </c>
      <c r="F154" s="31" t="s">
        <v>382</v>
      </c>
      <c r="G154" s="31" t="s">
        <v>381</v>
      </c>
      <c r="H154" s="31" t="s">
        <v>382</v>
      </c>
      <c r="I154" s="80" t="s">
        <v>381</v>
      </c>
      <c r="J154" s="31" t="s">
        <v>382</v>
      </c>
      <c r="K154" s="31"/>
      <c r="L154" s="31"/>
      <c r="M154" s="31" t="s">
        <v>381</v>
      </c>
      <c r="N154" s="31" t="s">
        <v>382</v>
      </c>
      <c r="O154" s="31" t="s">
        <v>381</v>
      </c>
      <c r="P154" s="31" t="s">
        <v>382</v>
      </c>
    </row>
    <row r="155" spans="1:16" ht="18.600000000000001" customHeight="1" x14ac:dyDescent="0.2">
      <c r="A155" s="32">
        <v>1</v>
      </c>
      <c r="B155" s="26"/>
      <c r="C155" s="26"/>
      <c r="D155" s="22"/>
      <c r="E155" s="32"/>
      <c r="F155" s="34"/>
      <c r="G155" s="32"/>
      <c r="H155" s="93"/>
      <c r="I155" s="81"/>
      <c r="J155" s="34"/>
      <c r="K155" s="34"/>
      <c r="L155" s="34"/>
      <c r="M155" s="32"/>
      <c r="N155" s="34"/>
      <c r="O155" s="32"/>
      <c r="P155" s="34"/>
    </row>
    <row r="156" spans="1:16" ht="18.600000000000001" customHeight="1" x14ac:dyDescent="0.2">
      <c r="A156" s="7">
        <f t="shared" ref="A156:A179" si="26">A155+1</f>
        <v>2</v>
      </c>
      <c r="B156" s="26"/>
      <c r="C156" s="26"/>
      <c r="D156" s="22"/>
      <c r="E156" s="7"/>
      <c r="F156" s="7"/>
      <c r="G156" s="7"/>
      <c r="H156" s="7"/>
      <c r="I156" s="82"/>
      <c r="J156" s="7"/>
      <c r="K156" s="7"/>
      <c r="L156" s="7"/>
      <c r="M156" s="7"/>
      <c r="N156" s="7"/>
      <c r="O156" s="7"/>
      <c r="P156" s="7"/>
    </row>
    <row r="157" spans="1:16" ht="18.600000000000001" customHeight="1" x14ac:dyDescent="0.2">
      <c r="A157" s="7">
        <f t="shared" si="26"/>
        <v>3</v>
      </c>
      <c r="B157" s="26"/>
      <c r="C157" s="26"/>
      <c r="D157" s="22"/>
      <c r="E157" s="7"/>
      <c r="F157" s="7"/>
      <c r="G157" s="7"/>
      <c r="H157" s="7"/>
      <c r="I157" s="82"/>
      <c r="J157" s="7"/>
      <c r="K157" s="7"/>
      <c r="L157" s="7"/>
      <c r="M157" s="7"/>
      <c r="N157" s="7"/>
      <c r="O157" s="7"/>
      <c r="P157" s="7"/>
    </row>
    <row r="158" spans="1:16" ht="18.600000000000001" customHeight="1" x14ac:dyDescent="0.2">
      <c r="A158" s="7">
        <f t="shared" si="26"/>
        <v>4</v>
      </c>
      <c r="B158" s="26"/>
      <c r="C158" s="26"/>
      <c r="D158" s="22"/>
      <c r="E158" s="7"/>
      <c r="F158" s="7"/>
      <c r="G158" s="7"/>
      <c r="H158" s="7"/>
      <c r="I158" s="82"/>
      <c r="J158" s="7"/>
      <c r="K158" s="7"/>
      <c r="L158" s="7"/>
      <c r="M158" s="7"/>
      <c r="N158" s="7"/>
      <c r="O158" s="7"/>
      <c r="P158" s="7"/>
    </row>
    <row r="159" spans="1:16" ht="18.600000000000001" customHeight="1" x14ac:dyDescent="0.2">
      <c r="A159" s="6">
        <f t="shared" si="26"/>
        <v>5</v>
      </c>
      <c r="B159" s="58"/>
      <c r="C159" s="58"/>
      <c r="D159" s="59"/>
      <c r="E159" s="16"/>
      <c r="F159" s="16"/>
      <c r="G159" s="16"/>
      <c r="H159" s="16"/>
      <c r="I159" s="83"/>
      <c r="J159" s="16"/>
      <c r="K159" s="16"/>
      <c r="L159" s="16"/>
      <c r="M159" s="16"/>
      <c r="N159" s="16"/>
      <c r="O159" s="16"/>
      <c r="P159" s="16"/>
    </row>
    <row r="160" spans="1:16" ht="18.600000000000001" customHeight="1" x14ac:dyDescent="0.2">
      <c r="A160" s="56">
        <f t="shared" si="26"/>
        <v>6</v>
      </c>
      <c r="B160" s="57"/>
      <c r="C160" s="57"/>
      <c r="D160" s="21"/>
      <c r="E160" s="2"/>
      <c r="F160" s="2"/>
      <c r="G160" s="2"/>
      <c r="H160" s="2"/>
      <c r="I160" s="84"/>
      <c r="J160" s="2"/>
      <c r="K160" s="2"/>
      <c r="L160" s="2"/>
      <c r="M160" s="2"/>
      <c r="N160" s="2"/>
      <c r="O160" s="2"/>
      <c r="P160" s="2"/>
    </row>
    <row r="161" spans="1:16" ht="18.600000000000001" customHeight="1" x14ac:dyDescent="0.2">
      <c r="A161" s="6">
        <f t="shared" si="26"/>
        <v>7</v>
      </c>
      <c r="B161" s="26"/>
      <c r="C161" s="26"/>
      <c r="D161" s="22"/>
      <c r="E161" s="4"/>
      <c r="F161" s="4"/>
      <c r="G161" s="4"/>
      <c r="H161" s="4"/>
      <c r="I161" s="85"/>
      <c r="J161" s="4"/>
      <c r="K161" s="4"/>
      <c r="L161" s="4"/>
      <c r="M161" s="4"/>
      <c r="N161" s="4"/>
      <c r="O161" s="4"/>
      <c r="P161" s="4"/>
    </row>
    <row r="162" spans="1:16" ht="18.600000000000001" customHeight="1" x14ac:dyDescent="0.2">
      <c r="A162" s="6">
        <f t="shared" si="26"/>
        <v>8</v>
      </c>
      <c r="B162" s="26"/>
      <c r="C162" s="26"/>
      <c r="D162" s="22"/>
      <c r="E162" s="4"/>
      <c r="F162" s="4"/>
      <c r="G162" s="4"/>
      <c r="H162" s="4"/>
      <c r="I162" s="85"/>
      <c r="J162" s="4"/>
      <c r="K162" s="4"/>
      <c r="L162" s="4"/>
      <c r="M162" s="4"/>
      <c r="N162" s="4"/>
      <c r="O162" s="4"/>
      <c r="P162" s="4"/>
    </row>
    <row r="163" spans="1:16" ht="18.600000000000001" customHeight="1" x14ac:dyDescent="0.2">
      <c r="A163" s="6">
        <f t="shared" si="26"/>
        <v>9</v>
      </c>
      <c r="B163" s="26"/>
      <c r="C163" s="26"/>
      <c r="D163" s="22"/>
      <c r="E163" s="4"/>
      <c r="F163" s="4"/>
      <c r="G163" s="4"/>
      <c r="H163" s="4"/>
      <c r="I163" s="85"/>
      <c r="J163" s="4"/>
      <c r="K163" s="4"/>
      <c r="L163" s="4"/>
      <c r="M163" s="4"/>
      <c r="N163" s="4"/>
      <c r="O163" s="4"/>
      <c r="P163" s="4"/>
    </row>
    <row r="164" spans="1:16" ht="18.600000000000001" customHeight="1" x14ac:dyDescent="0.2">
      <c r="A164" s="10">
        <f t="shared" si="26"/>
        <v>10</v>
      </c>
      <c r="B164" s="62"/>
      <c r="C164" s="62"/>
      <c r="D164" s="23"/>
      <c r="E164" s="12"/>
      <c r="F164" s="12"/>
      <c r="G164" s="12"/>
      <c r="H164" s="12"/>
      <c r="I164" s="86"/>
      <c r="J164" s="12"/>
      <c r="K164" s="12"/>
      <c r="L164" s="12"/>
      <c r="M164" s="12"/>
      <c r="N164" s="12"/>
      <c r="O164" s="12"/>
      <c r="P164" s="12"/>
    </row>
    <row r="165" spans="1:16" ht="18.600000000000001" customHeight="1" x14ac:dyDescent="0.2">
      <c r="A165" s="35">
        <f t="shared" si="26"/>
        <v>11</v>
      </c>
      <c r="B165" s="60"/>
      <c r="C165" s="60"/>
      <c r="D165" s="61"/>
      <c r="E165" s="14"/>
      <c r="F165" s="14"/>
      <c r="G165" s="14"/>
      <c r="H165" s="14"/>
      <c r="I165" s="87"/>
      <c r="J165" s="14"/>
      <c r="K165" s="14"/>
      <c r="L165" s="14"/>
      <c r="M165" s="14"/>
      <c r="N165" s="14"/>
      <c r="O165" s="14"/>
      <c r="P165" s="14"/>
    </row>
    <row r="166" spans="1:16" ht="18.600000000000001" customHeight="1" x14ac:dyDescent="0.2">
      <c r="A166" s="7">
        <f t="shared" si="26"/>
        <v>12</v>
      </c>
      <c r="B166" s="26"/>
      <c r="C166" s="26"/>
      <c r="D166" s="22"/>
      <c r="E166" s="4"/>
      <c r="F166" s="4"/>
      <c r="G166" s="4"/>
      <c r="H166" s="4"/>
      <c r="I166" s="85"/>
      <c r="J166" s="4"/>
      <c r="K166" s="4"/>
      <c r="L166" s="4"/>
      <c r="M166" s="4"/>
      <c r="N166" s="4"/>
      <c r="O166" s="4"/>
      <c r="P166" s="4"/>
    </row>
    <row r="167" spans="1:16" ht="18.600000000000001" customHeight="1" x14ac:dyDescent="0.2">
      <c r="A167" s="7">
        <f t="shared" si="26"/>
        <v>13</v>
      </c>
      <c r="B167" s="26"/>
      <c r="C167" s="26"/>
      <c r="D167" s="22"/>
      <c r="E167" s="4"/>
      <c r="F167" s="4"/>
      <c r="G167" s="4"/>
      <c r="H167" s="4"/>
      <c r="I167" s="85"/>
      <c r="J167" s="4"/>
      <c r="K167" s="4"/>
      <c r="L167" s="4"/>
      <c r="M167" s="4"/>
      <c r="N167" s="4"/>
      <c r="O167" s="4"/>
      <c r="P167" s="4"/>
    </row>
    <row r="168" spans="1:16" ht="18.600000000000001" customHeight="1" x14ac:dyDescent="0.2">
      <c r="A168" s="7">
        <f t="shared" si="26"/>
        <v>14</v>
      </c>
      <c r="B168" s="3"/>
      <c r="C168" s="4"/>
      <c r="D168" s="8"/>
      <c r="E168" s="4"/>
      <c r="F168" s="4"/>
      <c r="G168" s="4"/>
      <c r="H168" s="4"/>
      <c r="I168" s="85"/>
      <c r="J168" s="4"/>
      <c r="K168" s="4"/>
      <c r="L168" s="4"/>
      <c r="M168" s="4"/>
      <c r="N168" s="4"/>
      <c r="O168" s="4"/>
      <c r="P168" s="4"/>
    </row>
    <row r="169" spans="1:16" ht="18.600000000000001" customHeight="1" x14ac:dyDescent="0.2">
      <c r="A169" s="6">
        <f t="shared" si="26"/>
        <v>15</v>
      </c>
      <c r="B169" s="15"/>
      <c r="C169" s="16"/>
      <c r="D169" s="5"/>
      <c r="E169" s="16"/>
      <c r="F169" s="16"/>
      <c r="G169" s="16"/>
      <c r="H169" s="16"/>
      <c r="I169" s="83"/>
      <c r="J169" s="16"/>
      <c r="K169" s="16"/>
      <c r="L169" s="16"/>
      <c r="M169" s="16"/>
      <c r="N169" s="16"/>
      <c r="O169" s="16"/>
      <c r="P169" s="16"/>
    </row>
    <row r="170" spans="1:16" ht="18.600000000000001" customHeight="1" x14ac:dyDescent="0.2">
      <c r="A170" s="32">
        <f t="shared" si="26"/>
        <v>16</v>
      </c>
      <c r="B170" s="1"/>
      <c r="C170" s="2"/>
      <c r="D170" s="33"/>
      <c r="E170" s="2"/>
      <c r="F170" s="2"/>
      <c r="G170" s="2"/>
      <c r="H170" s="2"/>
      <c r="I170" s="84"/>
      <c r="J170" s="2"/>
      <c r="K170" s="2"/>
      <c r="L170" s="2"/>
      <c r="M170" s="2"/>
      <c r="N170" s="2"/>
      <c r="O170" s="2"/>
      <c r="P170" s="2"/>
    </row>
    <row r="171" spans="1:16" ht="18.600000000000001" customHeight="1" x14ac:dyDescent="0.2">
      <c r="A171" s="7">
        <f t="shared" si="26"/>
        <v>17</v>
      </c>
      <c r="B171" s="3"/>
      <c r="C171" s="4"/>
      <c r="D171" s="8"/>
      <c r="E171" s="4"/>
      <c r="F171" s="4"/>
      <c r="G171" s="4"/>
      <c r="H171" s="4"/>
      <c r="I171" s="85"/>
      <c r="J171" s="4"/>
      <c r="K171" s="4"/>
      <c r="L171" s="4"/>
      <c r="M171" s="4"/>
      <c r="N171" s="4"/>
      <c r="O171" s="4"/>
      <c r="P171" s="4"/>
    </row>
    <row r="172" spans="1:16" ht="18.600000000000001" customHeight="1" x14ac:dyDescent="0.2">
      <c r="A172" s="7">
        <f t="shared" si="26"/>
        <v>18</v>
      </c>
      <c r="B172" s="3"/>
      <c r="C172" s="4"/>
      <c r="D172" s="8"/>
      <c r="E172" s="4"/>
      <c r="F172" s="4"/>
      <c r="G172" s="4"/>
      <c r="H172" s="4"/>
      <c r="I172" s="85"/>
      <c r="J172" s="4"/>
      <c r="K172" s="4"/>
      <c r="L172" s="4"/>
      <c r="M172" s="4"/>
      <c r="N172" s="4"/>
      <c r="O172" s="4"/>
      <c r="P172" s="4"/>
    </row>
    <row r="173" spans="1:16" ht="18.600000000000001" customHeight="1" x14ac:dyDescent="0.2">
      <c r="A173" s="7">
        <f t="shared" si="26"/>
        <v>19</v>
      </c>
      <c r="B173" s="3"/>
      <c r="C173" s="4"/>
      <c r="D173" s="8"/>
      <c r="E173" s="4"/>
      <c r="F173" s="4"/>
      <c r="G173" s="4"/>
      <c r="H173" s="4"/>
      <c r="I173" s="85"/>
      <c r="J173" s="4"/>
      <c r="K173" s="4"/>
      <c r="L173" s="4"/>
      <c r="M173" s="4"/>
      <c r="N173" s="4"/>
      <c r="O173" s="4"/>
      <c r="P173" s="4"/>
    </row>
    <row r="174" spans="1:16" ht="18.600000000000001" customHeight="1" x14ac:dyDescent="0.2">
      <c r="A174" s="10">
        <f t="shared" si="26"/>
        <v>20</v>
      </c>
      <c r="B174" s="11"/>
      <c r="C174" s="12"/>
      <c r="D174" s="9"/>
      <c r="E174" s="12"/>
      <c r="F174" s="12"/>
      <c r="G174" s="12"/>
      <c r="H174" s="12"/>
      <c r="I174" s="86"/>
      <c r="J174" s="12"/>
      <c r="K174" s="12"/>
      <c r="L174" s="12"/>
      <c r="M174" s="12"/>
      <c r="N174" s="12"/>
      <c r="O174" s="12"/>
      <c r="P174" s="12"/>
    </row>
    <row r="175" spans="1:16" ht="18.600000000000001" customHeight="1" x14ac:dyDescent="0.2">
      <c r="A175" s="35">
        <f t="shared" si="26"/>
        <v>21</v>
      </c>
      <c r="B175" s="13"/>
      <c r="C175" s="14"/>
      <c r="D175" s="37"/>
      <c r="E175" s="14"/>
      <c r="F175" s="14"/>
      <c r="G175" s="14"/>
      <c r="H175" s="14"/>
      <c r="I175" s="87"/>
      <c r="J175" s="14"/>
      <c r="K175" s="14"/>
      <c r="L175" s="14"/>
      <c r="M175" s="14"/>
      <c r="N175" s="14"/>
      <c r="O175" s="14"/>
      <c r="P175" s="14"/>
    </row>
    <row r="176" spans="1:16" ht="18.600000000000001" customHeight="1" x14ac:dyDescent="0.2">
      <c r="A176" s="7">
        <f t="shared" si="26"/>
        <v>22</v>
      </c>
      <c r="B176" s="3"/>
      <c r="C176" s="4"/>
      <c r="D176" s="8"/>
      <c r="E176" s="4"/>
      <c r="F176" s="4"/>
      <c r="G176" s="4"/>
      <c r="H176" s="4"/>
      <c r="I176" s="85"/>
      <c r="J176" s="4"/>
      <c r="K176" s="4"/>
      <c r="L176" s="4"/>
      <c r="M176" s="4"/>
      <c r="N176" s="4"/>
      <c r="O176" s="4"/>
      <c r="P176" s="4"/>
    </row>
    <row r="177" spans="1:16" ht="18.600000000000001" customHeight="1" x14ac:dyDescent="0.2">
      <c r="A177" s="35">
        <f t="shared" si="26"/>
        <v>23</v>
      </c>
      <c r="B177" s="3"/>
      <c r="C177" s="4"/>
      <c r="D177" s="8"/>
      <c r="E177" s="4"/>
      <c r="F177" s="4"/>
      <c r="G177" s="4"/>
      <c r="H177" s="4"/>
      <c r="I177" s="85"/>
      <c r="J177" s="4"/>
      <c r="K177" s="4"/>
      <c r="L177" s="4"/>
      <c r="M177" s="4"/>
      <c r="N177" s="4"/>
      <c r="O177" s="4"/>
      <c r="P177" s="4"/>
    </row>
    <row r="178" spans="1:16" ht="18.600000000000001" customHeight="1" x14ac:dyDescent="0.2">
      <c r="A178" s="7">
        <f t="shared" si="26"/>
        <v>24</v>
      </c>
      <c r="B178" s="3"/>
      <c r="C178" s="4"/>
      <c r="D178" s="8"/>
      <c r="E178" s="4"/>
      <c r="F178" s="4"/>
      <c r="G178" s="4"/>
      <c r="H178" s="4"/>
      <c r="I178" s="85"/>
      <c r="J178" s="4"/>
      <c r="K178" s="4"/>
      <c r="L178" s="4"/>
      <c r="M178" s="4"/>
      <c r="N178" s="4"/>
      <c r="O178" s="4"/>
      <c r="P178" s="4"/>
    </row>
    <row r="179" spans="1:16" ht="18.600000000000001" customHeight="1" x14ac:dyDescent="0.2">
      <c r="A179" s="35">
        <f t="shared" si="26"/>
        <v>25</v>
      </c>
      <c r="B179" s="11"/>
      <c r="C179" s="12"/>
      <c r="D179" s="9"/>
      <c r="E179" s="12"/>
      <c r="F179" s="12"/>
      <c r="G179" s="12"/>
      <c r="H179" s="12"/>
      <c r="I179" s="86"/>
      <c r="J179" s="12"/>
      <c r="K179" s="12"/>
      <c r="L179" s="12"/>
      <c r="M179" s="12"/>
      <c r="N179" s="12"/>
      <c r="O179" s="12"/>
      <c r="P179" s="12"/>
    </row>
    <row r="180" spans="1:16" ht="18.600000000000001" customHeight="1" x14ac:dyDescent="0.3">
      <c r="A180" s="147"/>
      <c r="B180" s="148"/>
      <c r="C180" s="147"/>
      <c r="D180" s="149"/>
      <c r="E180" s="150">
        <f>SUBTOTAL(9,E155:E179)</f>
        <v>0</v>
      </c>
      <c r="F180" s="152"/>
      <c r="G180" s="150">
        <f t="shared" ref="G180" si="27">SUBTOTAL(9,G155:G179)</f>
        <v>0</v>
      </c>
      <c r="H180" s="152"/>
      <c r="I180" s="150">
        <f t="shared" ref="I180" si="28">SUBTOTAL(9,I155:I179)</f>
        <v>0</v>
      </c>
      <c r="J180" s="152"/>
      <c r="K180" s="152"/>
      <c r="L180" s="152"/>
      <c r="M180" s="150">
        <f t="shared" ref="M180" si="29">SUBTOTAL(9,M155:M179)</f>
        <v>0</v>
      </c>
      <c r="N180" s="152"/>
      <c r="O180" s="150">
        <f t="shared" ref="O180" si="30">SUBTOTAL(9,O155:O179)</f>
        <v>0</v>
      </c>
      <c r="P180" s="152"/>
    </row>
    <row r="181" spans="1:16" ht="18.600000000000001" customHeight="1" x14ac:dyDescent="0.2">
      <c r="A181" s="434" t="str">
        <f>A151</f>
        <v>DANH SÁCH LÝ</v>
      </c>
      <c r="B181" s="434"/>
      <c r="C181" s="434"/>
      <c r="D181" s="434"/>
      <c r="E181" s="434"/>
      <c r="F181" s="434"/>
      <c r="G181" s="434"/>
      <c r="H181" s="434"/>
      <c r="I181" s="92">
        <v>7</v>
      </c>
      <c r="J181" s="48"/>
      <c r="K181" s="48"/>
      <c r="L181" s="48"/>
      <c r="M181" s="41"/>
      <c r="N181" s="41"/>
      <c r="O181" s="41"/>
      <c r="P181" s="41"/>
    </row>
    <row r="182" spans="1:16" ht="18.600000000000001" customHeight="1" x14ac:dyDescent="0.2">
      <c r="A182" s="28"/>
      <c r="B182" s="29"/>
      <c r="C182" s="30"/>
      <c r="D182" s="36"/>
      <c r="E182" s="28"/>
      <c r="F182" s="28"/>
      <c r="G182" s="28"/>
      <c r="H182" s="28"/>
      <c r="I182" s="79"/>
      <c r="J182" s="28"/>
      <c r="K182" s="28"/>
      <c r="L182" s="28"/>
      <c r="M182" s="28"/>
      <c r="N182" s="28"/>
      <c r="O182" s="28"/>
      <c r="P182" s="28"/>
    </row>
    <row r="183" spans="1:16" ht="18.600000000000001" customHeight="1" x14ac:dyDescent="0.2">
      <c r="A183" s="435" t="s">
        <v>374</v>
      </c>
      <c r="B183" s="435" t="s">
        <v>380</v>
      </c>
      <c r="C183" s="435" t="s">
        <v>383</v>
      </c>
      <c r="D183" s="437" t="s">
        <v>384</v>
      </c>
      <c r="E183" s="438" t="s">
        <v>385</v>
      </c>
      <c r="F183" s="439"/>
      <c r="G183" s="432" t="str">
        <f>$R$1</f>
        <v>Đợt 6</v>
      </c>
      <c r="H183" s="433"/>
      <c r="I183" s="432" t="str">
        <f>$T$1</f>
        <v>Đợt 7</v>
      </c>
      <c r="J183" s="433"/>
      <c r="K183" s="201"/>
      <c r="L183" s="201"/>
      <c r="M183" s="432" t="str">
        <f>$X$1</f>
        <v>Đợt 9</v>
      </c>
      <c r="N183" s="433"/>
      <c r="O183" s="432" t="str">
        <f>$Z$1</f>
        <v>Đợt 10</v>
      </c>
      <c r="P183" s="433"/>
    </row>
    <row r="184" spans="1:16" ht="18.600000000000001" customHeight="1" x14ac:dyDescent="0.2">
      <c r="A184" s="436"/>
      <c r="B184" s="436"/>
      <c r="C184" s="436"/>
      <c r="D184" s="436"/>
      <c r="E184" s="31" t="s">
        <v>381</v>
      </c>
      <c r="F184" s="31" t="s">
        <v>382</v>
      </c>
      <c r="G184" s="31" t="s">
        <v>381</v>
      </c>
      <c r="H184" s="31" t="s">
        <v>382</v>
      </c>
      <c r="I184" s="80" t="s">
        <v>381</v>
      </c>
      <c r="J184" s="31" t="s">
        <v>382</v>
      </c>
      <c r="K184" s="31"/>
      <c r="L184" s="31"/>
      <c r="M184" s="31" t="s">
        <v>381</v>
      </c>
      <c r="N184" s="31" t="s">
        <v>382</v>
      </c>
      <c r="O184" s="31" t="s">
        <v>381</v>
      </c>
      <c r="P184" s="31" t="s">
        <v>382</v>
      </c>
    </row>
    <row r="185" spans="1:16" ht="18.600000000000001" customHeight="1" x14ac:dyDescent="0.2">
      <c r="A185" s="32">
        <v>1</v>
      </c>
      <c r="B185" s="26"/>
      <c r="C185" s="26"/>
      <c r="D185" s="22"/>
      <c r="E185" s="32"/>
      <c r="F185" s="34"/>
      <c r="G185" s="32"/>
      <c r="H185" s="93"/>
      <c r="I185" s="81"/>
      <c r="J185" s="34"/>
      <c r="K185" s="34"/>
      <c r="L185" s="34"/>
      <c r="M185" s="32"/>
      <c r="N185" s="34"/>
      <c r="O185" s="32"/>
      <c r="P185" s="34"/>
    </row>
    <row r="186" spans="1:16" ht="18.600000000000001" customHeight="1" x14ac:dyDescent="0.2">
      <c r="A186" s="7">
        <f t="shared" ref="A186:A209" si="31">A185+1</f>
        <v>2</v>
      </c>
      <c r="B186" s="26"/>
      <c r="C186" s="26"/>
      <c r="D186" s="22"/>
      <c r="E186" s="7"/>
      <c r="F186" s="7"/>
      <c r="G186" s="7"/>
      <c r="H186" s="7"/>
      <c r="I186" s="82"/>
      <c r="J186" s="7"/>
      <c r="K186" s="7"/>
      <c r="L186" s="7"/>
      <c r="M186" s="7"/>
      <c r="N186" s="7"/>
      <c r="O186" s="7"/>
      <c r="P186" s="7"/>
    </row>
    <row r="187" spans="1:16" ht="18.600000000000001" customHeight="1" x14ac:dyDescent="0.2">
      <c r="A187" s="7">
        <f t="shared" si="31"/>
        <v>3</v>
      </c>
      <c r="B187" s="26"/>
      <c r="C187" s="26"/>
      <c r="D187" s="22"/>
      <c r="E187" s="7"/>
      <c r="F187" s="7"/>
      <c r="G187" s="7"/>
      <c r="H187" s="7"/>
      <c r="I187" s="82"/>
      <c r="J187" s="7"/>
      <c r="K187" s="7"/>
      <c r="L187" s="7"/>
      <c r="M187" s="7"/>
      <c r="N187" s="7"/>
      <c r="O187" s="7"/>
      <c r="P187" s="7"/>
    </row>
    <row r="188" spans="1:16" ht="18.600000000000001" customHeight="1" x14ac:dyDescent="0.2">
      <c r="A188" s="7">
        <f t="shared" si="31"/>
        <v>4</v>
      </c>
      <c r="B188" s="26"/>
      <c r="C188" s="26"/>
      <c r="D188" s="22"/>
      <c r="E188" s="7"/>
      <c r="F188" s="7"/>
      <c r="G188" s="7"/>
      <c r="H188" s="7"/>
      <c r="I188" s="82"/>
      <c r="J188" s="7"/>
      <c r="K188" s="7"/>
      <c r="L188" s="7"/>
      <c r="M188" s="7"/>
      <c r="N188" s="7"/>
      <c r="O188" s="7"/>
      <c r="P188" s="7"/>
    </row>
    <row r="189" spans="1:16" ht="18.600000000000001" customHeight="1" x14ac:dyDescent="0.2">
      <c r="A189" s="6">
        <f t="shared" si="31"/>
        <v>5</v>
      </c>
      <c r="B189" s="58"/>
      <c r="C189" s="58"/>
      <c r="D189" s="59"/>
      <c r="E189" s="16"/>
      <c r="F189" s="16"/>
      <c r="G189" s="16"/>
      <c r="H189" s="16"/>
      <c r="I189" s="83"/>
      <c r="J189" s="16"/>
      <c r="K189" s="16"/>
      <c r="L189" s="16"/>
      <c r="M189" s="16"/>
      <c r="N189" s="16"/>
      <c r="O189" s="16"/>
      <c r="P189" s="16"/>
    </row>
    <row r="190" spans="1:16" ht="18.600000000000001" customHeight="1" x14ac:dyDescent="0.2">
      <c r="A190" s="56">
        <f t="shared" si="31"/>
        <v>6</v>
      </c>
      <c r="B190" s="57"/>
      <c r="C190" s="57"/>
      <c r="D190" s="21"/>
      <c r="E190" s="2"/>
      <c r="F190" s="2"/>
      <c r="G190" s="2"/>
      <c r="H190" s="2"/>
      <c r="I190" s="84"/>
      <c r="J190" s="2"/>
      <c r="K190" s="2"/>
      <c r="L190" s="2"/>
      <c r="M190" s="2"/>
      <c r="N190" s="2"/>
      <c r="O190" s="2"/>
      <c r="P190" s="2"/>
    </row>
    <row r="191" spans="1:16" ht="18.600000000000001" customHeight="1" x14ac:dyDescent="0.2">
      <c r="A191" s="6">
        <f t="shared" si="31"/>
        <v>7</v>
      </c>
      <c r="B191" s="26"/>
      <c r="C191" s="26"/>
      <c r="D191" s="22"/>
      <c r="E191" s="4"/>
      <c r="F191" s="4"/>
      <c r="G191" s="4"/>
      <c r="H191" s="4"/>
      <c r="I191" s="85"/>
      <c r="J191" s="4"/>
      <c r="K191" s="4"/>
      <c r="L191" s="4"/>
      <c r="M191" s="4"/>
      <c r="N191" s="4"/>
      <c r="O191" s="4"/>
      <c r="P191" s="4"/>
    </row>
    <row r="192" spans="1:16" ht="18.600000000000001" customHeight="1" x14ac:dyDescent="0.2">
      <c r="A192" s="6">
        <f t="shared" si="31"/>
        <v>8</v>
      </c>
      <c r="B192" s="26"/>
      <c r="C192" s="26"/>
      <c r="D192" s="22"/>
      <c r="E192" s="4"/>
      <c r="F192" s="4"/>
      <c r="G192" s="4"/>
      <c r="H192" s="4"/>
      <c r="I192" s="85"/>
      <c r="J192" s="4"/>
      <c r="K192" s="4"/>
      <c r="L192" s="4"/>
      <c r="M192" s="4"/>
      <c r="N192" s="4"/>
      <c r="O192" s="4"/>
      <c r="P192" s="4"/>
    </row>
    <row r="193" spans="1:16" ht="18.600000000000001" customHeight="1" x14ac:dyDescent="0.2">
      <c r="A193" s="6">
        <f t="shared" si="31"/>
        <v>9</v>
      </c>
      <c r="B193" s="26"/>
      <c r="C193" s="26"/>
      <c r="D193" s="22"/>
      <c r="E193" s="4"/>
      <c r="F193" s="4"/>
      <c r="G193" s="4"/>
      <c r="H193" s="4"/>
      <c r="I193" s="85"/>
      <c r="J193" s="4"/>
      <c r="K193" s="4"/>
      <c r="L193" s="4"/>
      <c r="M193" s="4"/>
      <c r="N193" s="4"/>
      <c r="O193" s="4"/>
      <c r="P193" s="4"/>
    </row>
    <row r="194" spans="1:16" ht="18.600000000000001" customHeight="1" x14ac:dyDescent="0.2">
      <c r="A194" s="10">
        <f t="shared" si="31"/>
        <v>10</v>
      </c>
      <c r="B194" s="62"/>
      <c r="C194" s="62"/>
      <c r="D194" s="23"/>
      <c r="E194" s="12"/>
      <c r="F194" s="12"/>
      <c r="G194" s="12"/>
      <c r="H194" s="12"/>
      <c r="I194" s="86"/>
      <c r="J194" s="12"/>
      <c r="K194" s="12"/>
      <c r="L194" s="12"/>
      <c r="M194" s="12"/>
      <c r="N194" s="12"/>
      <c r="O194" s="12"/>
      <c r="P194" s="12"/>
    </row>
    <row r="195" spans="1:16" ht="18.600000000000001" customHeight="1" x14ac:dyDescent="0.2">
      <c r="A195" s="35">
        <f t="shared" si="31"/>
        <v>11</v>
      </c>
      <c r="B195" s="60"/>
      <c r="C195" s="60"/>
      <c r="D195" s="61"/>
      <c r="E195" s="14"/>
      <c r="F195" s="14"/>
      <c r="G195" s="14"/>
      <c r="H195" s="14"/>
      <c r="I195" s="87"/>
      <c r="J195" s="14"/>
      <c r="K195" s="14"/>
      <c r="L195" s="14"/>
      <c r="M195" s="14"/>
      <c r="N195" s="14"/>
      <c r="O195" s="14"/>
      <c r="P195" s="14"/>
    </row>
    <row r="196" spans="1:16" ht="18.600000000000001" customHeight="1" x14ac:dyDescent="0.2">
      <c r="A196" s="7">
        <f t="shared" si="31"/>
        <v>12</v>
      </c>
      <c r="B196" s="26"/>
      <c r="C196" s="26"/>
      <c r="D196" s="22"/>
      <c r="E196" s="4"/>
      <c r="F196" s="4"/>
      <c r="G196" s="4"/>
      <c r="H196" s="4"/>
      <c r="I196" s="85"/>
      <c r="J196" s="4"/>
      <c r="K196" s="4"/>
      <c r="L196" s="4"/>
      <c r="M196" s="4"/>
      <c r="N196" s="4"/>
      <c r="O196" s="4"/>
      <c r="P196" s="4"/>
    </row>
    <row r="197" spans="1:16" ht="18.600000000000001" customHeight="1" x14ac:dyDescent="0.2">
      <c r="A197" s="7">
        <f t="shared" si="31"/>
        <v>13</v>
      </c>
      <c r="B197" s="26"/>
      <c r="C197" s="26"/>
      <c r="D197" s="22"/>
      <c r="E197" s="4"/>
      <c r="F197" s="4"/>
      <c r="G197" s="4"/>
      <c r="H197" s="4"/>
      <c r="I197" s="85"/>
      <c r="J197" s="4"/>
      <c r="K197" s="4"/>
      <c r="L197" s="4"/>
      <c r="M197" s="4"/>
      <c r="N197" s="4"/>
      <c r="O197" s="4"/>
      <c r="P197" s="4"/>
    </row>
    <row r="198" spans="1:16" ht="18.600000000000001" customHeight="1" x14ac:dyDescent="0.2">
      <c r="A198" s="7">
        <f t="shared" si="31"/>
        <v>14</v>
      </c>
      <c r="B198" s="3"/>
      <c r="C198" s="4"/>
      <c r="D198" s="8"/>
      <c r="E198" s="4"/>
      <c r="F198" s="4"/>
      <c r="G198" s="4"/>
      <c r="H198" s="4"/>
      <c r="I198" s="85"/>
      <c r="J198" s="4"/>
      <c r="K198" s="4"/>
      <c r="L198" s="4"/>
      <c r="M198" s="4"/>
      <c r="N198" s="4"/>
      <c r="O198" s="4"/>
      <c r="P198" s="4"/>
    </row>
    <row r="199" spans="1:16" ht="18.600000000000001" customHeight="1" x14ac:dyDescent="0.2">
      <c r="A199" s="6">
        <f t="shared" si="31"/>
        <v>15</v>
      </c>
      <c r="B199" s="15"/>
      <c r="C199" s="16"/>
      <c r="D199" s="5"/>
      <c r="E199" s="16"/>
      <c r="F199" s="16"/>
      <c r="G199" s="16"/>
      <c r="H199" s="16"/>
      <c r="I199" s="83"/>
      <c r="J199" s="16"/>
      <c r="K199" s="16"/>
      <c r="L199" s="16"/>
      <c r="M199" s="16"/>
      <c r="N199" s="16"/>
      <c r="O199" s="16"/>
      <c r="P199" s="16"/>
    </row>
    <row r="200" spans="1:16" ht="18.600000000000001" customHeight="1" x14ac:dyDescent="0.2">
      <c r="A200" s="32">
        <f t="shared" si="31"/>
        <v>16</v>
      </c>
      <c r="B200" s="1"/>
      <c r="C200" s="2"/>
      <c r="D200" s="33"/>
      <c r="E200" s="2"/>
      <c r="F200" s="2"/>
      <c r="G200" s="2"/>
      <c r="H200" s="2"/>
      <c r="I200" s="84"/>
      <c r="J200" s="2"/>
      <c r="K200" s="2"/>
      <c r="L200" s="2"/>
      <c r="M200" s="2"/>
      <c r="N200" s="2"/>
      <c r="O200" s="2"/>
      <c r="P200" s="2"/>
    </row>
    <row r="201" spans="1:16" ht="18.600000000000001" customHeight="1" x14ac:dyDescent="0.2">
      <c r="A201" s="7">
        <f t="shared" si="31"/>
        <v>17</v>
      </c>
      <c r="B201" s="3"/>
      <c r="C201" s="4"/>
      <c r="D201" s="8"/>
      <c r="E201" s="4"/>
      <c r="F201" s="4"/>
      <c r="G201" s="4"/>
      <c r="H201" s="4"/>
      <c r="I201" s="85"/>
      <c r="J201" s="4"/>
      <c r="K201" s="4"/>
      <c r="L201" s="4"/>
      <c r="M201" s="4"/>
      <c r="N201" s="4"/>
      <c r="O201" s="4"/>
      <c r="P201" s="4"/>
    </row>
    <row r="202" spans="1:16" ht="18.600000000000001" customHeight="1" x14ac:dyDescent="0.2">
      <c r="A202" s="7">
        <f t="shared" si="31"/>
        <v>18</v>
      </c>
      <c r="B202" s="3"/>
      <c r="C202" s="4"/>
      <c r="D202" s="8"/>
      <c r="E202" s="4"/>
      <c r="F202" s="4"/>
      <c r="G202" s="4"/>
      <c r="H202" s="4"/>
      <c r="I202" s="85"/>
      <c r="J202" s="4"/>
      <c r="K202" s="4"/>
      <c r="L202" s="4"/>
      <c r="M202" s="4"/>
      <c r="N202" s="4"/>
      <c r="O202" s="4"/>
      <c r="P202" s="4"/>
    </row>
    <row r="203" spans="1:16" ht="18.600000000000001" customHeight="1" x14ac:dyDescent="0.2">
      <c r="A203" s="7">
        <f t="shared" si="31"/>
        <v>19</v>
      </c>
      <c r="B203" s="3"/>
      <c r="C203" s="4"/>
      <c r="D203" s="8"/>
      <c r="E203" s="4"/>
      <c r="F203" s="4"/>
      <c r="G203" s="4"/>
      <c r="H203" s="4"/>
      <c r="I203" s="85"/>
      <c r="J203" s="4"/>
      <c r="K203" s="4"/>
      <c r="L203" s="4"/>
      <c r="M203" s="4"/>
      <c r="N203" s="4"/>
      <c r="O203" s="4"/>
      <c r="P203" s="4"/>
    </row>
    <row r="204" spans="1:16" ht="18.600000000000001" customHeight="1" x14ac:dyDescent="0.2">
      <c r="A204" s="10">
        <f t="shared" si="31"/>
        <v>20</v>
      </c>
      <c r="B204" s="11"/>
      <c r="C204" s="12"/>
      <c r="D204" s="9"/>
      <c r="E204" s="12"/>
      <c r="F204" s="12"/>
      <c r="G204" s="12"/>
      <c r="H204" s="12"/>
      <c r="I204" s="86"/>
      <c r="J204" s="12"/>
      <c r="K204" s="12"/>
      <c r="L204" s="12"/>
      <c r="M204" s="12"/>
      <c r="N204" s="12"/>
      <c r="O204" s="12"/>
      <c r="P204" s="12"/>
    </row>
    <row r="205" spans="1:16" ht="18.600000000000001" customHeight="1" x14ac:dyDescent="0.2">
      <c r="A205" s="35">
        <f t="shared" si="31"/>
        <v>21</v>
      </c>
      <c r="B205" s="13"/>
      <c r="C205" s="14"/>
      <c r="D205" s="37"/>
      <c r="E205" s="14"/>
      <c r="F205" s="14"/>
      <c r="G205" s="14"/>
      <c r="H205" s="14"/>
      <c r="I205" s="87"/>
      <c r="J205" s="14"/>
      <c r="K205" s="14"/>
      <c r="L205" s="14"/>
      <c r="M205" s="14"/>
      <c r="N205" s="14"/>
      <c r="O205" s="14"/>
      <c r="P205" s="14"/>
    </row>
    <row r="206" spans="1:16" ht="18.600000000000001" customHeight="1" x14ac:dyDescent="0.2">
      <c r="A206" s="7">
        <f t="shared" si="31"/>
        <v>22</v>
      </c>
      <c r="B206" s="3"/>
      <c r="C206" s="4"/>
      <c r="D206" s="8"/>
      <c r="E206" s="4"/>
      <c r="F206" s="4"/>
      <c r="G206" s="4"/>
      <c r="H206" s="4"/>
      <c r="I206" s="85"/>
      <c r="J206" s="4"/>
      <c r="K206" s="4"/>
      <c r="L206" s="4"/>
      <c r="M206" s="4"/>
      <c r="N206" s="4"/>
      <c r="O206" s="4"/>
      <c r="P206" s="4"/>
    </row>
    <row r="207" spans="1:16" ht="18.600000000000001" customHeight="1" x14ac:dyDescent="0.2">
      <c r="A207" s="35">
        <f t="shared" si="31"/>
        <v>23</v>
      </c>
      <c r="B207" s="3"/>
      <c r="C207" s="4"/>
      <c r="D207" s="8"/>
      <c r="E207" s="4"/>
      <c r="F207" s="4"/>
      <c r="G207" s="4"/>
      <c r="H207" s="4"/>
      <c r="I207" s="85"/>
      <c r="J207" s="4"/>
      <c r="K207" s="4"/>
      <c r="L207" s="4"/>
      <c r="M207" s="4"/>
      <c r="N207" s="4"/>
      <c r="O207" s="4"/>
      <c r="P207" s="4"/>
    </row>
    <row r="208" spans="1:16" ht="18.600000000000001" customHeight="1" x14ac:dyDescent="0.2">
      <c r="A208" s="7">
        <f t="shared" si="31"/>
        <v>24</v>
      </c>
      <c r="B208" s="3"/>
      <c r="C208" s="4"/>
      <c r="D208" s="8"/>
      <c r="E208" s="4"/>
      <c r="F208" s="4"/>
      <c r="G208" s="4"/>
      <c r="H208" s="4"/>
      <c r="I208" s="85"/>
      <c r="J208" s="4"/>
      <c r="K208" s="4"/>
      <c r="L208" s="4"/>
      <c r="M208" s="4"/>
      <c r="N208" s="4"/>
      <c r="O208" s="4"/>
      <c r="P208" s="4"/>
    </row>
    <row r="209" spans="1:16" ht="18.600000000000001" customHeight="1" x14ac:dyDescent="0.2">
      <c r="A209" s="35">
        <f t="shared" si="31"/>
        <v>25</v>
      </c>
      <c r="B209" s="11"/>
      <c r="C209" s="12"/>
      <c r="D209" s="9"/>
      <c r="E209" s="12"/>
      <c r="F209" s="12"/>
      <c r="G209" s="12"/>
      <c r="H209" s="12"/>
      <c r="I209" s="86"/>
      <c r="J209" s="12"/>
      <c r="K209" s="12"/>
      <c r="L209" s="12"/>
      <c r="M209" s="12"/>
      <c r="N209" s="12"/>
      <c r="O209" s="12"/>
      <c r="P209" s="12"/>
    </row>
    <row r="210" spans="1:16" ht="18.600000000000001" customHeight="1" x14ac:dyDescent="0.3">
      <c r="A210" s="147"/>
      <c r="B210" s="148"/>
      <c r="C210" s="147"/>
      <c r="D210" s="149"/>
      <c r="E210" s="150">
        <f>SUBTOTAL(9,E185:E209)</f>
        <v>0</v>
      </c>
      <c r="F210" s="152"/>
      <c r="G210" s="150">
        <f t="shared" ref="G210" si="32">SUBTOTAL(9,G185:G209)</f>
        <v>0</v>
      </c>
      <c r="H210" s="152"/>
      <c r="I210" s="150">
        <f t="shared" ref="I210" si="33">SUBTOTAL(9,I185:I209)</f>
        <v>0</v>
      </c>
      <c r="J210" s="152"/>
      <c r="K210" s="152"/>
      <c r="L210" s="152"/>
      <c r="M210" s="150">
        <f t="shared" ref="M210" si="34">SUBTOTAL(9,M185:M209)</f>
        <v>0</v>
      </c>
      <c r="N210" s="152"/>
      <c r="O210" s="150">
        <f t="shared" ref="O210" si="35">SUBTOTAL(9,O185:O209)</f>
        <v>0</v>
      </c>
      <c r="P210" s="152"/>
    </row>
    <row r="211" spans="1:16" ht="18.600000000000001" customHeight="1" x14ac:dyDescent="0.2">
      <c r="A211" s="434" t="str">
        <f>A181</f>
        <v>DANH SÁCH LÝ</v>
      </c>
      <c r="B211" s="434"/>
      <c r="C211" s="434"/>
      <c r="D211" s="434"/>
      <c r="E211" s="434"/>
      <c r="F211" s="434"/>
      <c r="G211" s="434"/>
      <c r="H211" s="434"/>
      <c r="I211" s="92">
        <v>8</v>
      </c>
      <c r="J211" s="48"/>
      <c r="K211" s="48"/>
      <c r="L211" s="48"/>
      <c r="M211" s="41"/>
      <c r="N211" s="41"/>
      <c r="O211" s="41"/>
      <c r="P211" s="41"/>
    </row>
    <row r="212" spans="1:16" ht="18.600000000000001" customHeight="1" x14ac:dyDescent="0.2">
      <c r="A212" s="28"/>
      <c r="B212" s="29"/>
      <c r="C212" s="30"/>
      <c r="D212" s="36"/>
      <c r="E212" s="28"/>
      <c r="F212" s="28"/>
      <c r="G212" s="28"/>
      <c r="H212" s="28"/>
      <c r="I212" s="79"/>
      <c r="J212" s="28"/>
      <c r="K212" s="28"/>
      <c r="L212" s="28"/>
      <c r="M212" s="28"/>
      <c r="N212" s="28"/>
      <c r="O212" s="28"/>
      <c r="P212" s="28"/>
    </row>
    <row r="213" spans="1:16" ht="18.600000000000001" customHeight="1" x14ac:dyDescent="0.2">
      <c r="A213" s="435" t="s">
        <v>374</v>
      </c>
      <c r="B213" s="435" t="s">
        <v>380</v>
      </c>
      <c r="C213" s="435" t="s">
        <v>383</v>
      </c>
      <c r="D213" s="437" t="s">
        <v>384</v>
      </c>
      <c r="E213" s="438" t="s">
        <v>385</v>
      </c>
      <c r="F213" s="439"/>
      <c r="G213" s="432" t="str">
        <f>$R$1</f>
        <v>Đợt 6</v>
      </c>
      <c r="H213" s="433"/>
      <c r="I213" s="432" t="str">
        <f>$T$1</f>
        <v>Đợt 7</v>
      </c>
      <c r="J213" s="433"/>
      <c r="K213" s="201"/>
      <c r="L213" s="201"/>
      <c r="M213" s="432" t="str">
        <f>$X$1</f>
        <v>Đợt 9</v>
      </c>
      <c r="N213" s="433"/>
      <c r="O213" s="432" t="str">
        <f>$Z$1</f>
        <v>Đợt 10</v>
      </c>
      <c r="P213" s="433"/>
    </row>
    <row r="214" spans="1:16" ht="18.600000000000001" customHeight="1" x14ac:dyDescent="0.2">
      <c r="A214" s="436"/>
      <c r="B214" s="436"/>
      <c r="C214" s="436"/>
      <c r="D214" s="436"/>
      <c r="E214" s="31" t="s">
        <v>381</v>
      </c>
      <c r="F214" s="31" t="s">
        <v>382</v>
      </c>
      <c r="G214" s="31" t="s">
        <v>381</v>
      </c>
      <c r="H214" s="31" t="s">
        <v>382</v>
      </c>
      <c r="I214" s="80" t="s">
        <v>381</v>
      </c>
      <c r="J214" s="31" t="s">
        <v>382</v>
      </c>
      <c r="K214" s="31"/>
      <c r="L214" s="31"/>
      <c r="M214" s="31" t="s">
        <v>381</v>
      </c>
      <c r="N214" s="31" t="s">
        <v>382</v>
      </c>
      <c r="O214" s="31" t="s">
        <v>381</v>
      </c>
      <c r="P214" s="31" t="s">
        <v>382</v>
      </c>
    </row>
    <row r="215" spans="1:16" ht="18.600000000000001" customHeight="1" x14ac:dyDescent="0.2">
      <c r="A215" s="32">
        <v>1</v>
      </c>
      <c r="B215" s="26"/>
      <c r="C215" s="26"/>
      <c r="D215" s="22"/>
      <c r="E215" s="32"/>
      <c r="F215" s="34"/>
      <c r="G215" s="32"/>
      <c r="H215" s="93"/>
      <c r="I215" s="81"/>
      <c r="J215" s="34"/>
      <c r="K215" s="34"/>
      <c r="L215" s="34"/>
      <c r="M215" s="32"/>
      <c r="N215" s="34"/>
      <c r="O215" s="32"/>
      <c r="P215" s="34"/>
    </row>
    <row r="216" spans="1:16" ht="18.600000000000001" customHeight="1" x14ac:dyDescent="0.2">
      <c r="A216" s="7">
        <f t="shared" ref="A216:A239" si="36">A215+1</f>
        <v>2</v>
      </c>
      <c r="B216" s="26"/>
      <c r="C216" s="26"/>
      <c r="D216" s="22"/>
      <c r="E216" s="7"/>
      <c r="F216" s="7"/>
      <c r="G216" s="7"/>
      <c r="H216" s="7"/>
      <c r="I216" s="82"/>
      <c r="J216" s="7"/>
      <c r="K216" s="7"/>
      <c r="L216" s="7"/>
      <c r="M216" s="7"/>
      <c r="N216" s="7"/>
      <c r="O216" s="7"/>
      <c r="P216" s="7"/>
    </row>
    <row r="217" spans="1:16" ht="18.600000000000001" customHeight="1" x14ac:dyDescent="0.2">
      <c r="A217" s="7">
        <f t="shared" si="36"/>
        <v>3</v>
      </c>
      <c r="B217" s="26"/>
      <c r="C217" s="26"/>
      <c r="D217" s="22"/>
      <c r="E217" s="7"/>
      <c r="F217" s="7"/>
      <c r="G217" s="7"/>
      <c r="H217" s="7"/>
      <c r="I217" s="82"/>
      <c r="J217" s="7"/>
      <c r="K217" s="7"/>
      <c r="L217" s="7"/>
      <c r="M217" s="7"/>
      <c r="N217" s="7"/>
      <c r="O217" s="7"/>
      <c r="P217" s="7"/>
    </row>
    <row r="218" spans="1:16" ht="18.600000000000001" customHeight="1" x14ac:dyDescent="0.2">
      <c r="A218" s="7">
        <f t="shared" si="36"/>
        <v>4</v>
      </c>
      <c r="B218" s="26"/>
      <c r="C218" s="26"/>
      <c r="D218" s="22"/>
      <c r="E218" s="7"/>
      <c r="F218" s="7"/>
      <c r="G218" s="7"/>
      <c r="H218" s="7"/>
      <c r="I218" s="82"/>
      <c r="J218" s="7"/>
      <c r="K218" s="7"/>
      <c r="L218" s="7"/>
      <c r="M218" s="7"/>
      <c r="N218" s="7"/>
      <c r="O218" s="7"/>
      <c r="P218" s="7"/>
    </row>
    <row r="219" spans="1:16" ht="18.600000000000001" customHeight="1" x14ac:dyDescent="0.2">
      <c r="A219" s="6">
        <f t="shared" si="36"/>
        <v>5</v>
      </c>
      <c r="B219" s="58"/>
      <c r="C219" s="58"/>
      <c r="D219" s="59"/>
      <c r="E219" s="16"/>
      <c r="F219" s="16"/>
      <c r="G219" s="16"/>
      <c r="H219" s="16"/>
      <c r="I219" s="83"/>
      <c r="J219" s="16"/>
      <c r="K219" s="16"/>
      <c r="L219" s="16"/>
      <c r="M219" s="16"/>
      <c r="N219" s="16"/>
      <c r="O219" s="16"/>
      <c r="P219" s="16"/>
    </row>
    <row r="220" spans="1:16" ht="18.600000000000001" customHeight="1" x14ac:dyDescent="0.2">
      <c r="A220" s="56">
        <f t="shared" si="36"/>
        <v>6</v>
      </c>
      <c r="B220" s="57"/>
      <c r="C220" s="57"/>
      <c r="D220" s="21"/>
      <c r="E220" s="2"/>
      <c r="F220" s="2"/>
      <c r="G220" s="2"/>
      <c r="H220" s="2"/>
      <c r="I220" s="84"/>
      <c r="J220" s="2"/>
      <c r="K220" s="2"/>
      <c r="L220" s="2"/>
      <c r="M220" s="2"/>
      <c r="N220" s="2"/>
      <c r="O220" s="2"/>
      <c r="P220" s="2"/>
    </row>
    <row r="221" spans="1:16" ht="18.600000000000001" customHeight="1" x14ac:dyDescent="0.2">
      <c r="A221" s="6">
        <f t="shared" si="36"/>
        <v>7</v>
      </c>
      <c r="B221" s="26"/>
      <c r="C221" s="26"/>
      <c r="D221" s="22"/>
      <c r="E221" s="4"/>
      <c r="F221" s="4"/>
      <c r="G221" s="4"/>
      <c r="H221" s="4"/>
      <c r="I221" s="85"/>
      <c r="J221" s="4"/>
      <c r="K221" s="4"/>
      <c r="L221" s="4"/>
      <c r="M221" s="4"/>
      <c r="N221" s="4"/>
      <c r="O221" s="4"/>
      <c r="P221" s="4"/>
    </row>
    <row r="222" spans="1:16" ht="18.600000000000001" customHeight="1" x14ac:dyDescent="0.2">
      <c r="A222" s="6">
        <f t="shared" si="36"/>
        <v>8</v>
      </c>
      <c r="B222" s="26"/>
      <c r="C222" s="26"/>
      <c r="D222" s="22"/>
      <c r="E222" s="4"/>
      <c r="F222" s="4"/>
      <c r="G222" s="4"/>
      <c r="H222" s="4"/>
      <c r="I222" s="85"/>
      <c r="J222" s="4"/>
      <c r="K222" s="4"/>
      <c r="L222" s="4"/>
      <c r="M222" s="4"/>
      <c r="N222" s="4"/>
      <c r="O222" s="4"/>
      <c r="P222" s="4"/>
    </row>
    <row r="223" spans="1:16" ht="18.600000000000001" customHeight="1" x14ac:dyDescent="0.2">
      <c r="A223" s="6">
        <f t="shared" si="36"/>
        <v>9</v>
      </c>
      <c r="B223" s="26"/>
      <c r="C223" s="26"/>
      <c r="D223" s="22"/>
      <c r="E223" s="4"/>
      <c r="F223" s="4"/>
      <c r="G223" s="4"/>
      <c r="H223" s="4"/>
      <c r="I223" s="85"/>
      <c r="J223" s="4"/>
      <c r="K223" s="4"/>
      <c r="L223" s="4"/>
      <c r="M223" s="4"/>
      <c r="N223" s="4"/>
      <c r="O223" s="4"/>
      <c r="P223" s="4"/>
    </row>
    <row r="224" spans="1:16" ht="18.600000000000001" customHeight="1" x14ac:dyDescent="0.2">
      <c r="A224" s="10">
        <f t="shared" si="36"/>
        <v>10</v>
      </c>
      <c r="B224" s="62"/>
      <c r="C224" s="62"/>
      <c r="D224" s="23"/>
      <c r="E224" s="12"/>
      <c r="F224" s="12"/>
      <c r="G224" s="12"/>
      <c r="H224" s="12"/>
      <c r="I224" s="86"/>
      <c r="J224" s="12"/>
      <c r="K224" s="12"/>
      <c r="L224" s="12"/>
      <c r="M224" s="12"/>
      <c r="N224" s="12"/>
      <c r="O224" s="12"/>
      <c r="P224" s="12"/>
    </row>
    <row r="225" spans="1:16" ht="18.600000000000001" customHeight="1" x14ac:dyDescent="0.2">
      <c r="A225" s="35">
        <f t="shared" si="36"/>
        <v>11</v>
      </c>
      <c r="B225" s="60"/>
      <c r="C225" s="60"/>
      <c r="D225" s="61"/>
      <c r="E225" s="14"/>
      <c r="F225" s="14"/>
      <c r="G225" s="14"/>
      <c r="H225" s="14"/>
      <c r="I225" s="87"/>
      <c r="J225" s="14"/>
      <c r="K225" s="14"/>
      <c r="L225" s="14"/>
      <c r="M225" s="14"/>
      <c r="N225" s="14"/>
      <c r="O225" s="14"/>
      <c r="P225" s="14"/>
    </row>
    <row r="226" spans="1:16" ht="18.600000000000001" customHeight="1" x14ac:dyDescent="0.2">
      <c r="A226" s="7">
        <f t="shared" si="36"/>
        <v>12</v>
      </c>
      <c r="B226" s="26"/>
      <c r="C226" s="26"/>
      <c r="D226" s="22"/>
      <c r="E226" s="4"/>
      <c r="F226" s="4"/>
      <c r="G226" s="4"/>
      <c r="H226" s="4"/>
      <c r="I226" s="85"/>
      <c r="J226" s="4"/>
      <c r="K226" s="4"/>
      <c r="L226" s="4"/>
      <c r="M226" s="4"/>
      <c r="N226" s="4"/>
      <c r="O226" s="4"/>
      <c r="P226" s="4"/>
    </row>
    <row r="227" spans="1:16" ht="18.600000000000001" customHeight="1" x14ac:dyDescent="0.2">
      <c r="A227" s="7">
        <f t="shared" si="36"/>
        <v>13</v>
      </c>
      <c r="B227" s="26"/>
      <c r="C227" s="26"/>
      <c r="D227" s="22"/>
      <c r="E227" s="4"/>
      <c r="F227" s="4"/>
      <c r="G227" s="4"/>
      <c r="H227" s="4"/>
      <c r="I227" s="85"/>
      <c r="J227" s="4"/>
      <c r="K227" s="4"/>
      <c r="L227" s="4"/>
      <c r="M227" s="4"/>
      <c r="N227" s="4"/>
      <c r="O227" s="4"/>
      <c r="P227" s="4"/>
    </row>
    <row r="228" spans="1:16" ht="18.600000000000001" customHeight="1" x14ac:dyDescent="0.2">
      <c r="A228" s="7">
        <f t="shared" si="36"/>
        <v>14</v>
      </c>
      <c r="B228" s="3"/>
      <c r="C228" s="4"/>
      <c r="D228" s="8"/>
      <c r="E228" s="4"/>
      <c r="F228" s="4"/>
      <c r="G228" s="4"/>
      <c r="H228" s="4"/>
      <c r="I228" s="85"/>
      <c r="J228" s="4"/>
      <c r="K228" s="4"/>
      <c r="L228" s="4"/>
      <c r="M228" s="4"/>
      <c r="N228" s="4"/>
      <c r="O228" s="4"/>
      <c r="P228" s="4"/>
    </row>
    <row r="229" spans="1:16" ht="18.600000000000001" customHeight="1" x14ac:dyDescent="0.2">
      <c r="A229" s="6">
        <f t="shared" si="36"/>
        <v>15</v>
      </c>
      <c r="B229" s="15"/>
      <c r="C229" s="16"/>
      <c r="D229" s="5"/>
      <c r="E229" s="16"/>
      <c r="F229" s="16"/>
      <c r="G229" s="16"/>
      <c r="H229" s="16"/>
      <c r="I229" s="83"/>
      <c r="J229" s="16"/>
      <c r="K229" s="16"/>
      <c r="L229" s="16"/>
      <c r="M229" s="16"/>
      <c r="N229" s="16"/>
      <c r="O229" s="16"/>
      <c r="P229" s="16"/>
    </row>
    <row r="230" spans="1:16" ht="18.600000000000001" customHeight="1" x14ac:dyDescent="0.2">
      <c r="A230" s="32">
        <f t="shared" si="36"/>
        <v>16</v>
      </c>
      <c r="B230" s="1"/>
      <c r="C230" s="2"/>
      <c r="D230" s="33"/>
      <c r="E230" s="2"/>
      <c r="F230" s="2"/>
      <c r="G230" s="2"/>
      <c r="H230" s="2"/>
      <c r="I230" s="84"/>
      <c r="J230" s="2"/>
      <c r="K230" s="2"/>
      <c r="L230" s="2"/>
      <c r="M230" s="2"/>
      <c r="N230" s="2"/>
      <c r="O230" s="2"/>
      <c r="P230" s="2"/>
    </row>
    <row r="231" spans="1:16" ht="18.600000000000001" customHeight="1" x14ac:dyDescent="0.2">
      <c r="A231" s="7">
        <f t="shared" si="36"/>
        <v>17</v>
      </c>
      <c r="B231" s="3"/>
      <c r="C231" s="4"/>
      <c r="D231" s="8"/>
      <c r="E231" s="4"/>
      <c r="F231" s="4"/>
      <c r="G231" s="4"/>
      <c r="H231" s="4"/>
      <c r="I231" s="85"/>
      <c r="J231" s="4"/>
      <c r="K231" s="4"/>
      <c r="L231" s="4"/>
      <c r="M231" s="4"/>
      <c r="N231" s="4"/>
      <c r="O231" s="4"/>
      <c r="P231" s="4"/>
    </row>
    <row r="232" spans="1:16" ht="18.600000000000001" customHeight="1" x14ac:dyDescent="0.2">
      <c r="A232" s="7">
        <f t="shared" si="36"/>
        <v>18</v>
      </c>
      <c r="B232" s="3"/>
      <c r="C232" s="4"/>
      <c r="D232" s="8"/>
      <c r="E232" s="4"/>
      <c r="F232" s="4"/>
      <c r="G232" s="4"/>
      <c r="H232" s="4"/>
      <c r="I232" s="85"/>
      <c r="J232" s="4"/>
      <c r="K232" s="4"/>
      <c r="L232" s="4"/>
      <c r="M232" s="4"/>
      <c r="N232" s="4"/>
      <c r="O232" s="4"/>
      <c r="P232" s="4"/>
    </row>
    <row r="233" spans="1:16" ht="18.600000000000001" customHeight="1" x14ac:dyDescent="0.2">
      <c r="A233" s="7">
        <f t="shared" si="36"/>
        <v>19</v>
      </c>
      <c r="B233" s="3"/>
      <c r="C233" s="4"/>
      <c r="D233" s="8"/>
      <c r="E233" s="4"/>
      <c r="F233" s="4"/>
      <c r="G233" s="4"/>
      <c r="H233" s="4"/>
      <c r="I233" s="85"/>
      <c r="J233" s="4"/>
      <c r="K233" s="4"/>
      <c r="L233" s="4"/>
      <c r="M233" s="4"/>
      <c r="N233" s="4"/>
      <c r="O233" s="4"/>
      <c r="P233" s="4"/>
    </row>
    <row r="234" spans="1:16" ht="18.600000000000001" customHeight="1" x14ac:dyDescent="0.2">
      <c r="A234" s="10">
        <f t="shared" si="36"/>
        <v>20</v>
      </c>
      <c r="B234" s="11"/>
      <c r="C234" s="12"/>
      <c r="D234" s="9"/>
      <c r="E234" s="12"/>
      <c r="F234" s="12"/>
      <c r="G234" s="12"/>
      <c r="H234" s="12"/>
      <c r="I234" s="86"/>
      <c r="J234" s="12"/>
      <c r="K234" s="12"/>
      <c r="L234" s="12"/>
      <c r="M234" s="12"/>
      <c r="N234" s="12"/>
      <c r="O234" s="12"/>
      <c r="P234" s="12"/>
    </row>
    <row r="235" spans="1:16" ht="18.600000000000001" customHeight="1" x14ac:dyDescent="0.2">
      <c r="A235" s="35">
        <f t="shared" si="36"/>
        <v>21</v>
      </c>
      <c r="B235" s="13"/>
      <c r="C235" s="14"/>
      <c r="D235" s="37"/>
      <c r="E235" s="14"/>
      <c r="F235" s="14"/>
      <c r="G235" s="14"/>
      <c r="H235" s="14"/>
      <c r="I235" s="87"/>
      <c r="J235" s="14"/>
      <c r="K235" s="14"/>
      <c r="L235" s="14"/>
      <c r="M235" s="14"/>
      <c r="N235" s="14"/>
      <c r="O235" s="14"/>
      <c r="P235" s="14"/>
    </row>
    <row r="236" spans="1:16" ht="18.600000000000001" customHeight="1" x14ac:dyDescent="0.2">
      <c r="A236" s="7">
        <f t="shared" si="36"/>
        <v>22</v>
      </c>
      <c r="B236" s="3"/>
      <c r="C236" s="4"/>
      <c r="D236" s="8"/>
      <c r="E236" s="4"/>
      <c r="F236" s="4"/>
      <c r="G236" s="4"/>
      <c r="H236" s="4"/>
      <c r="I236" s="85"/>
      <c r="J236" s="4"/>
      <c r="K236" s="4"/>
      <c r="L236" s="4"/>
      <c r="M236" s="4"/>
      <c r="N236" s="4"/>
      <c r="O236" s="4"/>
      <c r="P236" s="4"/>
    </row>
    <row r="237" spans="1:16" ht="18.600000000000001" customHeight="1" x14ac:dyDescent="0.2">
      <c r="A237" s="35">
        <f t="shared" si="36"/>
        <v>23</v>
      </c>
      <c r="B237" s="3"/>
      <c r="C237" s="4"/>
      <c r="D237" s="8"/>
      <c r="E237" s="4"/>
      <c r="F237" s="4"/>
      <c r="G237" s="4"/>
      <c r="H237" s="4"/>
      <c r="I237" s="85"/>
      <c r="J237" s="4"/>
      <c r="K237" s="4"/>
      <c r="L237" s="4"/>
      <c r="M237" s="4"/>
      <c r="N237" s="4"/>
      <c r="O237" s="4"/>
      <c r="P237" s="4"/>
    </row>
    <row r="238" spans="1:16" ht="18.600000000000001" customHeight="1" x14ac:dyDescent="0.2">
      <c r="A238" s="7">
        <f t="shared" si="36"/>
        <v>24</v>
      </c>
      <c r="B238" s="3"/>
      <c r="C238" s="4"/>
      <c r="D238" s="8"/>
      <c r="E238" s="4"/>
      <c r="F238" s="4"/>
      <c r="G238" s="4"/>
      <c r="H238" s="4"/>
      <c r="I238" s="85"/>
      <c r="J238" s="4"/>
      <c r="K238" s="4"/>
      <c r="L238" s="4"/>
      <c r="M238" s="4"/>
      <c r="N238" s="4"/>
      <c r="O238" s="4"/>
      <c r="P238" s="4"/>
    </row>
    <row r="239" spans="1:16" ht="18.600000000000001" customHeight="1" x14ac:dyDescent="0.2">
      <c r="A239" s="35">
        <f t="shared" si="36"/>
        <v>25</v>
      </c>
      <c r="B239" s="11"/>
      <c r="C239" s="12"/>
      <c r="D239" s="9"/>
      <c r="E239" s="12"/>
      <c r="F239" s="12"/>
      <c r="G239" s="12"/>
      <c r="H239" s="12"/>
      <c r="I239" s="86"/>
      <c r="J239" s="12"/>
      <c r="K239" s="12"/>
      <c r="L239" s="12"/>
      <c r="M239" s="12"/>
      <c r="N239" s="12"/>
      <c r="O239" s="12"/>
      <c r="P239" s="12"/>
    </row>
    <row r="240" spans="1:16" ht="18.600000000000001" customHeight="1" x14ac:dyDescent="0.3">
      <c r="A240" s="147"/>
      <c r="B240" s="148"/>
      <c r="C240" s="147"/>
      <c r="D240" s="149"/>
      <c r="E240" s="150">
        <f>SUBTOTAL(9,E215:E239)</f>
        <v>0</v>
      </c>
      <c r="F240" s="152"/>
      <c r="G240" s="150">
        <f t="shared" ref="G240" si="37">SUBTOTAL(9,G215:G239)</f>
        <v>0</v>
      </c>
      <c r="H240" s="152"/>
      <c r="I240" s="150">
        <f t="shared" ref="I240" si="38">SUBTOTAL(9,I215:I239)</f>
        <v>0</v>
      </c>
      <c r="J240" s="152"/>
      <c r="K240" s="152"/>
      <c r="L240" s="152"/>
      <c r="M240" s="150">
        <f t="shared" ref="M240" si="39">SUBTOTAL(9,M215:M239)</f>
        <v>0</v>
      </c>
      <c r="N240" s="152"/>
      <c r="O240" s="150">
        <f t="shared" ref="O240" si="40">SUBTOTAL(9,O215:O239)</f>
        <v>0</v>
      </c>
      <c r="P240" s="152"/>
    </row>
    <row r="241" spans="1:16" ht="18.600000000000001" customHeight="1" x14ac:dyDescent="0.2">
      <c r="A241" s="434" t="str">
        <f>A211</f>
        <v>DANH SÁCH LÝ</v>
      </c>
      <c r="B241" s="434"/>
      <c r="C241" s="434"/>
      <c r="D241" s="434"/>
      <c r="E241" s="434"/>
      <c r="F241" s="434"/>
      <c r="G241" s="434"/>
      <c r="H241" s="434"/>
      <c r="I241" s="92">
        <v>9</v>
      </c>
      <c r="J241" s="48"/>
      <c r="K241" s="48"/>
      <c r="L241" s="48"/>
      <c r="M241" s="41"/>
      <c r="N241" s="41"/>
      <c r="O241" s="41"/>
      <c r="P241" s="41"/>
    </row>
    <row r="242" spans="1:16" ht="18.600000000000001" customHeight="1" x14ac:dyDescent="0.2">
      <c r="A242" s="28"/>
      <c r="B242" s="29"/>
      <c r="C242" s="30"/>
      <c r="D242" s="36"/>
      <c r="E242" s="28"/>
      <c r="F242" s="28"/>
      <c r="G242" s="28"/>
      <c r="H242" s="28"/>
      <c r="I242" s="79"/>
      <c r="J242" s="28"/>
      <c r="K242" s="28"/>
      <c r="L242" s="28"/>
      <c r="M242" s="28"/>
      <c r="N242" s="28"/>
      <c r="O242" s="28"/>
      <c r="P242" s="28"/>
    </row>
    <row r="243" spans="1:16" ht="18.600000000000001" customHeight="1" x14ac:dyDescent="0.2">
      <c r="A243" s="435" t="s">
        <v>374</v>
      </c>
      <c r="B243" s="435" t="s">
        <v>380</v>
      </c>
      <c r="C243" s="435" t="s">
        <v>383</v>
      </c>
      <c r="D243" s="437" t="s">
        <v>384</v>
      </c>
      <c r="E243" s="438" t="s">
        <v>385</v>
      </c>
      <c r="F243" s="439"/>
      <c r="G243" s="432" t="str">
        <f>$R$1</f>
        <v>Đợt 6</v>
      </c>
      <c r="H243" s="433"/>
      <c r="I243" s="432" t="str">
        <f>$T$1</f>
        <v>Đợt 7</v>
      </c>
      <c r="J243" s="433"/>
      <c r="K243" s="201"/>
      <c r="L243" s="201"/>
      <c r="M243" s="432" t="str">
        <f>$X$1</f>
        <v>Đợt 9</v>
      </c>
      <c r="N243" s="433"/>
      <c r="O243" s="432" t="str">
        <f>$Z$1</f>
        <v>Đợt 10</v>
      </c>
      <c r="P243" s="433"/>
    </row>
    <row r="244" spans="1:16" ht="18.600000000000001" customHeight="1" x14ac:dyDescent="0.2">
      <c r="A244" s="436"/>
      <c r="B244" s="436"/>
      <c r="C244" s="436"/>
      <c r="D244" s="436"/>
      <c r="E244" s="31" t="s">
        <v>381</v>
      </c>
      <c r="F244" s="31" t="s">
        <v>382</v>
      </c>
      <c r="G244" s="31" t="s">
        <v>381</v>
      </c>
      <c r="H244" s="31" t="s">
        <v>382</v>
      </c>
      <c r="I244" s="80" t="s">
        <v>381</v>
      </c>
      <c r="J244" s="31" t="s">
        <v>382</v>
      </c>
      <c r="K244" s="31"/>
      <c r="L244" s="31"/>
      <c r="M244" s="31" t="s">
        <v>381</v>
      </c>
      <c r="N244" s="31" t="s">
        <v>382</v>
      </c>
      <c r="O244" s="31" t="s">
        <v>381</v>
      </c>
      <c r="P244" s="31" t="s">
        <v>382</v>
      </c>
    </row>
    <row r="245" spans="1:16" ht="18.600000000000001" customHeight="1" x14ac:dyDescent="0.2">
      <c r="A245" s="32">
        <v>1</v>
      </c>
      <c r="B245" s="26"/>
      <c r="C245" s="26"/>
      <c r="D245" s="22"/>
      <c r="E245" s="32"/>
      <c r="F245" s="34"/>
      <c r="G245" s="32"/>
      <c r="H245" s="93"/>
      <c r="I245" s="81"/>
      <c r="J245" s="34"/>
      <c r="K245" s="34"/>
      <c r="L245" s="34"/>
      <c r="M245" s="32"/>
      <c r="N245" s="34"/>
      <c r="O245" s="32"/>
      <c r="P245" s="34"/>
    </row>
    <row r="246" spans="1:16" ht="18.600000000000001" customHeight="1" x14ac:dyDescent="0.2">
      <c r="A246" s="7">
        <f t="shared" ref="A246:A269" si="41">A245+1</f>
        <v>2</v>
      </c>
      <c r="B246" s="26"/>
      <c r="C246" s="26"/>
      <c r="D246" s="22"/>
      <c r="E246" s="7"/>
      <c r="F246" s="7"/>
      <c r="G246" s="7"/>
      <c r="H246" s="7"/>
      <c r="I246" s="82"/>
      <c r="J246" s="7"/>
      <c r="K246" s="7"/>
      <c r="L246" s="7"/>
      <c r="M246" s="7"/>
      <c r="N246" s="7"/>
      <c r="O246" s="7"/>
      <c r="P246" s="7"/>
    </row>
    <row r="247" spans="1:16" ht="18.600000000000001" customHeight="1" x14ac:dyDescent="0.2">
      <c r="A247" s="7">
        <f t="shared" si="41"/>
        <v>3</v>
      </c>
      <c r="B247" s="26"/>
      <c r="C247" s="26"/>
      <c r="D247" s="22"/>
      <c r="E247" s="7"/>
      <c r="F247" s="7"/>
      <c r="G247" s="7"/>
      <c r="H247" s="7"/>
      <c r="I247" s="82"/>
      <c r="J247" s="7"/>
      <c r="K247" s="7"/>
      <c r="L247" s="7"/>
      <c r="M247" s="7"/>
      <c r="N247" s="7"/>
      <c r="O247" s="7"/>
      <c r="P247" s="7"/>
    </row>
    <row r="248" spans="1:16" ht="18.600000000000001" customHeight="1" x14ac:dyDescent="0.2">
      <c r="A248" s="7">
        <f t="shared" si="41"/>
        <v>4</v>
      </c>
      <c r="B248" s="26"/>
      <c r="C248" s="26"/>
      <c r="D248" s="22"/>
      <c r="E248" s="7"/>
      <c r="F248" s="7"/>
      <c r="G248" s="7"/>
      <c r="H248" s="7"/>
      <c r="I248" s="82"/>
      <c r="J248" s="7"/>
      <c r="K248" s="7"/>
      <c r="L248" s="7"/>
      <c r="M248" s="7"/>
      <c r="N248" s="7"/>
      <c r="O248" s="7"/>
      <c r="P248" s="7"/>
    </row>
    <row r="249" spans="1:16" ht="18.600000000000001" customHeight="1" x14ac:dyDescent="0.2">
      <c r="A249" s="6">
        <f t="shared" si="41"/>
        <v>5</v>
      </c>
      <c r="B249" s="58"/>
      <c r="C249" s="58"/>
      <c r="D249" s="59"/>
      <c r="E249" s="16"/>
      <c r="F249" s="16"/>
      <c r="G249" s="16"/>
      <c r="H249" s="16"/>
      <c r="I249" s="83"/>
      <c r="J249" s="16"/>
      <c r="K249" s="16"/>
      <c r="L249" s="16"/>
      <c r="M249" s="16"/>
      <c r="N249" s="16"/>
      <c r="O249" s="16"/>
      <c r="P249" s="16"/>
    </row>
    <row r="250" spans="1:16" ht="18.600000000000001" customHeight="1" x14ac:dyDescent="0.2">
      <c r="A250" s="56">
        <f t="shared" si="41"/>
        <v>6</v>
      </c>
      <c r="B250" s="57"/>
      <c r="C250" s="57"/>
      <c r="D250" s="21"/>
      <c r="E250" s="2"/>
      <c r="F250" s="2"/>
      <c r="G250" s="2"/>
      <c r="H250" s="2"/>
      <c r="I250" s="84"/>
      <c r="J250" s="2"/>
      <c r="K250" s="2"/>
      <c r="L250" s="2"/>
      <c r="M250" s="2"/>
      <c r="N250" s="2"/>
      <c r="O250" s="2"/>
      <c r="P250" s="2"/>
    </row>
    <row r="251" spans="1:16" ht="18.600000000000001" customHeight="1" x14ac:dyDescent="0.2">
      <c r="A251" s="6">
        <f t="shared" si="41"/>
        <v>7</v>
      </c>
      <c r="B251" s="26"/>
      <c r="C251" s="26"/>
      <c r="D251" s="22"/>
      <c r="E251" s="4"/>
      <c r="F251" s="4"/>
      <c r="G251" s="4"/>
      <c r="H251" s="4"/>
      <c r="I251" s="85"/>
      <c r="J251" s="4"/>
      <c r="K251" s="4"/>
      <c r="L251" s="4"/>
      <c r="M251" s="4"/>
      <c r="N251" s="4"/>
      <c r="O251" s="4"/>
      <c r="P251" s="4"/>
    </row>
    <row r="252" spans="1:16" ht="18.600000000000001" customHeight="1" x14ac:dyDescent="0.2">
      <c r="A252" s="6">
        <f t="shared" si="41"/>
        <v>8</v>
      </c>
      <c r="B252" s="26"/>
      <c r="C252" s="26"/>
      <c r="D252" s="22"/>
      <c r="E252" s="4"/>
      <c r="F252" s="4"/>
      <c r="G252" s="4"/>
      <c r="H252" s="4"/>
      <c r="I252" s="85"/>
      <c r="J252" s="4"/>
      <c r="K252" s="4"/>
      <c r="L252" s="4"/>
      <c r="M252" s="4"/>
      <c r="N252" s="4"/>
      <c r="O252" s="4"/>
      <c r="P252" s="4"/>
    </row>
    <row r="253" spans="1:16" ht="18.600000000000001" customHeight="1" x14ac:dyDescent="0.2">
      <c r="A253" s="6">
        <f t="shared" si="41"/>
        <v>9</v>
      </c>
      <c r="B253" s="26"/>
      <c r="C253" s="26"/>
      <c r="D253" s="22"/>
      <c r="E253" s="4"/>
      <c r="F253" s="4"/>
      <c r="G253" s="4"/>
      <c r="H253" s="4"/>
      <c r="I253" s="85"/>
      <c r="J253" s="4"/>
      <c r="K253" s="4"/>
      <c r="L253" s="4"/>
      <c r="M253" s="4"/>
      <c r="N253" s="4"/>
      <c r="O253" s="4"/>
      <c r="P253" s="4"/>
    </row>
    <row r="254" spans="1:16" ht="18.600000000000001" customHeight="1" x14ac:dyDescent="0.2">
      <c r="A254" s="10">
        <f t="shared" si="41"/>
        <v>10</v>
      </c>
      <c r="B254" s="62"/>
      <c r="C254" s="62"/>
      <c r="D254" s="23"/>
      <c r="E254" s="12"/>
      <c r="F254" s="12"/>
      <c r="G254" s="12"/>
      <c r="H254" s="12"/>
      <c r="I254" s="86"/>
      <c r="J254" s="12"/>
      <c r="K254" s="12"/>
      <c r="L254" s="12"/>
      <c r="M254" s="12"/>
      <c r="N254" s="12"/>
      <c r="O254" s="12"/>
      <c r="P254" s="12"/>
    </row>
    <row r="255" spans="1:16" ht="18.600000000000001" customHeight="1" x14ac:dyDescent="0.2">
      <c r="A255" s="35">
        <f t="shared" si="41"/>
        <v>11</v>
      </c>
      <c r="B255" s="60"/>
      <c r="C255" s="60"/>
      <c r="D255" s="61"/>
      <c r="E255" s="14"/>
      <c r="F255" s="14"/>
      <c r="G255" s="14"/>
      <c r="H255" s="14"/>
      <c r="I255" s="87"/>
      <c r="J255" s="14"/>
      <c r="K255" s="14"/>
      <c r="L255" s="14"/>
      <c r="M255" s="14"/>
      <c r="N255" s="14"/>
      <c r="O255" s="14"/>
      <c r="P255" s="14"/>
    </row>
    <row r="256" spans="1:16" ht="18.600000000000001" customHeight="1" x14ac:dyDescent="0.2">
      <c r="A256" s="7">
        <f t="shared" si="41"/>
        <v>12</v>
      </c>
      <c r="B256" s="26"/>
      <c r="C256" s="26"/>
      <c r="D256" s="22"/>
      <c r="E256" s="4"/>
      <c r="F256" s="4"/>
      <c r="G256" s="4"/>
      <c r="H256" s="4"/>
      <c r="I256" s="85"/>
      <c r="J256" s="4"/>
      <c r="K256" s="4"/>
      <c r="L256" s="4"/>
      <c r="M256" s="4"/>
      <c r="N256" s="4"/>
      <c r="O256" s="4"/>
      <c r="P256" s="4"/>
    </row>
    <row r="257" spans="1:16" ht="18.600000000000001" customHeight="1" x14ac:dyDescent="0.2">
      <c r="A257" s="7">
        <f t="shared" si="41"/>
        <v>13</v>
      </c>
      <c r="B257" s="26"/>
      <c r="C257" s="26"/>
      <c r="D257" s="22"/>
      <c r="E257" s="4"/>
      <c r="F257" s="4"/>
      <c r="G257" s="4"/>
      <c r="H257" s="4"/>
      <c r="I257" s="85"/>
      <c r="J257" s="4"/>
      <c r="K257" s="4"/>
      <c r="L257" s="4"/>
      <c r="M257" s="4"/>
      <c r="N257" s="4"/>
      <c r="O257" s="4"/>
      <c r="P257" s="4"/>
    </row>
    <row r="258" spans="1:16" ht="18.600000000000001" customHeight="1" x14ac:dyDescent="0.2">
      <c r="A258" s="7">
        <f t="shared" si="41"/>
        <v>14</v>
      </c>
      <c r="B258" s="3"/>
      <c r="C258" s="4"/>
      <c r="D258" s="8"/>
      <c r="E258" s="4"/>
      <c r="F258" s="4"/>
      <c r="G258" s="4"/>
      <c r="H258" s="4"/>
      <c r="I258" s="85"/>
      <c r="J258" s="4"/>
      <c r="K258" s="4"/>
      <c r="L258" s="4"/>
      <c r="M258" s="4"/>
      <c r="N258" s="4"/>
      <c r="O258" s="4"/>
      <c r="P258" s="4"/>
    </row>
    <row r="259" spans="1:16" ht="18.600000000000001" customHeight="1" x14ac:dyDescent="0.2">
      <c r="A259" s="6">
        <f t="shared" si="41"/>
        <v>15</v>
      </c>
      <c r="B259" s="15"/>
      <c r="C259" s="16"/>
      <c r="D259" s="5"/>
      <c r="E259" s="16"/>
      <c r="F259" s="16"/>
      <c r="G259" s="16"/>
      <c r="H259" s="16"/>
      <c r="I259" s="83"/>
      <c r="J259" s="16"/>
      <c r="K259" s="16"/>
      <c r="L259" s="16"/>
      <c r="M259" s="16"/>
      <c r="N259" s="16"/>
      <c r="O259" s="16"/>
      <c r="P259" s="16"/>
    </row>
    <row r="260" spans="1:16" ht="18.600000000000001" customHeight="1" x14ac:dyDescent="0.2">
      <c r="A260" s="32">
        <f t="shared" si="41"/>
        <v>16</v>
      </c>
      <c r="B260" s="1"/>
      <c r="C260" s="2"/>
      <c r="D260" s="33"/>
      <c r="E260" s="2"/>
      <c r="F260" s="2"/>
      <c r="G260" s="2"/>
      <c r="H260" s="2"/>
      <c r="I260" s="84"/>
      <c r="J260" s="2"/>
      <c r="K260" s="2"/>
      <c r="L260" s="2"/>
      <c r="M260" s="2"/>
      <c r="N260" s="2"/>
      <c r="O260" s="2"/>
      <c r="P260" s="2"/>
    </row>
    <row r="261" spans="1:16" ht="18.600000000000001" customHeight="1" x14ac:dyDescent="0.2">
      <c r="A261" s="7">
        <f t="shared" si="41"/>
        <v>17</v>
      </c>
      <c r="B261" s="3"/>
      <c r="C261" s="4"/>
      <c r="D261" s="8"/>
      <c r="E261" s="4"/>
      <c r="F261" s="4"/>
      <c r="G261" s="4"/>
      <c r="H261" s="4"/>
      <c r="I261" s="85"/>
      <c r="J261" s="4"/>
      <c r="K261" s="4"/>
      <c r="L261" s="4"/>
      <c r="M261" s="4"/>
      <c r="N261" s="4"/>
      <c r="O261" s="4"/>
      <c r="P261" s="4"/>
    </row>
    <row r="262" spans="1:16" ht="18.600000000000001" customHeight="1" x14ac:dyDescent="0.2">
      <c r="A262" s="7">
        <f t="shared" si="41"/>
        <v>18</v>
      </c>
      <c r="B262" s="3"/>
      <c r="C262" s="4"/>
      <c r="D262" s="8"/>
      <c r="E262" s="4"/>
      <c r="F262" s="4"/>
      <c r="G262" s="4"/>
      <c r="H262" s="4"/>
      <c r="I262" s="85"/>
      <c r="J262" s="4"/>
      <c r="K262" s="4"/>
      <c r="L262" s="4"/>
      <c r="M262" s="4"/>
      <c r="N262" s="4"/>
      <c r="O262" s="4"/>
      <c r="P262" s="4"/>
    </row>
    <row r="263" spans="1:16" ht="18.600000000000001" customHeight="1" x14ac:dyDescent="0.2">
      <c r="A263" s="7">
        <f t="shared" si="41"/>
        <v>19</v>
      </c>
      <c r="B263" s="3"/>
      <c r="C263" s="4"/>
      <c r="D263" s="8"/>
      <c r="E263" s="4"/>
      <c r="F263" s="4"/>
      <c r="G263" s="4"/>
      <c r="H263" s="4"/>
      <c r="I263" s="85"/>
      <c r="J263" s="4"/>
      <c r="K263" s="4"/>
      <c r="L263" s="4"/>
      <c r="M263" s="4"/>
      <c r="N263" s="4"/>
      <c r="O263" s="4"/>
      <c r="P263" s="4"/>
    </row>
    <row r="264" spans="1:16" ht="18.600000000000001" customHeight="1" x14ac:dyDescent="0.2">
      <c r="A264" s="10">
        <f t="shared" si="41"/>
        <v>20</v>
      </c>
      <c r="B264" s="11"/>
      <c r="C264" s="12"/>
      <c r="D264" s="9"/>
      <c r="E264" s="12"/>
      <c r="F264" s="12"/>
      <c r="G264" s="12"/>
      <c r="H264" s="12"/>
      <c r="I264" s="86"/>
      <c r="J264" s="12"/>
      <c r="K264" s="12"/>
      <c r="L264" s="12"/>
      <c r="M264" s="12"/>
      <c r="N264" s="12"/>
      <c r="O264" s="12"/>
      <c r="P264" s="12"/>
    </row>
    <row r="265" spans="1:16" ht="18.600000000000001" customHeight="1" x14ac:dyDescent="0.2">
      <c r="A265" s="35">
        <f t="shared" si="41"/>
        <v>21</v>
      </c>
      <c r="B265" s="13"/>
      <c r="C265" s="14"/>
      <c r="D265" s="37"/>
      <c r="E265" s="14"/>
      <c r="F265" s="14"/>
      <c r="G265" s="14"/>
      <c r="H265" s="14"/>
      <c r="I265" s="87"/>
      <c r="J265" s="14"/>
      <c r="K265" s="14"/>
      <c r="L265" s="14"/>
      <c r="M265" s="14"/>
      <c r="N265" s="14"/>
      <c r="O265" s="14"/>
      <c r="P265" s="14"/>
    </row>
    <row r="266" spans="1:16" ht="18.600000000000001" customHeight="1" x14ac:dyDescent="0.2">
      <c r="A266" s="7">
        <f t="shared" si="41"/>
        <v>22</v>
      </c>
      <c r="B266" s="3"/>
      <c r="C266" s="4"/>
      <c r="D266" s="8"/>
      <c r="E266" s="4"/>
      <c r="F266" s="4"/>
      <c r="G266" s="4"/>
      <c r="H266" s="4"/>
      <c r="I266" s="85"/>
      <c r="J266" s="4"/>
      <c r="K266" s="4"/>
      <c r="L266" s="4"/>
      <c r="M266" s="4"/>
      <c r="N266" s="4"/>
      <c r="O266" s="4"/>
      <c r="P266" s="4"/>
    </row>
    <row r="267" spans="1:16" ht="18.600000000000001" customHeight="1" x14ac:dyDescent="0.2">
      <c r="A267" s="35">
        <f t="shared" si="41"/>
        <v>23</v>
      </c>
      <c r="B267" s="3"/>
      <c r="C267" s="4"/>
      <c r="D267" s="8"/>
      <c r="E267" s="4"/>
      <c r="F267" s="4"/>
      <c r="G267" s="4"/>
      <c r="H267" s="4"/>
      <c r="I267" s="85"/>
      <c r="J267" s="4"/>
      <c r="K267" s="4"/>
      <c r="L267" s="4"/>
      <c r="M267" s="4"/>
      <c r="N267" s="4"/>
      <c r="O267" s="4"/>
      <c r="P267" s="4"/>
    </row>
    <row r="268" spans="1:16" ht="18.600000000000001" customHeight="1" x14ac:dyDescent="0.2">
      <c r="A268" s="7">
        <f t="shared" si="41"/>
        <v>24</v>
      </c>
      <c r="B268" s="3"/>
      <c r="C268" s="4"/>
      <c r="D268" s="8"/>
      <c r="E268" s="4"/>
      <c r="F268" s="4"/>
      <c r="G268" s="4"/>
      <c r="H268" s="4"/>
      <c r="I268" s="85"/>
      <c r="J268" s="4"/>
      <c r="K268" s="4"/>
      <c r="L268" s="4"/>
      <c r="M268" s="4"/>
      <c r="N268" s="4"/>
      <c r="O268" s="4"/>
      <c r="P268" s="4"/>
    </row>
    <row r="269" spans="1:16" ht="18.600000000000001" customHeight="1" x14ac:dyDescent="0.2">
      <c r="A269" s="35">
        <f t="shared" si="41"/>
        <v>25</v>
      </c>
      <c r="B269" s="11"/>
      <c r="C269" s="12"/>
      <c r="D269" s="9"/>
      <c r="E269" s="12"/>
      <c r="F269" s="12"/>
      <c r="G269" s="12"/>
      <c r="H269" s="12"/>
      <c r="I269" s="86"/>
      <c r="J269" s="12"/>
      <c r="K269" s="12"/>
      <c r="L269" s="12"/>
      <c r="M269" s="12"/>
      <c r="N269" s="12"/>
      <c r="O269" s="12"/>
      <c r="P269" s="12"/>
    </row>
    <row r="270" spans="1:16" ht="18.600000000000001" customHeight="1" x14ac:dyDescent="0.3">
      <c r="A270" s="147"/>
      <c r="B270" s="148"/>
      <c r="C270" s="147"/>
      <c r="D270" s="149"/>
      <c r="E270" s="150">
        <f>SUBTOTAL(9,E245:E269)</f>
        <v>0</v>
      </c>
      <c r="F270" s="152"/>
      <c r="G270" s="150">
        <f t="shared" ref="G270" si="42">SUBTOTAL(9,G245:G269)</f>
        <v>0</v>
      </c>
      <c r="H270" s="152"/>
      <c r="I270" s="150">
        <f t="shared" ref="I270" si="43">SUBTOTAL(9,I245:I269)</f>
        <v>0</v>
      </c>
      <c r="J270" s="152"/>
      <c r="K270" s="152"/>
      <c r="L270" s="152"/>
      <c r="M270" s="150">
        <f t="shared" ref="M270" si="44">SUBTOTAL(9,M245:M269)</f>
        <v>0</v>
      </c>
      <c r="N270" s="152"/>
      <c r="O270" s="150">
        <f t="shared" ref="O270" si="45">SUBTOTAL(9,O245:O269)</f>
        <v>0</v>
      </c>
      <c r="P270" s="152"/>
    </row>
  </sheetData>
  <mergeCells count="104">
    <mergeCell ref="A3:A4"/>
    <mergeCell ref="B3:B4"/>
    <mergeCell ref="R1:S1"/>
    <mergeCell ref="T1:U1"/>
    <mergeCell ref="V1:W1"/>
    <mergeCell ref="X1:Y1"/>
    <mergeCell ref="C3:C4"/>
    <mergeCell ref="D3:D4"/>
    <mergeCell ref="E3:F3"/>
    <mergeCell ref="A1:H1"/>
    <mergeCell ref="R2:S2"/>
    <mergeCell ref="T2:U2"/>
    <mergeCell ref="V2:W2"/>
    <mergeCell ref="X2:Y2"/>
    <mergeCell ref="Z1:AA1"/>
    <mergeCell ref="AB1:AC1"/>
    <mergeCell ref="Z2:AA2"/>
    <mergeCell ref="AB2:AC2"/>
    <mergeCell ref="O3:P3"/>
    <mergeCell ref="G3:H3"/>
    <mergeCell ref="I3:J3"/>
    <mergeCell ref="K3:L3"/>
    <mergeCell ref="M3:N3"/>
    <mergeCell ref="A61:H61"/>
    <mergeCell ref="A63:A64"/>
    <mergeCell ref="B63:B64"/>
    <mergeCell ref="C63:C64"/>
    <mergeCell ref="D63:D64"/>
    <mergeCell ref="E63:F63"/>
    <mergeCell ref="G63:H63"/>
    <mergeCell ref="S9:T9"/>
    <mergeCell ref="A31:H31"/>
    <mergeCell ref="A33:A34"/>
    <mergeCell ref="B33:B34"/>
    <mergeCell ref="C33:C34"/>
    <mergeCell ref="D33:D34"/>
    <mergeCell ref="E33:F33"/>
    <mergeCell ref="G33:H33"/>
    <mergeCell ref="I33:J33"/>
    <mergeCell ref="M33:N33"/>
    <mergeCell ref="O33:P33"/>
    <mergeCell ref="O63:P63"/>
    <mergeCell ref="O93:P93"/>
    <mergeCell ref="A121:H121"/>
    <mergeCell ref="A123:A124"/>
    <mergeCell ref="B123:B124"/>
    <mergeCell ref="C123:C124"/>
    <mergeCell ref="D123:D124"/>
    <mergeCell ref="E123:F123"/>
    <mergeCell ref="G123:H123"/>
    <mergeCell ref="I63:J63"/>
    <mergeCell ref="M63:N63"/>
    <mergeCell ref="O123:P123"/>
    <mergeCell ref="A91:H91"/>
    <mergeCell ref="A93:A94"/>
    <mergeCell ref="B93:B94"/>
    <mergeCell ref="C93:C94"/>
    <mergeCell ref="D93:D94"/>
    <mergeCell ref="E93:F93"/>
    <mergeCell ref="G93:H93"/>
    <mergeCell ref="I93:J93"/>
    <mergeCell ref="M93:N93"/>
    <mergeCell ref="O153:P153"/>
    <mergeCell ref="A181:H181"/>
    <mergeCell ref="A183:A184"/>
    <mergeCell ref="B183:B184"/>
    <mergeCell ref="C183:C184"/>
    <mergeCell ref="D183:D184"/>
    <mergeCell ref="E183:F183"/>
    <mergeCell ref="G183:H183"/>
    <mergeCell ref="I123:J123"/>
    <mergeCell ref="M123:N123"/>
    <mergeCell ref="I183:J183"/>
    <mergeCell ref="M183:N183"/>
    <mergeCell ref="O183:P183"/>
    <mergeCell ref="A151:H151"/>
    <mergeCell ref="A153:A154"/>
    <mergeCell ref="B153:B154"/>
    <mergeCell ref="C153:C154"/>
    <mergeCell ref="D153:D154"/>
    <mergeCell ref="E153:F153"/>
    <mergeCell ref="G153:H153"/>
    <mergeCell ref="I153:J153"/>
    <mergeCell ref="M153:N153"/>
    <mergeCell ref="A211:H211"/>
    <mergeCell ref="A213:A214"/>
    <mergeCell ref="B213:B214"/>
    <mergeCell ref="C213:C214"/>
    <mergeCell ref="D213:D214"/>
    <mergeCell ref="E213:F213"/>
    <mergeCell ref="G213:H213"/>
    <mergeCell ref="I213:J213"/>
    <mergeCell ref="M213:N213"/>
    <mergeCell ref="O213:P213"/>
    <mergeCell ref="I243:J243"/>
    <mergeCell ref="M243:N243"/>
    <mergeCell ref="O243:P243"/>
    <mergeCell ref="A241:H241"/>
    <mergeCell ref="A243:A244"/>
    <mergeCell ref="B243:B244"/>
    <mergeCell ref="C243:C244"/>
    <mergeCell ref="D243:D244"/>
    <mergeCell ref="E243:F243"/>
    <mergeCell ref="G243:H243"/>
  </mergeCells>
  <phoneticPr fontId="6" type="noConversion"/>
  <conditionalFormatting sqref="A1:P4 A5:A12 E5:P12 A13:P29 A30:D30 F30 H30 J30:L30 N30 P30">
    <cfRule type="expression" dxfId="806" priority="329">
      <formula>ISODD(ROW())</formula>
    </cfRule>
  </conditionalFormatting>
  <conditionalFormatting sqref="A2:P4 A5:A17 E5:P17 A18:P29 A30:D30 F30 H30 J30:L30 N30 P30">
    <cfRule type="expression" dxfId="805" priority="357">
      <formula>MOD(ROW(),2)=1</formula>
    </cfRule>
  </conditionalFormatting>
  <conditionalFormatting sqref="A3:P4 A5:A14 E5:P14 A15:P29 A30:D30 F30 H30 J30:L30 N30 P30">
    <cfRule type="expression" dxfId="804" priority="343">
      <formula>-ISODD(ROW())</formula>
    </cfRule>
    <cfRule type="expression" dxfId="803" priority="344">
      <formula>ISOODD(ROW())</formula>
    </cfRule>
  </conditionalFormatting>
  <conditionalFormatting sqref="A31:P59 A60:D60 F60 H60 J60:L60 N60 P60">
    <cfRule type="expression" dxfId="802" priority="286">
      <formula>ISODD(ROW())</formula>
    </cfRule>
  </conditionalFormatting>
  <conditionalFormatting sqref="A32:P34 A35:A47 E35:P47 A48:P59 A60:D60 F60 H60 J60:L60 N60 P60">
    <cfRule type="expression" dxfId="801" priority="314">
      <formula>MOD(ROW(),2)=1</formula>
    </cfRule>
  </conditionalFormatting>
  <conditionalFormatting sqref="A33:P34 A35:A44 E35:P44 A45:P59 A60:D60 F60 H60 J60:L60 N60 P60">
    <cfRule type="expression" dxfId="800" priority="301">
      <formula>ISOODD(ROW())</formula>
    </cfRule>
    <cfRule type="expression" dxfId="799" priority="300">
      <formula>-ISODD(ROW())</formula>
    </cfRule>
  </conditionalFormatting>
  <conditionalFormatting sqref="A61:P89 A90:D90 F90 H90 J90:L90 N90 P90">
    <cfRule type="expression" dxfId="798" priority="239">
      <formula>ISODD(ROW())</formula>
    </cfRule>
  </conditionalFormatting>
  <conditionalFormatting sqref="A62:P64 A65:A77 E65:P77 A78:P89 A90:D90 F90 H90 J90:L90 N90 P90">
    <cfRule type="expression" dxfId="797" priority="267">
      <formula>MOD(ROW(),2)=1</formula>
    </cfRule>
  </conditionalFormatting>
  <conditionalFormatting sqref="A63:P64 A65:A74 E65:P74 A75:P89 A90:D90 F90 H90 J90:L90 N90 P90">
    <cfRule type="expression" dxfId="796" priority="253">
      <formula>-ISODD(ROW())</formula>
    </cfRule>
    <cfRule type="expression" dxfId="795" priority="254">
      <formula>ISOODD(ROW())</formula>
    </cfRule>
  </conditionalFormatting>
  <conditionalFormatting sqref="A91:P119 A120:D120 F120 H120 J120:L120 N120 P120">
    <cfRule type="expression" dxfId="794" priority="201">
      <formula>ISODD(ROW())</formula>
    </cfRule>
  </conditionalFormatting>
  <conditionalFormatting sqref="A92:P94 A95:A107 E95:P107 A108:P119 A120:D120 F120 H120 J120:L120 N120 P120">
    <cfRule type="expression" dxfId="793" priority="229">
      <formula>MOD(ROW(),2)=1</formula>
    </cfRule>
  </conditionalFormatting>
  <conditionalFormatting sqref="A93:P94 A95:A104 E95:P104 A105:P119 A120:D120 F120 H120 J120:L120 N120 P120">
    <cfRule type="expression" dxfId="792" priority="215">
      <formula>-ISODD(ROW())</formula>
    </cfRule>
    <cfRule type="expression" dxfId="791" priority="216">
      <formula>ISOODD(ROW())</formula>
    </cfRule>
  </conditionalFormatting>
  <conditionalFormatting sqref="A121:P149 A150:D150 F150 H150 J150:L150 N150 P150">
    <cfRule type="expression" dxfId="790" priority="163">
      <formula>ISODD(ROW())</formula>
    </cfRule>
  </conditionalFormatting>
  <conditionalFormatting sqref="A122:P124 A125:A137 E125:P137 A138:P149 A150:D150 F150 H150 J150:L150 N150 P150">
    <cfRule type="expression" dxfId="789" priority="191">
      <formula>MOD(ROW(),2)=1</formula>
    </cfRule>
  </conditionalFormatting>
  <conditionalFormatting sqref="A123:P124 A125:A134 E125:P134 A135:P149 A150:D150 F150 H150 J150:L150 N150 P150">
    <cfRule type="expression" dxfId="788" priority="177">
      <formula>-ISODD(ROW())</formula>
    </cfRule>
    <cfRule type="expression" dxfId="787" priority="178">
      <formula>ISOODD(ROW())</formula>
    </cfRule>
  </conditionalFormatting>
  <conditionalFormatting sqref="A151:P179 A180:D180 F180 H180 J180:L180 N180 P180">
    <cfRule type="expression" dxfId="786" priority="124">
      <formula>ISODD(ROW())</formula>
    </cfRule>
  </conditionalFormatting>
  <conditionalFormatting sqref="A152:P154 A155:A167 E155:P167 A168:P179 A180:D180 F180 H180 J180:L180 N180 P180">
    <cfRule type="expression" dxfId="785" priority="152">
      <formula>MOD(ROW(),2)=1</formula>
    </cfRule>
  </conditionalFormatting>
  <conditionalFormatting sqref="A153:P154 A155:A164 E155:P164 A165:P179 A180:D180 F180 H180 J180:L180 N180 P180">
    <cfRule type="expression" dxfId="784" priority="139">
      <formula>ISOODD(ROW())</formula>
    </cfRule>
    <cfRule type="expression" dxfId="783" priority="138">
      <formula>-ISODD(ROW())</formula>
    </cfRule>
  </conditionalFormatting>
  <conditionalFormatting sqref="A181:P209 A210:D210 F210 H210 J210:L210 N210 P210">
    <cfRule type="expression" dxfId="782" priority="86">
      <formula>ISODD(ROW())</formula>
    </cfRule>
  </conditionalFormatting>
  <conditionalFormatting sqref="A182:P184 A185:A197 E185:P197 A198:P209 A210:D210 F210 H210 J210:L210 N210 P210">
    <cfRule type="expression" dxfId="781" priority="114">
      <formula>MOD(ROW(),2)=1</formula>
    </cfRule>
  </conditionalFormatting>
  <conditionalFormatting sqref="A183:P184 A185:A194 E185:P194 A195:P209 A210:D210 F210 H210 J210:L210 N210 P210">
    <cfRule type="expression" dxfId="780" priority="100">
      <formula>-ISODD(ROW())</formula>
    </cfRule>
    <cfRule type="expression" dxfId="779" priority="101">
      <formula>ISOODD(ROW())</formula>
    </cfRule>
  </conditionalFormatting>
  <conditionalFormatting sqref="A211:P239 A240:D240 F240 H240 J240:L240 N240 P240">
    <cfRule type="expression" dxfId="778" priority="48">
      <formula>ISODD(ROW())</formula>
    </cfRule>
  </conditionalFormatting>
  <conditionalFormatting sqref="A212:P214 A215:A227 E215:P227 A228:P239 A240:D240 F240 H240 J240:L240 N240 P240">
    <cfRule type="expression" dxfId="777" priority="76">
      <formula>MOD(ROW(),2)=1</formula>
    </cfRule>
  </conditionalFormatting>
  <conditionalFormatting sqref="A213:P214 A215:A224 E215:P224 A225:P239 A240:D240 F240 H240 J240:L240 N240 P240">
    <cfRule type="expression" dxfId="776" priority="63">
      <formula>ISOODD(ROW())</formula>
    </cfRule>
    <cfRule type="expression" dxfId="775" priority="62">
      <formula>-ISODD(ROW())</formula>
    </cfRule>
  </conditionalFormatting>
  <conditionalFormatting sqref="A241:P269 A270:D270 F270 H270 J270:L270 N270 P270">
    <cfRule type="expression" dxfId="774" priority="10">
      <formula>ISODD(ROW())</formula>
    </cfRule>
  </conditionalFormatting>
  <conditionalFormatting sqref="A242:P244 A245:A257 E245:P257 A258:P269 A270:D270 F270 H270 J270:L270 N270 P270">
    <cfRule type="expression" dxfId="773" priority="38">
      <formula>MOD(ROW(),2)=1</formula>
    </cfRule>
  </conditionalFormatting>
  <conditionalFormatting sqref="A243:P244 A245:A254 E245:P254 A255:P269 A270:D270 F270 H270 J270:L270 N270 P270">
    <cfRule type="expression" dxfId="772" priority="24">
      <formula>-ISODD(ROW())</formula>
    </cfRule>
    <cfRule type="expression" dxfId="771" priority="25">
      <formula>ISOODD(ROW())</formula>
    </cfRule>
  </conditionalFormatting>
  <conditionalFormatting sqref="B13:C14">
    <cfRule type="expression" dxfId="770" priority="330">
      <formula>ISODD(ROW())</formula>
    </cfRule>
    <cfRule type="expression" dxfId="769" priority="335">
      <formula>ISODD(RƠ())</formula>
    </cfRule>
    <cfRule type="expression" dxfId="768" priority="332">
      <formula>ISODD(ROW())</formula>
    </cfRule>
    <cfRule type="expression" dxfId="767" priority="333">
      <formula>ISODD(ROW())</formula>
    </cfRule>
  </conditionalFormatting>
  <conditionalFormatting sqref="B15:C17">
    <cfRule type="expression" dxfId="766" priority="349">
      <formula>ISODD(ROW())</formula>
    </cfRule>
    <cfRule type="expression" dxfId="765" priority="347">
      <formula>ISODD(ROW())</formula>
    </cfRule>
    <cfRule type="expression" dxfId="764" priority="352">
      <formula>ISODD(RƠ())</formula>
    </cfRule>
    <cfRule type="expression" dxfId="763" priority="350">
      <formula>ISODD(ROW())</formula>
    </cfRule>
  </conditionalFormatting>
  <conditionalFormatting sqref="B35:C44">
    <cfRule type="expression" dxfId="762" priority="287">
      <formula>ISODD(ROW())</formula>
    </cfRule>
    <cfRule type="expression" dxfId="761" priority="292">
      <formula>ISODD(RƠ())</formula>
    </cfRule>
    <cfRule type="expression" dxfId="760" priority="290">
      <formula>ISODD(ROW())</formula>
    </cfRule>
    <cfRule type="expression" dxfId="759" priority="289">
      <formula>ISODD(ROW())</formula>
    </cfRule>
  </conditionalFormatting>
  <conditionalFormatting sqref="B45:C47">
    <cfRule type="expression" dxfId="758" priority="306">
      <formula>ISODD(ROW())</formula>
    </cfRule>
    <cfRule type="expression" dxfId="757" priority="307">
      <formula>ISODD(ROW())</formula>
    </cfRule>
    <cfRule type="expression" dxfId="756" priority="304">
      <formula>ISODD(ROW())</formula>
    </cfRule>
    <cfRule type="expression" dxfId="755" priority="309">
      <formula>ISODD(RƠ())</formula>
    </cfRule>
  </conditionalFormatting>
  <conditionalFormatting sqref="B65:C74">
    <cfRule type="expression" dxfId="754" priority="245">
      <formula>ISODD(RƠ())</formula>
    </cfRule>
    <cfRule type="expression" dxfId="753" priority="240">
      <formula>ISODD(ROW())</formula>
    </cfRule>
    <cfRule type="expression" dxfId="752" priority="242">
      <formula>ISODD(ROW())</formula>
    </cfRule>
    <cfRule type="expression" dxfId="751" priority="243">
      <formula>ISODD(ROW())</formula>
    </cfRule>
  </conditionalFormatting>
  <conditionalFormatting sqref="B75:C77">
    <cfRule type="expression" dxfId="750" priority="262">
      <formula>ISODD(RƠ())</formula>
    </cfRule>
    <cfRule type="expression" dxfId="749" priority="260">
      <formula>ISODD(ROW())</formula>
    </cfRule>
    <cfRule type="expression" dxfId="748" priority="259">
      <formula>ISODD(ROW())</formula>
    </cfRule>
    <cfRule type="expression" dxfId="747" priority="257">
      <formula>ISODD(ROW())</formula>
    </cfRule>
  </conditionalFormatting>
  <conditionalFormatting sqref="B95:C104">
    <cfRule type="expression" dxfId="746" priority="202">
      <formula>ISODD(ROW())</formula>
    </cfRule>
    <cfRule type="expression" dxfId="745" priority="204">
      <formula>ISODD(ROW())</formula>
    </cfRule>
    <cfRule type="expression" dxfId="744" priority="207">
      <formula>ISODD(RƠ())</formula>
    </cfRule>
    <cfRule type="expression" dxfId="743" priority="205">
      <formula>ISODD(ROW())</formula>
    </cfRule>
  </conditionalFormatting>
  <conditionalFormatting sqref="B105:C107">
    <cfRule type="expression" dxfId="742" priority="224">
      <formula>ISODD(RƠ())</formula>
    </cfRule>
    <cfRule type="expression" dxfId="741" priority="222">
      <formula>ISODD(ROW())</formula>
    </cfRule>
    <cfRule type="expression" dxfId="740" priority="219">
      <formula>ISODD(ROW())</formula>
    </cfRule>
    <cfRule type="expression" dxfId="739" priority="221">
      <formula>ISODD(ROW())</formula>
    </cfRule>
  </conditionalFormatting>
  <conditionalFormatting sqref="B125:C134">
    <cfRule type="expression" dxfId="738" priority="166">
      <formula>ISODD(ROW())</formula>
    </cfRule>
    <cfRule type="expression" dxfId="737" priority="167">
      <formula>ISODD(ROW())</formula>
    </cfRule>
    <cfRule type="expression" dxfId="736" priority="169">
      <formula>ISODD(RƠ())</formula>
    </cfRule>
    <cfRule type="expression" dxfId="735" priority="164">
      <formula>ISODD(ROW())</formula>
    </cfRule>
  </conditionalFormatting>
  <conditionalFormatting sqref="B135:C137">
    <cfRule type="expression" dxfId="734" priority="183">
      <formula>ISODD(ROW())</formula>
    </cfRule>
    <cfRule type="expression" dxfId="733" priority="186">
      <formula>ISODD(RƠ())</formula>
    </cfRule>
    <cfRule type="expression" dxfId="732" priority="181">
      <formula>ISODD(ROW())</formula>
    </cfRule>
    <cfRule type="expression" dxfId="731" priority="184">
      <formula>ISODD(ROW())</formula>
    </cfRule>
  </conditionalFormatting>
  <conditionalFormatting sqref="B155:C164">
    <cfRule type="expression" dxfId="730" priority="130">
      <formula>ISODD(RƠ())</formula>
    </cfRule>
    <cfRule type="expression" dxfId="729" priority="128">
      <formula>ISODD(ROW())</formula>
    </cfRule>
    <cfRule type="expression" dxfId="728" priority="127">
      <formula>ISODD(ROW())</formula>
    </cfRule>
    <cfRule type="expression" dxfId="727" priority="125">
      <formula>ISODD(ROW())</formula>
    </cfRule>
  </conditionalFormatting>
  <conditionalFormatting sqref="B165:C167">
    <cfRule type="expression" dxfId="726" priority="145">
      <formula>ISODD(ROW())</formula>
    </cfRule>
    <cfRule type="expression" dxfId="725" priority="147">
      <formula>ISODD(RƠ())</formula>
    </cfRule>
    <cfRule type="expression" dxfId="724" priority="142">
      <formula>ISODD(ROW())</formula>
    </cfRule>
    <cfRule type="expression" dxfId="723" priority="144">
      <formula>ISODD(ROW())</formula>
    </cfRule>
  </conditionalFormatting>
  <conditionalFormatting sqref="B185:C194">
    <cfRule type="expression" dxfId="722" priority="87">
      <formula>ISODD(ROW())</formula>
    </cfRule>
    <cfRule type="expression" dxfId="721" priority="90">
      <formula>ISODD(ROW())</formula>
    </cfRule>
    <cfRule type="expression" dxfId="720" priority="92">
      <formula>ISODD(RƠ())</formula>
    </cfRule>
    <cfRule type="expression" dxfId="719" priority="89">
      <formula>ISODD(ROW())</formula>
    </cfRule>
  </conditionalFormatting>
  <conditionalFormatting sqref="B195:C197">
    <cfRule type="expression" dxfId="718" priority="104">
      <formula>ISODD(ROW())</formula>
    </cfRule>
    <cfRule type="expression" dxfId="717" priority="106">
      <formula>ISODD(ROW())</formula>
    </cfRule>
    <cfRule type="expression" dxfId="716" priority="107">
      <formula>ISODD(ROW())</formula>
    </cfRule>
    <cfRule type="expression" dxfId="715" priority="109">
      <formula>ISODD(RƠ())</formula>
    </cfRule>
  </conditionalFormatting>
  <conditionalFormatting sqref="B215:C224">
    <cfRule type="expression" dxfId="714" priority="51">
      <formula>ISODD(ROW())</formula>
    </cfRule>
    <cfRule type="expression" dxfId="713" priority="49">
      <formula>ISODD(ROW())</formula>
    </cfRule>
    <cfRule type="expression" dxfId="712" priority="54">
      <formula>ISODD(RƠ())</formula>
    </cfRule>
    <cfRule type="expression" dxfId="711" priority="52">
      <formula>ISODD(ROW())</formula>
    </cfRule>
  </conditionalFormatting>
  <conditionalFormatting sqref="B225:C227">
    <cfRule type="expression" dxfId="710" priority="71">
      <formula>ISODD(RƠ())</formula>
    </cfRule>
    <cfRule type="expression" dxfId="709" priority="66">
      <formula>ISODD(ROW())</formula>
    </cfRule>
    <cfRule type="expression" dxfId="708" priority="68">
      <formula>ISODD(ROW())</formula>
    </cfRule>
    <cfRule type="expression" dxfId="707" priority="69">
      <formula>ISODD(ROW())</formula>
    </cfRule>
  </conditionalFormatting>
  <conditionalFormatting sqref="B245:C254">
    <cfRule type="expression" dxfId="706" priority="11">
      <formula>ISODD(ROW())</formula>
    </cfRule>
    <cfRule type="expression" dxfId="705" priority="13">
      <formula>ISODD(ROW())</formula>
    </cfRule>
    <cfRule type="expression" dxfId="704" priority="14">
      <formula>ISODD(ROW())</formula>
    </cfRule>
    <cfRule type="expression" dxfId="703" priority="16">
      <formula>ISODD(RƠ())</formula>
    </cfRule>
  </conditionalFormatting>
  <conditionalFormatting sqref="B255:C257">
    <cfRule type="expression" dxfId="702" priority="30">
      <formula>ISODD(ROW())</formula>
    </cfRule>
    <cfRule type="expression" dxfId="701" priority="28">
      <formula>ISODD(ROW())</formula>
    </cfRule>
    <cfRule type="expression" dxfId="700" priority="31">
      <formula>ISODD(ROW())</formula>
    </cfRule>
    <cfRule type="expression" dxfId="699" priority="33">
      <formula>ISODD(RƠ())</formula>
    </cfRule>
  </conditionalFormatting>
  <conditionalFormatting sqref="B13:D14">
    <cfRule type="expression" dxfId="698" priority="331">
      <formula>"IF(A4:A299);ISODD(ROW()))"</formula>
    </cfRule>
    <cfRule type="expression" dxfId="697" priority="334">
      <formula>ISODD(ROW())</formula>
    </cfRule>
    <cfRule type="expression" dxfId="696" priority="336">
      <formula>ISODD(ROW())</formula>
    </cfRule>
  </conditionalFormatting>
  <conditionalFormatting sqref="B13:D17">
    <cfRule type="expression" priority="340">
      <formula>"ISODD(ROW())"</formula>
    </cfRule>
    <cfRule type="expression" priority="338">
      <formula>is(ROW())</formula>
    </cfRule>
    <cfRule type="expression" priority="341">
      <formula>ISODD(ROW())</formula>
    </cfRule>
  </conditionalFormatting>
  <conditionalFormatting sqref="B15:D17">
    <cfRule type="expression" dxfId="695" priority="353">
      <formula>ISODD(ROW())</formula>
    </cfRule>
    <cfRule type="expression" dxfId="694" priority="348">
      <formula>"IF(A4:A299);ISODD(ROW()))"</formula>
    </cfRule>
    <cfRule type="expression" dxfId="693" priority="351">
      <formula>ISODD(ROW())</formula>
    </cfRule>
  </conditionalFormatting>
  <conditionalFormatting sqref="B35:D44">
    <cfRule type="expression" dxfId="692" priority="293">
      <formula>ISODD(ROW())</formula>
    </cfRule>
    <cfRule type="expression" dxfId="691" priority="288">
      <formula>"IF(A4:A299);ISODD(ROW()))"</formula>
    </cfRule>
    <cfRule type="expression" dxfId="690" priority="291">
      <formula>ISODD(ROW())</formula>
    </cfRule>
  </conditionalFormatting>
  <conditionalFormatting sqref="B35:D47">
    <cfRule type="expression" priority="297">
      <formula>"ISODD(ROW())"</formula>
    </cfRule>
    <cfRule type="expression" priority="298">
      <formula>ISODD(ROW())</formula>
    </cfRule>
    <cfRule type="expression" priority="295">
      <formula>is(ROW())</formula>
    </cfRule>
  </conditionalFormatting>
  <conditionalFormatting sqref="B45:D47">
    <cfRule type="expression" dxfId="689" priority="310">
      <formula>ISODD(ROW())</formula>
    </cfRule>
    <cfRule type="expression" dxfId="688" priority="308">
      <formula>ISODD(ROW())</formula>
    </cfRule>
    <cfRule type="expression" dxfId="687" priority="305">
      <formula>"IF(A4:A299);ISODD(ROW()))"</formula>
    </cfRule>
  </conditionalFormatting>
  <conditionalFormatting sqref="B65:D74">
    <cfRule type="expression" dxfId="686" priority="246">
      <formula>ISODD(ROW())</formula>
    </cfRule>
    <cfRule type="expression" dxfId="685" priority="241">
      <formula>"IF(A4:A299);ISODD(ROW()))"</formula>
    </cfRule>
    <cfRule type="expression" dxfId="684" priority="244">
      <formula>ISODD(ROW())</formula>
    </cfRule>
  </conditionalFormatting>
  <conditionalFormatting sqref="B65:D77">
    <cfRule type="expression" priority="248">
      <formula>is(ROW())</formula>
    </cfRule>
    <cfRule type="expression" priority="250">
      <formula>"ISODD(ROW())"</formula>
    </cfRule>
    <cfRule type="expression" priority="251">
      <formula>ISODD(ROW())</formula>
    </cfRule>
  </conditionalFormatting>
  <conditionalFormatting sqref="B75:D77">
    <cfRule type="expression" dxfId="683" priority="258">
      <formula>"IF(A4:A299);ISODD(ROW()))"</formula>
    </cfRule>
    <cfRule type="expression" dxfId="682" priority="261">
      <formula>ISODD(ROW())</formula>
    </cfRule>
    <cfRule type="expression" dxfId="681" priority="263">
      <formula>ISODD(ROW())</formula>
    </cfRule>
  </conditionalFormatting>
  <conditionalFormatting sqref="B95:D104">
    <cfRule type="expression" dxfId="680" priority="203">
      <formula>"IF(A4:A299);ISODD(ROW()))"</formula>
    </cfRule>
    <cfRule type="expression" dxfId="679" priority="206">
      <formula>ISODD(ROW())</formula>
    </cfRule>
    <cfRule type="expression" dxfId="678" priority="208">
      <formula>ISODD(ROW())</formula>
    </cfRule>
  </conditionalFormatting>
  <conditionalFormatting sqref="B95:D107">
    <cfRule type="expression" priority="213">
      <formula>ISODD(ROW())</formula>
    </cfRule>
    <cfRule type="expression" priority="210">
      <formula>is(ROW())</formula>
    </cfRule>
    <cfRule type="expression" priority="212">
      <formula>"ISODD(ROW())"</formula>
    </cfRule>
  </conditionalFormatting>
  <conditionalFormatting sqref="B105:D107">
    <cfRule type="expression" dxfId="677" priority="220">
      <formula>"IF(A4:A299);ISODD(ROW()))"</formula>
    </cfRule>
    <cfRule type="expression" dxfId="676" priority="225">
      <formula>ISODD(ROW())</formula>
    </cfRule>
    <cfRule type="expression" dxfId="675" priority="223">
      <formula>ISODD(ROW())</formula>
    </cfRule>
  </conditionalFormatting>
  <conditionalFormatting sqref="B125:D134">
    <cfRule type="expression" dxfId="674" priority="168">
      <formula>ISODD(ROW())</formula>
    </cfRule>
    <cfRule type="expression" dxfId="673" priority="170">
      <formula>ISODD(ROW())</formula>
    </cfRule>
    <cfRule type="expression" dxfId="672" priority="165">
      <formula>"IF(A4:A299);ISODD(ROW()))"</formula>
    </cfRule>
  </conditionalFormatting>
  <conditionalFormatting sqref="B125:D137">
    <cfRule type="expression" priority="174">
      <formula>"ISODD(ROW())"</formula>
    </cfRule>
    <cfRule type="expression" priority="175">
      <formula>ISODD(ROW())</formula>
    </cfRule>
    <cfRule type="expression" priority="172">
      <formula>is(ROW())</formula>
    </cfRule>
  </conditionalFormatting>
  <conditionalFormatting sqref="B135:D137">
    <cfRule type="expression" dxfId="671" priority="187">
      <formula>ISODD(ROW())</formula>
    </cfRule>
    <cfRule type="expression" dxfId="670" priority="185">
      <formula>ISODD(ROW())</formula>
    </cfRule>
    <cfRule type="expression" dxfId="669" priority="182">
      <formula>"IF(A4:A299);ISODD(ROW()))"</formula>
    </cfRule>
  </conditionalFormatting>
  <conditionalFormatting sqref="B155:D164">
    <cfRule type="expression" dxfId="668" priority="131">
      <formula>ISODD(ROW())</formula>
    </cfRule>
    <cfRule type="expression" dxfId="667" priority="129">
      <formula>ISODD(ROW())</formula>
    </cfRule>
    <cfRule type="expression" dxfId="666" priority="126">
      <formula>"IF(A4:A299);ISODD(ROW()))"</formula>
    </cfRule>
  </conditionalFormatting>
  <conditionalFormatting sqref="B155:D167">
    <cfRule type="expression" priority="136">
      <formula>ISODD(ROW())</formula>
    </cfRule>
    <cfRule type="expression" priority="133">
      <formula>is(ROW())</formula>
    </cfRule>
    <cfRule type="expression" priority="135">
      <formula>"ISODD(ROW())"</formula>
    </cfRule>
  </conditionalFormatting>
  <conditionalFormatting sqref="B165:D167">
    <cfRule type="expression" dxfId="665" priority="148">
      <formula>ISODD(ROW())</formula>
    </cfRule>
    <cfRule type="expression" dxfId="664" priority="143">
      <formula>"IF(A4:A299);ISODD(ROW()))"</formula>
    </cfRule>
    <cfRule type="expression" dxfId="663" priority="146">
      <formula>ISODD(ROW())</formula>
    </cfRule>
  </conditionalFormatting>
  <conditionalFormatting sqref="B185:D194">
    <cfRule type="expression" dxfId="662" priority="88">
      <formula>"IF(A4:A299);ISODD(ROW()))"</formula>
    </cfRule>
    <cfRule type="expression" dxfId="661" priority="91">
      <formula>ISODD(ROW())</formula>
    </cfRule>
    <cfRule type="expression" dxfId="660" priority="93">
      <formula>ISODD(ROW())</formula>
    </cfRule>
  </conditionalFormatting>
  <conditionalFormatting sqref="B185:D197">
    <cfRule type="expression" priority="98">
      <formula>ISODD(ROW())</formula>
    </cfRule>
    <cfRule type="expression" priority="95">
      <formula>is(ROW())</formula>
    </cfRule>
    <cfRule type="expression" priority="97">
      <formula>"ISODD(ROW())"</formula>
    </cfRule>
  </conditionalFormatting>
  <conditionalFormatting sqref="B195:D197">
    <cfRule type="expression" dxfId="659" priority="105">
      <formula>"IF(A4:A299);ISODD(ROW()))"</formula>
    </cfRule>
    <cfRule type="expression" dxfId="658" priority="108">
      <formula>ISODD(ROW())</formula>
    </cfRule>
    <cfRule type="expression" dxfId="657" priority="110">
      <formula>ISODD(ROW())</formula>
    </cfRule>
  </conditionalFormatting>
  <conditionalFormatting sqref="B215:D224">
    <cfRule type="expression" dxfId="656" priority="53">
      <formula>ISODD(ROW())</formula>
    </cfRule>
    <cfRule type="expression" dxfId="655" priority="50">
      <formula>"IF(A4:A299);ISODD(ROW()))"</formula>
    </cfRule>
    <cfRule type="expression" dxfId="654" priority="55">
      <formula>ISODD(ROW())</formula>
    </cfRule>
  </conditionalFormatting>
  <conditionalFormatting sqref="B215:D227">
    <cfRule type="expression" priority="59">
      <formula>"ISODD(ROW())"</formula>
    </cfRule>
    <cfRule type="expression" priority="60">
      <formula>ISODD(ROW())</formula>
    </cfRule>
    <cfRule type="expression" priority="57">
      <formula>is(ROW())</formula>
    </cfRule>
  </conditionalFormatting>
  <conditionalFormatting sqref="B225:D227">
    <cfRule type="expression" dxfId="653" priority="72">
      <formula>ISODD(ROW())</formula>
    </cfRule>
    <cfRule type="expression" dxfId="652" priority="70">
      <formula>ISODD(ROW())</formula>
    </cfRule>
    <cfRule type="expression" dxfId="651" priority="67">
      <formula>"IF(A4:A299);ISODD(ROW()))"</formula>
    </cfRule>
  </conditionalFormatting>
  <conditionalFormatting sqref="B245:D254">
    <cfRule type="expression" dxfId="650" priority="17">
      <formula>ISODD(ROW())</formula>
    </cfRule>
    <cfRule type="expression" dxfId="649" priority="15">
      <formula>ISODD(ROW())</formula>
    </cfRule>
    <cfRule type="expression" dxfId="648" priority="12">
      <formula>"IF(A4:A299);ISODD(ROW()))"</formula>
    </cfRule>
  </conditionalFormatting>
  <conditionalFormatting sqref="B245:D257">
    <cfRule type="expression" priority="19">
      <formula>is(ROW())</formula>
    </cfRule>
    <cfRule type="expression" priority="22">
      <formula>ISODD(ROW())</formula>
    </cfRule>
    <cfRule type="expression" priority="21">
      <formula>"ISODD(ROW())"</formula>
    </cfRule>
  </conditionalFormatting>
  <conditionalFormatting sqref="B255:D257">
    <cfRule type="expression" dxfId="647" priority="32">
      <formula>ISODD(ROW())</formula>
    </cfRule>
    <cfRule type="expression" dxfId="646" priority="29">
      <formula>"IF(A4:A299);ISODD(ROW()))"</formula>
    </cfRule>
    <cfRule type="expression" dxfId="645" priority="34">
      <formula>ISODD(ROW())</formula>
    </cfRule>
  </conditionalFormatting>
  <conditionalFormatting sqref="D13:D14">
    <cfRule type="expression" dxfId="644" priority="337">
      <formula>ISODD(ROW())</formula>
    </cfRule>
    <cfRule type="expression" dxfId="643" priority="339">
      <formula>ISODD(ROW())</formula>
    </cfRule>
    <cfRule type="expression" dxfId="642" priority="342">
      <formula>ISODD(RƠ())</formula>
    </cfRule>
  </conditionalFormatting>
  <conditionalFormatting sqref="D15:D17">
    <cfRule type="expression" dxfId="641" priority="354">
      <formula>ISODD(ROW())</formula>
    </cfRule>
    <cfRule type="expression" dxfId="640" priority="355">
      <formula>ISODD(ROW())</formula>
    </cfRule>
    <cfRule type="expression" dxfId="639" priority="356">
      <formula>ISODD(RƠ())</formula>
    </cfRule>
  </conditionalFormatting>
  <conditionalFormatting sqref="D35:D44">
    <cfRule type="expression" dxfId="638" priority="296">
      <formula>ISODD(ROW())</formula>
    </cfRule>
    <cfRule type="expression" dxfId="637" priority="294">
      <formula>ISODD(ROW())</formula>
    </cfRule>
    <cfRule type="expression" dxfId="636" priority="299">
      <formula>ISODD(RƠ())</formula>
    </cfRule>
  </conditionalFormatting>
  <conditionalFormatting sqref="D45:D47">
    <cfRule type="expression" dxfId="635" priority="312">
      <formula>ISODD(ROW())</formula>
    </cfRule>
    <cfRule type="expression" dxfId="634" priority="313">
      <formula>ISODD(RƠ())</formula>
    </cfRule>
    <cfRule type="expression" dxfId="633" priority="311">
      <formula>ISODD(ROW())</formula>
    </cfRule>
  </conditionalFormatting>
  <conditionalFormatting sqref="D65:D74">
    <cfRule type="expression" dxfId="632" priority="247">
      <formula>ISODD(ROW())</formula>
    </cfRule>
    <cfRule type="expression" dxfId="631" priority="249">
      <formula>ISODD(ROW())</formula>
    </cfRule>
    <cfRule type="expression" dxfId="630" priority="252">
      <formula>ISODD(RƠ())</formula>
    </cfRule>
  </conditionalFormatting>
  <conditionalFormatting sqref="D75:D77">
    <cfRule type="expression" dxfId="629" priority="266">
      <formula>ISODD(RƠ())</formula>
    </cfRule>
    <cfRule type="expression" dxfId="628" priority="265">
      <formula>ISODD(ROW())</formula>
    </cfRule>
    <cfRule type="expression" dxfId="627" priority="264">
      <formula>ISODD(ROW())</formula>
    </cfRule>
  </conditionalFormatting>
  <conditionalFormatting sqref="D95:D104">
    <cfRule type="expression" dxfId="626" priority="214">
      <formula>ISODD(RƠ())</formula>
    </cfRule>
    <cfRule type="expression" dxfId="625" priority="209">
      <formula>ISODD(ROW())</formula>
    </cfRule>
    <cfRule type="expression" dxfId="624" priority="211">
      <formula>ISODD(ROW())</formula>
    </cfRule>
  </conditionalFormatting>
  <conditionalFormatting sqref="D105:D107">
    <cfRule type="expression" dxfId="623" priority="226">
      <formula>ISODD(ROW())</formula>
    </cfRule>
    <cfRule type="expression" dxfId="622" priority="228">
      <formula>ISODD(RƠ())</formula>
    </cfRule>
    <cfRule type="expression" dxfId="621" priority="227">
      <formula>ISODD(ROW())</formula>
    </cfRule>
  </conditionalFormatting>
  <conditionalFormatting sqref="D125:D134">
    <cfRule type="expression" dxfId="620" priority="173">
      <formula>ISODD(ROW())</formula>
    </cfRule>
    <cfRule type="expression" dxfId="619" priority="171">
      <formula>ISODD(ROW())</formula>
    </cfRule>
    <cfRule type="expression" dxfId="618" priority="176">
      <formula>ISODD(RƠ())</formula>
    </cfRule>
  </conditionalFormatting>
  <conditionalFormatting sqref="D135:D137">
    <cfRule type="expression" dxfId="617" priority="189">
      <formula>ISODD(ROW())</formula>
    </cfRule>
    <cfRule type="expression" dxfId="616" priority="188">
      <formula>ISODD(ROW())</formula>
    </cfRule>
    <cfRule type="expression" dxfId="615" priority="190">
      <formula>ISODD(RƠ())</formula>
    </cfRule>
  </conditionalFormatting>
  <conditionalFormatting sqref="D155:D164">
    <cfRule type="expression" dxfId="614" priority="137">
      <formula>ISODD(RƠ())</formula>
    </cfRule>
    <cfRule type="expression" dxfId="613" priority="134">
      <formula>ISODD(ROW())</formula>
    </cfRule>
    <cfRule type="expression" dxfId="612" priority="132">
      <formula>ISODD(ROW())</formula>
    </cfRule>
  </conditionalFormatting>
  <conditionalFormatting sqref="D165:D167">
    <cfRule type="expression" dxfId="611" priority="151">
      <formula>ISODD(RƠ())</formula>
    </cfRule>
    <cfRule type="expression" dxfId="610" priority="150">
      <formula>ISODD(ROW())</formula>
    </cfRule>
    <cfRule type="expression" dxfId="609" priority="149">
      <formula>ISODD(ROW())</formula>
    </cfRule>
  </conditionalFormatting>
  <conditionalFormatting sqref="D185:D194">
    <cfRule type="expression" dxfId="608" priority="94">
      <formula>ISODD(ROW())</formula>
    </cfRule>
    <cfRule type="expression" dxfId="607" priority="99">
      <formula>ISODD(RƠ())</formula>
    </cfRule>
    <cfRule type="expression" dxfId="606" priority="96">
      <formula>ISODD(ROW())</formula>
    </cfRule>
  </conditionalFormatting>
  <conditionalFormatting sqref="D195:D197">
    <cfRule type="expression" dxfId="605" priority="113">
      <formula>ISODD(RƠ())</formula>
    </cfRule>
    <cfRule type="expression" dxfId="604" priority="112">
      <formula>ISODD(ROW())</formula>
    </cfRule>
    <cfRule type="expression" dxfId="603" priority="111">
      <formula>ISODD(ROW())</formula>
    </cfRule>
  </conditionalFormatting>
  <conditionalFormatting sqref="D215:D224">
    <cfRule type="expression" dxfId="602" priority="61">
      <formula>ISODD(RƠ())</formula>
    </cfRule>
    <cfRule type="expression" dxfId="601" priority="58">
      <formula>ISODD(ROW())</formula>
    </cfRule>
    <cfRule type="expression" dxfId="600" priority="56">
      <formula>ISODD(ROW())</formula>
    </cfRule>
  </conditionalFormatting>
  <conditionalFormatting sqref="D225:D227">
    <cfRule type="expression" dxfId="599" priority="74">
      <formula>ISODD(ROW())</formula>
    </cfRule>
    <cfRule type="expression" dxfId="598" priority="75">
      <formula>ISODD(RƠ())</formula>
    </cfRule>
    <cfRule type="expression" dxfId="597" priority="73">
      <formula>ISODD(ROW())</formula>
    </cfRule>
  </conditionalFormatting>
  <conditionalFormatting sqref="D245:D254">
    <cfRule type="expression" dxfId="596" priority="23">
      <formula>ISODD(RƠ())</formula>
    </cfRule>
    <cfRule type="expression" dxfId="595" priority="18">
      <formula>ISODD(ROW())</formula>
    </cfRule>
    <cfRule type="expression" dxfId="594" priority="20">
      <formula>ISODD(ROW())</formula>
    </cfRule>
  </conditionalFormatting>
  <conditionalFormatting sqref="D255:D257">
    <cfRule type="expression" dxfId="593" priority="35">
      <formula>ISODD(ROW())</formula>
    </cfRule>
    <cfRule type="expression" dxfId="592" priority="37">
      <formula>ISODD(RƠ())</formula>
    </cfRule>
    <cfRule type="expression" dxfId="591" priority="36">
      <formula>ISODD(ROW())</formula>
    </cfRule>
  </conditionalFormatting>
  <conditionalFormatting sqref="E30 G30 I30 M30 O30">
    <cfRule type="expression" dxfId="590" priority="325">
      <formula>ISODD(ROW())</formula>
    </cfRule>
    <cfRule type="expression" priority="326">
      <formula>"ISODD(ROW())"</formula>
    </cfRule>
    <cfRule type="expression" dxfId="589" priority="321">
      <formula>ISODD(ROW())</formula>
    </cfRule>
    <cfRule type="expression" dxfId="588" priority="320">
      <formula>"IF(A4:A299);ISODD(ROW()))"</formula>
    </cfRule>
    <cfRule type="expression" priority="327">
      <formula>ISODD(ROW())</formula>
    </cfRule>
    <cfRule type="expression" dxfId="587" priority="328">
      <formula>ISODD(RƠ())</formula>
    </cfRule>
    <cfRule type="expression" dxfId="586" priority="323">
      <formula>ISODD(ROW())</formula>
    </cfRule>
    <cfRule type="expression" dxfId="585" priority="322">
      <formula>ISODD(ROW())</formula>
    </cfRule>
    <cfRule type="expression" priority="324">
      <formula>is(ROW())</formula>
    </cfRule>
  </conditionalFormatting>
  <conditionalFormatting sqref="E60 G60 I60 M60 O60">
    <cfRule type="expression" dxfId="584" priority="282">
      <formula>ISODD(ROW())</formula>
    </cfRule>
    <cfRule type="expression" priority="284">
      <formula>ISODD(ROW())</formula>
    </cfRule>
    <cfRule type="expression" dxfId="583" priority="278">
      <formula>ISODD(ROW())</formula>
    </cfRule>
    <cfRule type="expression" priority="283">
      <formula>"ISODD(ROW())"</formula>
    </cfRule>
    <cfRule type="expression" dxfId="582" priority="279">
      <formula>ISODD(ROW())</formula>
    </cfRule>
    <cfRule type="expression" priority="281">
      <formula>is(ROW())</formula>
    </cfRule>
    <cfRule type="expression" dxfId="581" priority="277">
      <formula>"IF(A4:A299);ISODD(ROW()))"</formula>
    </cfRule>
    <cfRule type="expression" dxfId="580" priority="280">
      <formula>ISODD(ROW())</formula>
    </cfRule>
    <cfRule type="expression" dxfId="579" priority="285">
      <formula>ISODD(RƠ())</formula>
    </cfRule>
  </conditionalFormatting>
  <conditionalFormatting sqref="E90 G90 I90 M90 O90">
    <cfRule type="expression" priority="236">
      <formula>"ISODD(ROW())"</formula>
    </cfRule>
    <cfRule type="expression" dxfId="578" priority="238">
      <formula>ISODD(RƠ())</formula>
    </cfRule>
    <cfRule type="expression" priority="237">
      <formula>ISODD(ROW())</formula>
    </cfRule>
    <cfRule type="expression" dxfId="577" priority="235">
      <formula>ISODD(ROW())</formula>
    </cfRule>
    <cfRule type="expression" priority="234">
      <formula>is(ROW())</formula>
    </cfRule>
    <cfRule type="expression" dxfId="576" priority="233">
      <formula>ISODD(ROW())</formula>
    </cfRule>
    <cfRule type="expression" dxfId="575" priority="232">
      <formula>ISODD(ROW())</formula>
    </cfRule>
    <cfRule type="expression" dxfId="574" priority="231">
      <formula>ISODD(ROW())</formula>
    </cfRule>
    <cfRule type="expression" dxfId="573" priority="230">
      <formula>"IF(A4:A299);ISODD(ROW()))"</formula>
    </cfRule>
  </conditionalFormatting>
  <conditionalFormatting sqref="E120 G120 I120 M120 O120">
    <cfRule type="expression" priority="196">
      <formula>is(ROW())</formula>
    </cfRule>
    <cfRule type="expression" dxfId="572" priority="192">
      <formula>"IF(A4:A299);ISODD(ROW()))"</formula>
    </cfRule>
    <cfRule type="expression" dxfId="571" priority="193">
      <formula>ISODD(ROW())</formula>
    </cfRule>
    <cfRule type="expression" dxfId="570" priority="194">
      <formula>ISODD(ROW())</formula>
    </cfRule>
    <cfRule type="expression" dxfId="569" priority="195">
      <formula>ISODD(ROW())</formula>
    </cfRule>
    <cfRule type="expression" dxfId="568" priority="197">
      <formula>ISODD(ROW())</formula>
    </cfRule>
    <cfRule type="expression" priority="198">
      <formula>"ISODD(ROW())"</formula>
    </cfRule>
    <cfRule type="expression" priority="199">
      <formula>ISODD(ROW())</formula>
    </cfRule>
    <cfRule type="expression" dxfId="567" priority="200">
      <formula>ISODD(RƠ())</formula>
    </cfRule>
  </conditionalFormatting>
  <conditionalFormatting sqref="E150 G150 I150 M150 O150">
    <cfRule type="expression" priority="161">
      <formula>ISODD(ROW())</formula>
    </cfRule>
    <cfRule type="expression" dxfId="566" priority="155">
      <formula>ISODD(ROW())</formula>
    </cfRule>
    <cfRule type="expression" dxfId="565" priority="156">
      <formula>ISODD(ROW())</formula>
    </cfRule>
    <cfRule type="expression" priority="158">
      <formula>is(ROW())</formula>
    </cfRule>
    <cfRule type="expression" dxfId="564" priority="162">
      <formula>ISODD(RƠ())</formula>
    </cfRule>
    <cfRule type="expression" priority="160">
      <formula>"ISODD(ROW())"</formula>
    </cfRule>
    <cfRule type="expression" dxfId="563" priority="159">
      <formula>ISODD(ROW())</formula>
    </cfRule>
    <cfRule type="expression" dxfId="562" priority="154">
      <formula>"IF(A4:A299);ISODD(ROW()))"</formula>
    </cfRule>
    <cfRule type="expression" dxfId="561" priority="157">
      <formula>ISODD(ROW())</formula>
    </cfRule>
  </conditionalFormatting>
  <conditionalFormatting sqref="E180 G180 I180 M180 O180">
    <cfRule type="expression" dxfId="560" priority="116">
      <formula>ISODD(ROW())</formula>
    </cfRule>
    <cfRule type="expression" dxfId="559" priority="118">
      <formula>ISODD(ROW())</formula>
    </cfRule>
    <cfRule type="expression" dxfId="558" priority="115">
      <formula>"IF(A4:A299);ISODD(ROW()))"</formula>
    </cfRule>
    <cfRule type="expression" dxfId="557" priority="117">
      <formula>ISODD(ROW())</formula>
    </cfRule>
    <cfRule type="expression" priority="121">
      <formula>"ISODD(ROW())"</formula>
    </cfRule>
    <cfRule type="expression" dxfId="556" priority="123">
      <formula>ISODD(RƠ())</formula>
    </cfRule>
    <cfRule type="expression" priority="122">
      <formula>ISODD(ROW())</formula>
    </cfRule>
    <cfRule type="expression" priority="119">
      <formula>is(ROW())</formula>
    </cfRule>
    <cfRule type="expression" dxfId="555" priority="120">
      <formula>ISODD(ROW())</formula>
    </cfRule>
  </conditionalFormatting>
  <conditionalFormatting sqref="E210 G210 I210 M210 O210">
    <cfRule type="expression" dxfId="554" priority="79">
      <formula>ISODD(ROW())</formula>
    </cfRule>
    <cfRule type="expression" dxfId="553" priority="85">
      <formula>ISODD(RƠ())</formula>
    </cfRule>
    <cfRule type="expression" priority="84">
      <formula>ISODD(ROW())</formula>
    </cfRule>
    <cfRule type="expression" priority="83">
      <formula>"ISODD(ROW())"</formula>
    </cfRule>
    <cfRule type="expression" dxfId="552" priority="82">
      <formula>ISODD(ROW())</formula>
    </cfRule>
    <cfRule type="expression" priority="81">
      <formula>is(ROW())</formula>
    </cfRule>
    <cfRule type="expression" dxfId="551" priority="80">
      <formula>ISODD(ROW())</formula>
    </cfRule>
    <cfRule type="expression" dxfId="550" priority="78">
      <formula>ISODD(ROW())</formula>
    </cfRule>
    <cfRule type="expression" dxfId="549" priority="77">
      <formula>"IF(A4:A299);ISODD(ROW()))"</formula>
    </cfRule>
  </conditionalFormatting>
  <conditionalFormatting sqref="E240 G240 I240 M240 O240">
    <cfRule type="expression" priority="45">
      <formula>"ISODD(ROW())"</formula>
    </cfRule>
    <cfRule type="expression" dxfId="548" priority="39">
      <formula>"IF(A4:A299);ISODD(ROW()))"</formula>
    </cfRule>
    <cfRule type="expression" dxfId="547" priority="40">
      <formula>ISODD(ROW())</formula>
    </cfRule>
    <cfRule type="expression" dxfId="546" priority="41">
      <formula>ISODD(ROW())</formula>
    </cfRule>
    <cfRule type="expression" dxfId="545" priority="42">
      <formula>ISODD(ROW())</formula>
    </cfRule>
    <cfRule type="expression" priority="43">
      <formula>is(ROW())</formula>
    </cfRule>
    <cfRule type="expression" dxfId="544" priority="44">
      <formula>ISODD(ROW())</formula>
    </cfRule>
    <cfRule type="expression" priority="46">
      <formula>ISODD(ROW())</formula>
    </cfRule>
    <cfRule type="expression" dxfId="543" priority="47">
      <formula>ISODD(RƠ())</formula>
    </cfRule>
  </conditionalFormatting>
  <conditionalFormatting sqref="E270 G270 I270 M270 O270">
    <cfRule type="expression" dxfId="542" priority="9">
      <formula>ISODD(RƠ())</formula>
    </cfRule>
    <cfRule type="expression" priority="8">
      <formula>ISODD(ROW())</formula>
    </cfRule>
    <cfRule type="expression" dxfId="541" priority="1">
      <formula>"IF(A4:A299);ISODD(ROW()))"</formula>
    </cfRule>
    <cfRule type="expression" dxfId="540" priority="2">
      <formula>ISODD(ROW())</formula>
    </cfRule>
    <cfRule type="expression" dxfId="539" priority="4">
      <formula>ISODD(ROW())</formula>
    </cfRule>
    <cfRule type="expression" dxfId="538" priority="3">
      <formula>ISODD(ROW())</formula>
    </cfRule>
    <cfRule type="expression" priority="7">
      <formula>"ISODD(ROW())"</formula>
    </cfRule>
    <cfRule type="expression" dxfId="537" priority="6">
      <formula>ISODD(ROW())</formula>
    </cfRule>
    <cfRule type="expression" priority="5">
      <formula>is(ROW())</formula>
    </cfRule>
  </conditionalFormatting>
  <conditionalFormatting sqref="E5:P14 A3:P4 A5:A14 A15:P29 A30:D30 F30 H30 J30:L30 N30 P30">
    <cfRule type="expression" dxfId="536" priority="346">
      <formula>ISODD(ROW())</formula>
    </cfRule>
  </conditionalFormatting>
  <conditionalFormatting sqref="E35:P44 A33:P34 A35:A44 A45:P59 A60:D60 F60 H60 J60:L60 N60 P60">
    <cfRule type="expression" dxfId="535" priority="303">
      <formula>ISODD(ROW())</formula>
    </cfRule>
  </conditionalFormatting>
  <conditionalFormatting sqref="E65:P74 A63:P64 A65:A74 A75:P89 A90:D90 F90 H90 J90:L90 N90 P90">
    <cfRule type="expression" dxfId="534" priority="256">
      <formula>ISODD(ROW())</formula>
    </cfRule>
  </conditionalFormatting>
  <conditionalFormatting sqref="E95:P104 A93:P94 A95:A104 A105:P119 A120:D120 F120 H120 J120:L120 N120 P120">
    <cfRule type="expression" dxfId="533" priority="218">
      <formula>ISODD(ROW())</formula>
    </cfRule>
  </conditionalFormatting>
  <conditionalFormatting sqref="E125:P134 A123:P124 A125:A134 A135:P149 A150:D150 F150 H150 J150:L150 N150 P150">
    <cfRule type="expression" dxfId="532" priority="180">
      <formula>ISODD(ROW())</formula>
    </cfRule>
  </conditionalFormatting>
  <conditionalFormatting sqref="E155:P164 A153:P154 A155:A164 A165:P179 A180:D180 F180 H180 J180:L180 N180 P180">
    <cfRule type="expression" dxfId="531" priority="141">
      <formula>ISODD(ROW())</formula>
    </cfRule>
  </conditionalFormatting>
  <conditionalFormatting sqref="E185:P194 A183:P184 A185:A194 A195:P209 A210:D210 F210 H210 J210:L210 N210 P210">
    <cfRule type="expression" dxfId="530" priority="103">
      <formula>ISODD(ROW())</formula>
    </cfRule>
  </conditionalFormatting>
  <conditionalFormatting sqref="E215:P224 A213:P214 A215:A224 A225:P239 A240:D240 F240 H240 J240:L240 N240 P240">
    <cfRule type="expression" dxfId="529" priority="65">
      <formula>ISODD(ROW())</formula>
    </cfRule>
  </conditionalFormatting>
  <conditionalFormatting sqref="E245:P254 A243:P244 A245:A254 A255:P269 A270:D270 F270 H270 J270:L270 N270 P270">
    <cfRule type="expression" dxfId="528" priority="27">
      <formula>ISODD(ROW())</formula>
    </cfRule>
  </conditionalFormatting>
  <conditionalFormatting sqref="I14">
    <cfRule type="expression" dxfId="527" priority="345">
      <formula>ISODD(ROW())</formula>
    </cfRule>
  </conditionalFormatting>
  <conditionalFormatting sqref="I44">
    <cfRule type="expression" dxfId="526" priority="302">
      <formula>ISODD(ROW())</formula>
    </cfRule>
  </conditionalFormatting>
  <conditionalFormatting sqref="I74">
    <cfRule type="expression" dxfId="525" priority="255">
      <formula>ISODD(ROW())</formula>
    </cfRule>
  </conditionalFormatting>
  <conditionalFormatting sqref="I104">
    <cfRule type="expression" dxfId="524" priority="217">
      <formula>ISODD(ROW())</formula>
    </cfRule>
  </conditionalFormatting>
  <conditionalFormatting sqref="I134">
    <cfRule type="expression" dxfId="523" priority="179">
      <formula>ISODD(ROW())</formula>
    </cfRule>
  </conditionalFormatting>
  <conditionalFormatting sqref="I164">
    <cfRule type="expression" dxfId="522" priority="140">
      <formula>ISODD(ROW())</formula>
    </cfRule>
  </conditionalFormatting>
  <conditionalFormatting sqref="I194">
    <cfRule type="expression" dxfId="521" priority="102">
      <formula>ISODD(ROW())</formula>
    </cfRule>
  </conditionalFormatting>
  <conditionalFormatting sqref="I224">
    <cfRule type="expression" dxfId="520" priority="64">
      <formula>ISODD(ROW())</formula>
    </cfRule>
  </conditionalFormatting>
  <conditionalFormatting sqref="I254">
    <cfRule type="expression" dxfId="519" priority="26">
      <formula>ISODD(ROW())</formula>
    </cfRule>
  </conditionalFormatting>
  <conditionalFormatting sqref="R15:X16 R17 T17:X17">
    <cfRule type="expression" priority="153">
      <formula>"ISODD(RƠ())"</formula>
    </cfRule>
  </conditionalFormatting>
  <conditionalFormatting sqref="R1:AC1">
    <cfRule type="expression" dxfId="518" priority="318">
      <formula>ISODD(ROW())</formula>
    </cfRule>
    <cfRule type="expression" dxfId="517" priority="317">
      <formula>ISOODD(ROW())</formula>
    </cfRule>
    <cfRule type="expression" dxfId="516" priority="316">
      <formula>-ISODD(ROW())</formula>
    </cfRule>
    <cfRule type="expression" dxfId="515" priority="315">
      <formula>ISODD(ROW())</formula>
    </cfRule>
    <cfRule type="expression" dxfId="514" priority="319">
      <formula>MOD(ROW(),2)=1</formula>
    </cfRule>
  </conditionalFormatting>
  <conditionalFormatting sqref="T2 V2 X2 Z2 R2:R3">
    <cfRule type="expression" dxfId="513" priority="270">
      <formula>ISODD(ROW())</formula>
    </cfRule>
    <cfRule type="expression" dxfId="512" priority="268">
      <formula>"IF(A4:A299);ISODD(ROW()))"</formula>
    </cfRule>
    <cfRule type="expression" priority="272">
      <formula>is(ROW())</formula>
    </cfRule>
    <cfRule type="expression" priority="274">
      <formula>"ISODD(ROW())"</formula>
    </cfRule>
    <cfRule type="expression" priority="275">
      <formula>ISODD(ROW())</formula>
    </cfRule>
    <cfRule type="expression" dxfId="511" priority="276">
      <formula>ISODD(RƠ())</formula>
    </cfRule>
    <cfRule type="expression" dxfId="510" priority="271">
      <formula>ISODD(ROW())</formula>
    </cfRule>
    <cfRule type="expression" dxfId="509" priority="273">
      <formula>ISODD(ROW())</formula>
    </cfRule>
    <cfRule type="expression" dxfId="508" priority="269">
      <formula>ISODD(ROW())</formula>
    </cfRule>
  </conditionalFormatting>
  <pageMargins left="0.45" right="0" top="0.25" bottom="0.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2FDB-8C4A-4690-9025-8CFDE5AF4F81}">
  <dimension ref="A1:R3"/>
  <sheetViews>
    <sheetView workbookViewId="0">
      <selection activeCell="P11" sqref="P11"/>
    </sheetView>
  </sheetViews>
  <sheetFormatPr defaultRowHeight="14.25" x14ac:dyDescent="0.2"/>
  <cols>
    <col min="1" max="1" width="5.5" customWidth="1"/>
    <col min="2" max="2" width="21.125" customWidth="1"/>
    <col min="3" max="3" width="9.875" customWidth="1"/>
    <col min="4" max="4" width="14.5" customWidth="1"/>
    <col min="15" max="15" width="13.125" customWidth="1"/>
  </cols>
  <sheetData>
    <row r="1" spans="1:18" ht="22.5" x14ac:dyDescent="0.3">
      <c r="A1" s="421" t="s">
        <v>398</v>
      </c>
      <c r="B1" s="421"/>
      <c r="C1" s="421"/>
      <c r="D1" s="421"/>
      <c r="E1" s="421"/>
      <c r="F1" s="421"/>
      <c r="G1" s="422"/>
      <c r="H1" s="423"/>
      <c r="I1" s="423"/>
      <c r="J1" s="423"/>
      <c r="K1" s="423"/>
      <c r="L1" s="422"/>
      <c r="M1" s="18"/>
      <c r="N1" s="45" t="s">
        <v>393</v>
      </c>
      <c r="O1" s="43" t="s">
        <v>394</v>
      </c>
      <c r="P1" s="18"/>
      <c r="Q1" s="18"/>
      <c r="R1" s="18"/>
    </row>
    <row r="2" spans="1:18" ht="18.75" x14ac:dyDescent="0.3">
      <c r="A2" s="18"/>
      <c r="B2" s="18"/>
      <c r="C2" s="18"/>
      <c r="D2" s="18"/>
      <c r="E2" s="20"/>
      <c r="F2" s="20"/>
      <c r="G2" s="42"/>
      <c r="H2" s="44"/>
      <c r="I2" s="44"/>
      <c r="J2" s="44"/>
      <c r="K2" s="44"/>
      <c r="L2" s="42"/>
      <c r="M2" s="18"/>
      <c r="N2" s="45">
        <v>0</v>
      </c>
      <c r="O2" s="43">
        <v>350</v>
      </c>
      <c r="P2" s="18"/>
      <c r="Q2" s="18"/>
      <c r="R2" s="18"/>
    </row>
    <row r="3" spans="1:18" ht="18.75" x14ac:dyDescent="0.3">
      <c r="A3" s="51" t="s">
        <v>374</v>
      </c>
      <c r="B3" s="52" t="s">
        <v>375</v>
      </c>
      <c r="C3" s="52" t="s">
        <v>376</v>
      </c>
      <c r="D3" s="51" t="s">
        <v>377</v>
      </c>
      <c r="E3" s="51" t="s">
        <v>378</v>
      </c>
      <c r="F3" s="51" t="s">
        <v>379</v>
      </c>
      <c r="G3" s="53" t="s">
        <v>386</v>
      </c>
      <c r="H3" s="53" t="s">
        <v>387</v>
      </c>
      <c r="I3" s="53" t="s">
        <v>388</v>
      </c>
      <c r="J3" s="53" t="s">
        <v>389</v>
      </c>
      <c r="K3" s="53" t="s">
        <v>390</v>
      </c>
      <c r="L3" s="53" t="s">
        <v>392</v>
      </c>
    </row>
  </sheetData>
  <mergeCells count="1">
    <mergeCell ref="A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AF83-75F3-47BD-B752-DB0EE8E83A72}">
  <dimension ref="A1:AC270"/>
  <sheetViews>
    <sheetView topLeftCell="A143" workbookViewId="0">
      <selection sqref="A1:XFD270"/>
    </sheetView>
  </sheetViews>
  <sheetFormatPr defaultRowHeight="18.600000000000001" customHeight="1" x14ac:dyDescent="0.2"/>
  <cols>
    <col min="1" max="1" width="4" customWidth="1"/>
    <col min="2" max="2" width="21.5" customWidth="1"/>
    <col min="4" max="4" width="13.125" customWidth="1"/>
    <col min="5" max="8" width="7.875" customWidth="1"/>
    <col min="9" max="9" width="7.875" style="88" customWidth="1"/>
    <col min="10" max="16" width="7.875" customWidth="1"/>
  </cols>
  <sheetData>
    <row r="1" spans="1:29" ht="18.600000000000001" customHeight="1" x14ac:dyDescent="0.2">
      <c r="A1" s="434" t="s">
        <v>973</v>
      </c>
      <c r="B1" s="434"/>
      <c r="C1" s="434"/>
      <c r="D1" s="434"/>
      <c r="E1" s="434"/>
      <c r="F1" s="434"/>
      <c r="G1" s="434"/>
      <c r="H1" s="434"/>
      <c r="I1" s="92">
        <v>1</v>
      </c>
      <c r="J1" s="48"/>
      <c r="K1" s="48"/>
      <c r="L1" s="48"/>
      <c r="M1" s="41"/>
      <c r="N1" s="41"/>
      <c r="O1" s="41"/>
      <c r="P1" s="41"/>
      <c r="R1" s="440" t="s">
        <v>497</v>
      </c>
      <c r="S1" s="441"/>
      <c r="T1" s="440" t="s">
        <v>498</v>
      </c>
      <c r="U1" s="441"/>
      <c r="V1" s="440" t="s">
        <v>417</v>
      </c>
      <c r="W1" s="441"/>
      <c r="X1" s="440" t="s">
        <v>418</v>
      </c>
      <c r="Y1" s="441"/>
      <c r="Z1" s="440" t="s">
        <v>972</v>
      </c>
      <c r="AA1" s="441"/>
      <c r="AB1" s="438" t="s">
        <v>748</v>
      </c>
      <c r="AC1" s="439"/>
    </row>
    <row r="2" spans="1:29" ht="18.600000000000001" customHeight="1" x14ac:dyDescent="0.2">
      <c r="A2" s="28"/>
      <c r="B2" s="29"/>
      <c r="C2" s="30"/>
      <c r="D2" s="36"/>
      <c r="E2" s="28"/>
      <c r="F2" s="28"/>
      <c r="G2" s="28"/>
      <c r="H2" s="28"/>
      <c r="I2" s="79"/>
      <c r="J2" s="28"/>
      <c r="K2" s="28"/>
      <c r="L2" s="28"/>
      <c r="M2" s="28"/>
      <c r="N2" s="28"/>
      <c r="O2" s="28"/>
      <c r="P2" s="28"/>
      <c r="R2" s="442">
        <f>SUBTOTAL(9,G5:G60)</f>
        <v>0</v>
      </c>
      <c r="S2" s="443"/>
      <c r="T2" s="442">
        <f>SUBTOTAL(9,I5:I60)</f>
        <v>2</v>
      </c>
      <c r="U2" s="443"/>
      <c r="V2" s="442">
        <f>SUBTOTAL(9,K5:K60)</f>
        <v>0</v>
      </c>
      <c r="W2" s="443"/>
      <c r="X2" s="442">
        <f t="shared" ref="X2" si="0">SUBTOTAL(9,M5:M60)</f>
        <v>0</v>
      </c>
      <c r="Y2" s="443"/>
      <c r="Z2" s="442">
        <f>SUBTOTAL(9,O5:O60)</f>
        <v>0</v>
      </c>
      <c r="AA2" s="443"/>
      <c r="AB2" s="444">
        <f>SUM(R2:Z2)</f>
        <v>2</v>
      </c>
      <c r="AC2" s="444"/>
    </row>
    <row r="3" spans="1:29" ht="18.600000000000001" customHeight="1" x14ac:dyDescent="0.3">
      <c r="A3" s="435" t="s">
        <v>374</v>
      </c>
      <c r="B3" s="435" t="s">
        <v>380</v>
      </c>
      <c r="C3" s="435" t="s">
        <v>383</v>
      </c>
      <c r="D3" s="437" t="s">
        <v>384</v>
      </c>
      <c r="E3" s="438" t="s">
        <v>385</v>
      </c>
      <c r="F3" s="439"/>
      <c r="G3" s="432" t="str">
        <f>$R$1</f>
        <v>Đợt 1</v>
      </c>
      <c r="H3" s="433"/>
      <c r="I3" s="432" t="str">
        <f>$T$1</f>
        <v>Đợt 2</v>
      </c>
      <c r="J3" s="433"/>
      <c r="K3" s="432" t="str">
        <f>$V$1</f>
        <v>Đợt 3</v>
      </c>
      <c r="L3" s="433"/>
      <c r="M3" s="432" t="str">
        <f>$X$1</f>
        <v>Đợt 4</v>
      </c>
      <c r="N3" s="433"/>
      <c r="O3" s="432" t="str">
        <f>$Z$1</f>
        <v>Đợt 5</v>
      </c>
      <c r="P3" s="433"/>
      <c r="R3" s="89"/>
      <c r="S3" s="90"/>
    </row>
    <row r="4" spans="1:29" ht="18.600000000000001" customHeight="1" x14ac:dyDescent="0.2">
      <c r="A4" s="436"/>
      <c r="B4" s="436"/>
      <c r="C4" s="436"/>
      <c r="D4" s="436"/>
      <c r="E4" s="31" t="s">
        <v>381</v>
      </c>
      <c r="F4" s="31" t="s">
        <v>382</v>
      </c>
      <c r="G4" s="31" t="s">
        <v>381</v>
      </c>
      <c r="H4" s="31" t="s">
        <v>382</v>
      </c>
      <c r="I4" s="80" t="s">
        <v>381</v>
      </c>
      <c r="J4" s="31" t="s">
        <v>382</v>
      </c>
      <c r="K4" s="80" t="s">
        <v>381</v>
      </c>
      <c r="L4" s="31" t="s">
        <v>382</v>
      </c>
      <c r="M4" s="31" t="s">
        <v>381</v>
      </c>
      <c r="N4" s="31" t="s">
        <v>382</v>
      </c>
      <c r="O4" s="31" t="s">
        <v>381</v>
      </c>
      <c r="P4" s="31" t="s">
        <v>382</v>
      </c>
    </row>
    <row r="5" spans="1:29" ht="18.600000000000001" customHeight="1" x14ac:dyDescent="0.2">
      <c r="A5" s="32">
        <v>1</v>
      </c>
      <c r="B5" s="26"/>
      <c r="C5" s="26"/>
      <c r="D5" s="22"/>
      <c r="E5" s="32"/>
      <c r="F5" s="34"/>
      <c r="G5" s="32"/>
      <c r="H5" s="34"/>
      <c r="I5" s="81"/>
      <c r="J5" s="34"/>
      <c r="K5" s="34"/>
      <c r="L5" s="34"/>
      <c r="M5" s="32"/>
      <c r="N5" s="34"/>
      <c r="O5" s="32"/>
      <c r="P5" s="34"/>
    </row>
    <row r="6" spans="1:29" ht="18.600000000000001" customHeight="1" x14ac:dyDescent="0.2">
      <c r="A6" s="7">
        <f t="shared" ref="A6:A29" si="1">A5+1</f>
        <v>2</v>
      </c>
      <c r="B6" s="26"/>
      <c r="C6" s="26"/>
      <c r="D6" s="22"/>
      <c r="E6" s="7"/>
      <c r="F6" s="7"/>
      <c r="G6" s="7"/>
      <c r="H6" s="7"/>
      <c r="I6" s="82"/>
      <c r="J6" s="7"/>
      <c r="K6" s="7"/>
      <c r="L6" s="7"/>
      <c r="M6" s="7"/>
      <c r="N6" s="7"/>
      <c r="O6" s="7"/>
      <c r="P6" s="7"/>
    </row>
    <row r="7" spans="1:29" ht="18.600000000000001" customHeight="1" x14ac:dyDescent="0.2">
      <c r="A7" s="7">
        <f t="shared" si="1"/>
        <v>3</v>
      </c>
      <c r="B7" s="26"/>
      <c r="C7" s="26"/>
      <c r="D7" s="22"/>
      <c r="E7" s="7"/>
      <c r="F7" s="7"/>
      <c r="G7" s="7"/>
      <c r="H7" s="7"/>
      <c r="I7" s="82"/>
      <c r="J7" s="7"/>
      <c r="K7" s="7"/>
      <c r="L7" s="7"/>
      <c r="M7" s="7"/>
      <c r="N7" s="7"/>
      <c r="O7" s="7"/>
      <c r="P7" s="7"/>
    </row>
    <row r="8" spans="1:29" ht="18.600000000000001" customHeight="1" x14ac:dyDescent="0.2">
      <c r="A8" s="7">
        <f t="shared" si="1"/>
        <v>4</v>
      </c>
      <c r="B8" s="26"/>
      <c r="C8" s="26"/>
      <c r="D8" s="22"/>
      <c r="E8" s="7"/>
      <c r="F8" s="7"/>
      <c r="G8" s="7"/>
      <c r="H8" s="7"/>
      <c r="I8" s="82"/>
      <c r="J8" s="7"/>
      <c r="K8" s="7"/>
      <c r="L8" s="7"/>
      <c r="M8" s="7"/>
      <c r="N8" s="7"/>
      <c r="O8" s="7"/>
      <c r="P8" s="7"/>
      <c r="Z8" s="91"/>
    </row>
    <row r="9" spans="1:29" ht="18.600000000000001" customHeight="1" x14ac:dyDescent="0.3">
      <c r="A9" s="6">
        <f t="shared" si="1"/>
        <v>5</v>
      </c>
      <c r="B9" s="58"/>
      <c r="C9" s="58"/>
      <c r="D9" s="59"/>
      <c r="E9" s="16"/>
      <c r="F9" s="16"/>
      <c r="G9" s="16"/>
      <c r="H9" s="16"/>
      <c r="I9" s="83"/>
      <c r="J9" s="16"/>
      <c r="K9" s="16"/>
      <c r="L9" s="16"/>
      <c r="M9" s="16"/>
      <c r="N9" s="16"/>
      <c r="O9" s="16"/>
      <c r="P9" s="16"/>
      <c r="R9" s="18"/>
      <c r="S9" s="431" t="s">
        <v>403</v>
      </c>
      <c r="T9" s="431"/>
      <c r="U9" s="18"/>
      <c r="V9" s="18"/>
      <c r="W9" s="18"/>
      <c r="X9" s="18"/>
    </row>
    <row r="10" spans="1:29" ht="18.600000000000001" customHeight="1" x14ac:dyDescent="0.3">
      <c r="A10" s="56">
        <f t="shared" si="1"/>
        <v>6</v>
      </c>
      <c r="B10" s="57"/>
      <c r="C10" s="57"/>
      <c r="D10" s="21"/>
      <c r="E10" s="2"/>
      <c r="F10" s="2"/>
      <c r="G10" s="2"/>
      <c r="H10" s="2"/>
      <c r="I10" s="84"/>
      <c r="J10" s="2"/>
      <c r="K10" s="2"/>
      <c r="L10" s="2"/>
      <c r="M10" s="2"/>
      <c r="N10" s="2"/>
      <c r="O10" s="2"/>
      <c r="P10" s="2"/>
      <c r="R10" s="18">
        <v>1</v>
      </c>
      <c r="S10" s="18" t="s">
        <v>404</v>
      </c>
      <c r="T10" s="18"/>
      <c r="U10" s="18"/>
      <c r="V10" s="18"/>
      <c r="W10" s="18"/>
      <c r="X10" s="18"/>
    </row>
    <row r="11" spans="1:29" ht="18.600000000000001" customHeight="1" x14ac:dyDescent="0.3">
      <c r="A11" s="6">
        <f t="shared" si="1"/>
        <v>7</v>
      </c>
      <c r="B11" s="26"/>
      <c r="C11" s="26"/>
      <c r="D11" s="22"/>
      <c r="E11" s="4"/>
      <c r="F11" s="4"/>
      <c r="G11" s="4"/>
      <c r="H11" s="4"/>
      <c r="I11" s="85"/>
      <c r="J11" s="4"/>
      <c r="K11" s="4"/>
      <c r="L11" s="4"/>
      <c r="M11" s="4"/>
      <c r="N11" s="4"/>
      <c r="O11" s="4"/>
      <c r="P11" s="4"/>
      <c r="R11" s="18">
        <v>2</v>
      </c>
      <c r="S11" s="18" t="s">
        <v>405</v>
      </c>
      <c r="T11" s="18"/>
      <c r="U11" s="18"/>
      <c r="V11" s="18"/>
      <c r="W11" s="18"/>
      <c r="X11" s="18"/>
    </row>
    <row r="12" spans="1:29" ht="18.600000000000001" customHeight="1" x14ac:dyDescent="0.3">
      <c r="A12" s="6">
        <f t="shared" si="1"/>
        <v>8</v>
      </c>
      <c r="B12" s="26"/>
      <c r="C12" s="26"/>
      <c r="D12" s="22"/>
      <c r="E12" s="4"/>
      <c r="F12" s="4"/>
      <c r="G12" s="4"/>
      <c r="H12" s="4"/>
      <c r="I12" s="85"/>
      <c r="J12" s="4"/>
      <c r="K12" s="4"/>
      <c r="L12" s="4"/>
      <c r="M12" s="4"/>
      <c r="N12" s="4"/>
      <c r="O12" s="4"/>
      <c r="P12" s="4"/>
      <c r="R12" s="18">
        <v>3</v>
      </c>
      <c r="S12" s="18" t="s">
        <v>406</v>
      </c>
      <c r="T12" s="18"/>
      <c r="U12" s="18"/>
      <c r="V12" s="18"/>
      <c r="W12" s="18"/>
      <c r="X12" s="18"/>
    </row>
    <row r="13" spans="1:29" ht="18.600000000000001" customHeight="1" x14ac:dyDescent="0.3">
      <c r="A13" s="6">
        <f t="shared" si="1"/>
        <v>9</v>
      </c>
      <c r="B13" s="26"/>
      <c r="C13" s="26"/>
      <c r="D13" s="22"/>
      <c r="E13" s="4"/>
      <c r="F13" s="4"/>
      <c r="G13" s="4"/>
      <c r="H13" s="4"/>
      <c r="I13" s="85"/>
      <c r="J13" s="4"/>
      <c r="K13" s="4"/>
      <c r="L13" s="4"/>
      <c r="M13" s="4"/>
      <c r="N13" s="4"/>
      <c r="O13" s="4"/>
      <c r="P13" s="4"/>
      <c r="R13" s="18">
        <v>4</v>
      </c>
      <c r="S13" s="18" t="s">
        <v>407</v>
      </c>
      <c r="T13" s="18"/>
      <c r="U13" s="18"/>
      <c r="V13" s="18"/>
      <c r="W13" s="18"/>
      <c r="X13" s="18"/>
    </row>
    <row r="14" spans="1:29" ht="18.600000000000001" customHeight="1" x14ac:dyDescent="0.3">
      <c r="A14" s="10">
        <f t="shared" si="1"/>
        <v>10</v>
      </c>
      <c r="B14" s="62"/>
      <c r="C14" s="62"/>
      <c r="D14" s="23"/>
      <c r="E14" s="12"/>
      <c r="F14" s="12"/>
      <c r="G14" s="12"/>
      <c r="H14" s="12"/>
      <c r="I14" s="86"/>
      <c r="J14" s="12"/>
      <c r="K14" s="12"/>
      <c r="L14" s="12"/>
      <c r="M14" s="12"/>
      <c r="N14" s="12"/>
      <c r="O14" s="12"/>
      <c r="P14" s="12"/>
      <c r="R14" s="18">
        <v>5</v>
      </c>
      <c r="S14" s="18" t="s">
        <v>408</v>
      </c>
      <c r="T14" s="18"/>
      <c r="U14" s="18"/>
      <c r="V14" s="18"/>
      <c r="W14" s="18"/>
      <c r="X14" s="18"/>
    </row>
    <row r="15" spans="1:29" ht="18.600000000000001" customHeight="1" x14ac:dyDescent="0.2">
      <c r="A15" s="35">
        <f t="shared" si="1"/>
        <v>11</v>
      </c>
      <c r="B15" s="60"/>
      <c r="C15" s="60"/>
      <c r="D15" s="61"/>
      <c r="E15" s="14"/>
      <c r="F15" s="14"/>
      <c r="G15" s="14"/>
      <c r="H15" s="14"/>
      <c r="I15" s="87"/>
      <c r="J15" s="14"/>
      <c r="K15" s="14"/>
      <c r="L15" s="14"/>
      <c r="M15" s="14"/>
      <c r="N15" s="14"/>
      <c r="O15" s="14"/>
      <c r="P15" s="14"/>
    </row>
    <row r="16" spans="1:29" ht="18.600000000000001" customHeight="1" x14ac:dyDescent="0.2">
      <c r="A16" s="7">
        <f t="shared" si="1"/>
        <v>12</v>
      </c>
      <c r="B16" s="26"/>
      <c r="C16" s="26"/>
      <c r="D16" s="22"/>
      <c r="E16" s="4"/>
      <c r="F16" s="4"/>
      <c r="G16" s="4"/>
      <c r="H16" s="4"/>
      <c r="I16" s="85"/>
      <c r="J16" s="4"/>
      <c r="K16" s="4"/>
      <c r="L16" s="4"/>
      <c r="M16" s="4"/>
      <c r="N16" s="4"/>
      <c r="O16" s="4"/>
      <c r="P16" s="4"/>
    </row>
    <row r="17" spans="1:19" ht="18.600000000000001" customHeight="1" x14ac:dyDescent="0.3">
      <c r="A17" s="7">
        <f t="shared" si="1"/>
        <v>13</v>
      </c>
      <c r="B17" s="26"/>
      <c r="C17" s="26"/>
      <c r="D17" s="22"/>
      <c r="E17" s="4"/>
      <c r="F17" s="4"/>
      <c r="G17" s="4"/>
      <c r="H17" s="4"/>
      <c r="I17" s="85"/>
      <c r="J17" s="4"/>
      <c r="K17" s="4"/>
      <c r="L17" s="4"/>
      <c r="M17" s="4"/>
      <c r="N17" s="4"/>
      <c r="O17" s="4"/>
      <c r="P17" s="4"/>
      <c r="S17" s="18" t="s">
        <v>856</v>
      </c>
    </row>
    <row r="18" spans="1:19" ht="18.600000000000001" customHeight="1" x14ac:dyDescent="0.2">
      <c r="A18" s="7">
        <f t="shared" si="1"/>
        <v>14</v>
      </c>
      <c r="B18" s="3"/>
      <c r="C18" s="4"/>
      <c r="D18" s="8"/>
      <c r="E18" s="4"/>
      <c r="F18" s="4"/>
      <c r="G18" s="4"/>
      <c r="H18" s="4"/>
      <c r="I18" s="85"/>
      <c r="J18" s="4"/>
      <c r="K18" s="4"/>
      <c r="L18" s="4"/>
      <c r="M18" s="4"/>
      <c r="N18" s="4"/>
      <c r="O18" s="4"/>
      <c r="P18" s="4"/>
    </row>
    <row r="19" spans="1:19" ht="18.600000000000001" customHeight="1" x14ac:dyDescent="0.2">
      <c r="A19" s="6">
        <f t="shared" si="1"/>
        <v>15</v>
      </c>
      <c r="B19" s="15"/>
      <c r="C19" s="16"/>
      <c r="D19" s="5"/>
      <c r="E19" s="16"/>
      <c r="F19" s="16"/>
      <c r="G19" s="16"/>
      <c r="H19" s="16"/>
      <c r="I19" s="83"/>
      <c r="J19" s="16"/>
      <c r="K19" s="16"/>
      <c r="L19" s="16"/>
      <c r="M19" s="16"/>
      <c r="N19" s="16"/>
      <c r="O19" s="16"/>
      <c r="P19" s="16"/>
    </row>
    <row r="20" spans="1:19" ht="18.600000000000001" customHeight="1" x14ac:dyDescent="0.2">
      <c r="A20" s="32">
        <f t="shared" si="1"/>
        <v>16</v>
      </c>
      <c r="B20" s="1"/>
      <c r="C20" s="2"/>
      <c r="D20" s="33"/>
      <c r="E20" s="2"/>
      <c r="F20" s="2"/>
      <c r="G20" s="2"/>
      <c r="H20" s="2"/>
      <c r="I20" s="84"/>
      <c r="J20" s="2"/>
      <c r="K20" s="2"/>
      <c r="L20" s="2"/>
      <c r="M20" s="2"/>
      <c r="N20" s="2"/>
      <c r="O20" s="2"/>
      <c r="P20" s="2"/>
    </row>
    <row r="21" spans="1:19" ht="18.600000000000001" customHeight="1" x14ac:dyDescent="0.2">
      <c r="A21" s="7">
        <f t="shared" si="1"/>
        <v>17</v>
      </c>
      <c r="B21" s="3"/>
      <c r="C21" s="4"/>
      <c r="D21" s="8"/>
      <c r="E21" s="4"/>
      <c r="F21" s="4"/>
      <c r="G21" s="4"/>
      <c r="H21" s="4"/>
      <c r="I21" s="85"/>
      <c r="J21" s="4"/>
      <c r="K21" s="4"/>
      <c r="L21" s="4"/>
      <c r="M21" s="4"/>
      <c r="N21" s="4"/>
      <c r="O21" s="4"/>
      <c r="P21" s="4"/>
    </row>
    <row r="22" spans="1:19" ht="18.600000000000001" customHeight="1" x14ac:dyDescent="0.2">
      <c r="A22" s="7">
        <f t="shared" si="1"/>
        <v>18</v>
      </c>
      <c r="B22" s="3"/>
      <c r="C22" s="4"/>
      <c r="D22" s="8"/>
      <c r="E22" s="4"/>
      <c r="F22" s="4"/>
      <c r="G22" s="4"/>
      <c r="H22" s="4"/>
      <c r="I22" s="85"/>
      <c r="J22" s="4"/>
      <c r="K22" s="4"/>
      <c r="L22" s="4"/>
      <c r="M22" s="4"/>
      <c r="N22" s="4"/>
      <c r="O22" s="4"/>
      <c r="P22" s="4"/>
    </row>
    <row r="23" spans="1:19" ht="18.600000000000001" customHeight="1" x14ac:dyDescent="0.2">
      <c r="A23" s="7">
        <f t="shared" si="1"/>
        <v>19</v>
      </c>
      <c r="B23" s="3"/>
      <c r="C23" s="4"/>
      <c r="D23" s="8"/>
      <c r="E23" s="4"/>
      <c r="F23" s="4"/>
      <c r="G23" s="4"/>
      <c r="H23" s="4"/>
      <c r="I23" s="85"/>
      <c r="J23" s="4"/>
      <c r="K23" s="4"/>
      <c r="L23" s="4"/>
      <c r="M23" s="4"/>
      <c r="N23" s="4"/>
      <c r="O23" s="4"/>
      <c r="P23" s="4"/>
    </row>
    <row r="24" spans="1:19" ht="18.600000000000001" customHeight="1" x14ac:dyDescent="0.2">
      <c r="A24" s="10">
        <f t="shared" si="1"/>
        <v>20</v>
      </c>
      <c r="B24" s="11"/>
      <c r="C24" s="12"/>
      <c r="D24" s="9"/>
      <c r="E24" s="12"/>
      <c r="F24" s="12"/>
      <c r="G24" s="12"/>
      <c r="H24" s="12"/>
      <c r="I24" s="86"/>
      <c r="J24" s="12"/>
      <c r="K24" s="12"/>
      <c r="L24" s="12"/>
      <c r="M24" s="12"/>
      <c r="N24" s="12"/>
      <c r="O24" s="12"/>
      <c r="P24" s="12"/>
    </row>
    <row r="25" spans="1:19" ht="18.600000000000001" customHeight="1" x14ac:dyDescent="0.2">
      <c r="A25" s="35">
        <f t="shared" si="1"/>
        <v>21</v>
      </c>
      <c r="B25" s="13"/>
      <c r="C25" s="14"/>
      <c r="D25" s="37"/>
      <c r="E25" s="14"/>
      <c r="F25" s="14"/>
      <c r="G25" s="14"/>
      <c r="H25" s="14"/>
      <c r="I25" s="87"/>
      <c r="J25" s="14"/>
      <c r="K25" s="14"/>
      <c r="L25" s="14"/>
      <c r="M25" s="14"/>
      <c r="N25" s="14"/>
      <c r="O25" s="14"/>
      <c r="P25" s="14"/>
    </row>
    <row r="26" spans="1:19" ht="18.600000000000001" customHeight="1" x14ac:dyDescent="0.2">
      <c r="A26" s="7">
        <f t="shared" si="1"/>
        <v>22</v>
      </c>
      <c r="B26" s="3"/>
      <c r="C26" s="4"/>
      <c r="D26" s="8"/>
      <c r="E26" s="4"/>
      <c r="F26" s="4"/>
      <c r="G26" s="4"/>
      <c r="H26" s="4"/>
      <c r="I26" s="85"/>
      <c r="J26" s="4"/>
      <c r="K26" s="4"/>
      <c r="L26" s="4"/>
      <c r="M26" s="4"/>
      <c r="N26" s="4"/>
      <c r="O26" s="4"/>
      <c r="P26" s="4"/>
    </row>
    <row r="27" spans="1:19" ht="18.600000000000001" customHeight="1" x14ac:dyDescent="0.2">
      <c r="A27" s="35">
        <f t="shared" si="1"/>
        <v>23</v>
      </c>
      <c r="B27" s="3"/>
      <c r="C27" s="4"/>
      <c r="D27" s="8"/>
      <c r="E27" s="4"/>
      <c r="F27" s="4"/>
      <c r="G27" s="4"/>
      <c r="H27" s="4"/>
      <c r="I27" s="85"/>
      <c r="J27" s="4"/>
      <c r="K27" s="4"/>
      <c r="L27" s="4"/>
      <c r="M27" s="4"/>
      <c r="N27" s="4"/>
      <c r="O27" s="4"/>
      <c r="P27" s="4"/>
    </row>
    <row r="28" spans="1:19" ht="18.600000000000001" customHeight="1" x14ac:dyDescent="0.2">
      <c r="A28" s="7">
        <f t="shared" si="1"/>
        <v>24</v>
      </c>
      <c r="B28" s="3"/>
      <c r="C28" s="4"/>
      <c r="D28" s="8"/>
      <c r="E28" s="4"/>
      <c r="F28" s="4"/>
      <c r="G28" s="4"/>
      <c r="H28" s="4"/>
      <c r="I28" s="85"/>
      <c r="J28" s="4"/>
      <c r="K28" s="4"/>
      <c r="L28" s="4"/>
      <c r="M28" s="4"/>
      <c r="N28" s="4"/>
      <c r="O28" s="4"/>
      <c r="P28" s="4"/>
    </row>
    <row r="29" spans="1:19" ht="18.600000000000001" customHeight="1" x14ac:dyDescent="0.2">
      <c r="A29" s="35">
        <f t="shared" si="1"/>
        <v>25</v>
      </c>
      <c r="B29" s="11"/>
      <c r="C29" s="12"/>
      <c r="D29" s="9"/>
      <c r="E29" s="12"/>
      <c r="F29" s="12"/>
      <c r="G29" s="12"/>
      <c r="H29" s="12"/>
      <c r="I29" s="86"/>
      <c r="J29" s="12"/>
      <c r="K29" s="12"/>
      <c r="L29" s="12"/>
      <c r="M29" s="12"/>
      <c r="N29" s="12"/>
      <c r="O29" s="12"/>
      <c r="P29" s="12"/>
    </row>
    <row r="30" spans="1:19" ht="18.600000000000001" customHeight="1" x14ac:dyDescent="0.3">
      <c r="A30" s="147"/>
      <c r="B30" s="148"/>
      <c r="C30" s="147"/>
      <c r="D30" s="149"/>
      <c r="E30" s="150">
        <f>SUBTOTAL(9,E5:E29)</f>
        <v>0</v>
      </c>
      <c r="F30" s="151"/>
      <c r="G30" s="150">
        <f t="shared" ref="G30" si="2">SUBTOTAL(9,G5:G29)</f>
        <v>0</v>
      </c>
      <c r="H30" s="151"/>
      <c r="I30" s="150">
        <f t="shared" ref="I30" si="3">SUBTOTAL(9,I5:I29)</f>
        <v>0</v>
      </c>
      <c r="J30" s="151"/>
      <c r="K30" s="151"/>
      <c r="L30" s="151"/>
      <c r="M30" s="150">
        <f t="shared" ref="M30" si="4">SUBTOTAL(9,M5:M29)</f>
        <v>0</v>
      </c>
      <c r="N30" s="151"/>
      <c r="O30" s="150">
        <f t="shared" ref="O30" si="5">SUBTOTAL(9,O5:O29)</f>
        <v>0</v>
      </c>
      <c r="P30" s="151"/>
    </row>
    <row r="31" spans="1:19" ht="18.600000000000001" customHeight="1" x14ac:dyDescent="0.2">
      <c r="A31" s="434" t="str">
        <f>A1</f>
        <v>DANH SÁCH LỚP 2</v>
      </c>
      <c r="B31" s="434"/>
      <c r="C31" s="434"/>
      <c r="D31" s="434"/>
      <c r="E31" s="434"/>
      <c r="F31" s="434"/>
      <c r="G31" s="434"/>
      <c r="H31" s="434"/>
      <c r="I31" s="92">
        <v>2</v>
      </c>
      <c r="J31" s="48"/>
      <c r="K31" s="48"/>
      <c r="L31" s="48"/>
      <c r="M31" s="41"/>
      <c r="N31" s="41"/>
      <c r="O31" s="41"/>
      <c r="P31" s="41"/>
    </row>
    <row r="32" spans="1:19" ht="18.600000000000001" customHeight="1" x14ac:dyDescent="0.2">
      <c r="A32" s="28"/>
      <c r="B32" s="29"/>
      <c r="C32" s="30"/>
      <c r="D32" s="36"/>
      <c r="E32" s="28"/>
      <c r="F32" s="28"/>
      <c r="G32" s="28"/>
      <c r="H32" s="28"/>
      <c r="I32" s="79"/>
      <c r="J32" s="28"/>
      <c r="K32" s="28"/>
      <c r="L32" s="28"/>
      <c r="M32" s="28"/>
      <c r="N32" s="28"/>
      <c r="O32" s="28"/>
      <c r="P32" s="28"/>
    </row>
    <row r="33" spans="1:16" ht="18.600000000000001" customHeight="1" x14ac:dyDescent="0.2">
      <c r="A33" s="435" t="s">
        <v>374</v>
      </c>
      <c r="B33" s="435" t="s">
        <v>380</v>
      </c>
      <c r="C33" s="435" t="s">
        <v>383</v>
      </c>
      <c r="D33" s="437" t="s">
        <v>384</v>
      </c>
      <c r="E33" s="438" t="s">
        <v>385</v>
      </c>
      <c r="F33" s="439"/>
      <c r="G33" s="432" t="str">
        <f>$R$1</f>
        <v>Đợt 1</v>
      </c>
      <c r="H33" s="433"/>
      <c r="I33" s="432" t="str">
        <f>$T$1</f>
        <v>Đợt 2</v>
      </c>
      <c r="J33" s="433"/>
      <c r="K33" s="432" t="str">
        <f>$V$1</f>
        <v>Đợt 3</v>
      </c>
      <c r="L33" s="433"/>
      <c r="M33" s="432" t="str">
        <f>$X$1</f>
        <v>Đợt 4</v>
      </c>
      <c r="N33" s="433"/>
      <c r="O33" s="432" t="str">
        <f>$Z$1</f>
        <v>Đợt 5</v>
      </c>
      <c r="P33" s="433"/>
    </row>
    <row r="34" spans="1:16" ht="18.600000000000001" customHeight="1" x14ac:dyDescent="0.2">
      <c r="A34" s="436"/>
      <c r="B34" s="436"/>
      <c r="C34" s="436"/>
      <c r="D34" s="436"/>
      <c r="E34" s="31" t="s">
        <v>381</v>
      </c>
      <c r="F34" s="31" t="s">
        <v>382</v>
      </c>
      <c r="G34" s="31" t="s">
        <v>381</v>
      </c>
      <c r="H34" s="31" t="s">
        <v>382</v>
      </c>
      <c r="I34" s="80" t="s">
        <v>381</v>
      </c>
      <c r="J34" s="31" t="s">
        <v>382</v>
      </c>
      <c r="K34" s="80" t="s">
        <v>381</v>
      </c>
      <c r="L34" s="31" t="s">
        <v>382</v>
      </c>
      <c r="M34" s="31" t="s">
        <v>381</v>
      </c>
      <c r="N34" s="31" t="s">
        <v>382</v>
      </c>
      <c r="O34" s="31" t="s">
        <v>381</v>
      </c>
      <c r="P34" s="31" t="s">
        <v>382</v>
      </c>
    </row>
    <row r="35" spans="1:16" ht="18.600000000000001" customHeight="1" x14ac:dyDescent="0.2">
      <c r="A35" s="32">
        <v>1</v>
      </c>
      <c r="B35" s="26"/>
      <c r="C35" s="26"/>
      <c r="D35" s="22"/>
      <c r="E35" s="32"/>
      <c r="F35" s="34"/>
      <c r="G35" s="32"/>
      <c r="H35" s="93"/>
      <c r="I35" s="81"/>
      <c r="J35" s="34"/>
      <c r="K35" s="34"/>
      <c r="L35" s="34"/>
      <c r="M35" s="32"/>
      <c r="N35" s="34"/>
      <c r="O35" s="32"/>
      <c r="P35" s="34"/>
    </row>
    <row r="36" spans="1:16" ht="18.600000000000001" customHeight="1" x14ac:dyDescent="0.2">
      <c r="A36" s="7">
        <f t="shared" ref="A36:A59" si="6">A35+1</f>
        <v>2</v>
      </c>
      <c r="B36" s="26"/>
      <c r="C36" s="26"/>
      <c r="D36" s="22"/>
      <c r="E36" s="7"/>
      <c r="F36" s="7"/>
      <c r="G36" s="7"/>
      <c r="H36" s="7"/>
      <c r="I36" s="82"/>
      <c r="J36" s="7"/>
      <c r="K36" s="7"/>
      <c r="L36" s="7"/>
      <c r="M36" s="7"/>
      <c r="N36" s="7"/>
      <c r="O36" s="7"/>
      <c r="P36" s="7"/>
    </row>
    <row r="37" spans="1:16" ht="18.600000000000001" customHeight="1" x14ac:dyDescent="0.2">
      <c r="A37" s="7">
        <f t="shared" si="6"/>
        <v>3</v>
      </c>
      <c r="B37" s="26"/>
      <c r="C37" s="26"/>
      <c r="D37" s="22"/>
      <c r="E37" s="7"/>
      <c r="F37" s="7"/>
      <c r="G37" s="7"/>
      <c r="H37" s="7"/>
      <c r="I37" s="82"/>
      <c r="J37" s="7"/>
      <c r="K37" s="7"/>
      <c r="L37" s="7"/>
      <c r="M37" s="7"/>
      <c r="N37" s="7"/>
      <c r="O37" s="7"/>
      <c r="P37" s="7"/>
    </row>
    <row r="38" spans="1:16" ht="18.600000000000001" customHeight="1" x14ac:dyDescent="0.2">
      <c r="A38" s="7">
        <f t="shared" si="6"/>
        <v>4</v>
      </c>
      <c r="B38" s="26"/>
      <c r="C38" s="26"/>
      <c r="D38" s="22"/>
      <c r="E38" s="7"/>
      <c r="F38" s="7"/>
      <c r="G38" s="7"/>
      <c r="H38" s="7"/>
      <c r="I38" s="82"/>
      <c r="J38" s="7"/>
      <c r="K38" s="7"/>
      <c r="L38" s="7"/>
      <c r="M38" s="7"/>
      <c r="N38" s="7"/>
      <c r="O38" s="7"/>
      <c r="P38" s="7"/>
    </row>
    <row r="39" spans="1:16" ht="18.600000000000001" customHeight="1" x14ac:dyDescent="0.2">
      <c r="A39" s="6">
        <f t="shared" si="6"/>
        <v>5</v>
      </c>
      <c r="B39" s="58"/>
      <c r="C39" s="58"/>
      <c r="D39" s="59"/>
      <c r="E39" s="16"/>
      <c r="F39" s="16"/>
      <c r="G39" s="16"/>
      <c r="H39" s="16"/>
      <c r="I39" s="83"/>
      <c r="J39" s="16"/>
      <c r="K39" s="16"/>
      <c r="L39" s="16"/>
      <c r="M39" s="16"/>
      <c r="N39" s="16"/>
      <c r="O39" s="16"/>
      <c r="P39" s="16"/>
    </row>
    <row r="40" spans="1:16" ht="18.600000000000001" customHeight="1" x14ac:dyDescent="0.2">
      <c r="A40" s="56">
        <f t="shared" si="6"/>
        <v>6</v>
      </c>
      <c r="B40" s="57"/>
      <c r="C40" s="57"/>
      <c r="D40" s="21"/>
      <c r="E40" s="2"/>
      <c r="F40" s="2"/>
      <c r="G40" s="2"/>
      <c r="H40" s="2"/>
      <c r="I40" s="84"/>
      <c r="J40" s="2"/>
      <c r="K40" s="2"/>
      <c r="L40" s="2"/>
      <c r="M40" s="2"/>
      <c r="N40" s="2"/>
      <c r="O40" s="2"/>
      <c r="P40" s="2"/>
    </row>
    <row r="41" spans="1:16" ht="18.600000000000001" customHeight="1" x14ac:dyDescent="0.2">
      <c r="A41" s="6">
        <f t="shared" si="6"/>
        <v>7</v>
      </c>
      <c r="B41" s="26"/>
      <c r="C41" s="26"/>
      <c r="D41" s="22"/>
      <c r="E41" s="4"/>
      <c r="F41" s="4"/>
      <c r="G41" s="4"/>
      <c r="H41" s="4"/>
      <c r="I41" s="85"/>
      <c r="J41" s="4"/>
      <c r="K41" s="4"/>
      <c r="L41" s="4"/>
      <c r="M41" s="4"/>
      <c r="N41" s="4"/>
      <c r="O41" s="4"/>
      <c r="P41" s="4"/>
    </row>
    <row r="42" spans="1:16" ht="18.600000000000001" customHeight="1" x14ac:dyDescent="0.2">
      <c r="A42" s="6">
        <f t="shared" si="6"/>
        <v>8</v>
      </c>
      <c r="B42" s="26"/>
      <c r="C42" s="26"/>
      <c r="D42" s="22"/>
      <c r="E42" s="4"/>
      <c r="F42" s="4"/>
      <c r="G42" s="4"/>
      <c r="H42" s="4"/>
      <c r="I42" s="85"/>
      <c r="J42" s="4"/>
      <c r="K42" s="4"/>
      <c r="L42" s="4"/>
      <c r="M42" s="4"/>
      <c r="N42" s="4"/>
      <c r="O42" s="4"/>
      <c r="P42" s="4"/>
    </row>
    <row r="43" spans="1:16" ht="18.600000000000001" customHeight="1" x14ac:dyDescent="0.2">
      <c r="A43" s="6">
        <f t="shared" si="6"/>
        <v>9</v>
      </c>
      <c r="B43" s="26"/>
      <c r="C43" s="26"/>
      <c r="D43" s="22"/>
      <c r="E43" s="4"/>
      <c r="F43" s="4"/>
      <c r="G43" s="4"/>
      <c r="H43" s="4"/>
      <c r="I43" s="85"/>
      <c r="J43" s="4"/>
      <c r="K43" s="4"/>
      <c r="L43" s="4"/>
      <c r="M43" s="4"/>
      <c r="N43" s="4"/>
      <c r="O43" s="4"/>
      <c r="P43" s="4"/>
    </row>
    <row r="44" spans="1:16" ht="18.600000000000001" customHeight="1" x14ac:dyDescent="0.2">
      <c r="A44" s="10">
        <f t="shared" si="6"/>
        <v>10</v>
      </c>
      <c r="B44" s="62"/>
      <c r="C44" s="62"/>
      <c r="D44" s="23"/>
      <c r="E44" s="12"/>
      <c r="F44" s="12"/>
      <c r="G44" s="12"/>
      <c r="H44" s="12"/>
      <c r="I44" s="86"/>
      <c r="J44" s="12"/>
      <c r="K44" s="12"/>
      <c r="L44" s="12"/>
      <c r="M44" s="12"/>
      <c r="N44" s="12"/>
      <c r="O44" s="12"/>
      <c r="P44" s="12"/>
    </row>
    <row r="45" spans="1:16" ht="18.600000000000001" customHeight="1" x14ac:dyDescent="0.2">
      <c r="A45" s="35">
        <f t="shared" si="6"/>
        <v>11</v>
      </c>
      <c r="B45" s="60"/>
      <c r="C45" s="60"/>
      <c r="D45" s="61"/>
      <c r="E45" s="14"/>
      <c r="F45" s="14"/>
      <c r="G45" s="14"/>
      <c r="H45" s="14"/>
      <c r="I45" s="87"/>
      <c r="J45" s="14"/>
      <c r="K45" s="14"/>
      <c r="L45" s="14"/>
      <c r="M45" s="14"/>
      <c r="N45" s="14"/>
      <c r="O45" s="14"/>
      <c r="P45" s="14"/>
    </row>
    <row r="46" spans="1:16" ht="18.600000000000001" customHeight="1" x14ac:dyDescent="0.2">
      <c r="A46" s="7">
        <f t="shared" si="6"/>
        <v>12</v>
      </c>
      <c r="B46" s="26"/>
      <c r="C46" s="26"/>
      <c r="D46" s="22"/>
      <c r="E46" s="4"/>
      <c r="F46" s="4"/>
      <c r="G46" s="4"/>
      <c r="H46" s="4"/>
      <c r="I46" s="85"/>
      <c r="J46" s="4"/>
      <c r="K46" s="4"/>
      <c r="L46" s="4"/>
      <c r="M46" s="4"/>
      <c r="N46" s="4"/>
      <c r="O46" s="4"/>
      <c r="P46" s="4"/>
    </row>
    <row r="47" spans="1:16" ht="18.600000000000001" customHeight="1" x14ac:dyDescent="0.2">
      <c r="A47" s="7">
        <f t="shared" si="6"/>
        <v>13</v>
      </c>
      <c r="B47" s="26"/>
      <c r="C47" s="26"/>
      <c r="D47" s="22"/>
      <c r="E47" s="4"/>
      <c r="F47" s="4"/>
      <c r="G47" s="4"/>
      <c r="H47" s="4"/>
      <c r="I47" s="85"/>
      <c r="J47" s="4"/>
      <c r="K47" s="4"/>
      <c r="L47" s="4"/>
      <c r="M47" s="4"/>
      <c r="N47" s="4"/>
      <c r="O47" s="4"/>
      <c r="P47" s="4"/>
    </row>
    <row r="48" spans="1:16" ht="18.600000000000001" customHeight="1" x14ac:dyDescent="0.2">
      <c r="A48" s="7">
        <f t="shared" si="6"/>
        <v>14</v>
      </c>
      <c r="B48" s="3"/>
      <c r="C48" s="4"/>
      <c r="D48" s="8"/>
      <c r="E48" s="4"/>
      <c r="F48" s="4"/>
      <c r="G48" s="4"/>
      <c r="H48" s="4"/>
      <c r="I48" s="85"/>
      <c r="J48" s="4"/>
      <c r="K48" s="4"/>
      <c r="L48" s="4"/>
      <c r="M48" s="4"/>
      <c r="N48" s="4"/>
      <c r="O48" s="4"/>
      <c r="P48" s="4"/>
    </row>
    <row r="49" spans="1:16" ht="18.600000000000001" customHeight="1" x14ac:dyDescent="0.2">
      <c r="A49" s="6">
        <f t="shared" si="6"/>
        <v>15</v>
      </c>
      <c r="B49" s="15"/>
      <c r="C49" s="16"/>
      <c r="D49" s="5"/>
      <c r="E49" s="16"/>
      <c r="F49" s="16"/>
      <c r="G49" s="16"/>
      <c r="H49" s="16"/>
      <c r="I49" s="83"/>
      <c r="J49" s="16"/>
      <c r="K49" s="16"/>
      <c r="L49" s="16"/>
      <c r="M49" s="16"/>
      <c r="N49" s="16"/>
      <c r="O49" s="16"/>
      <c r="P49" s="16"/>
    </row>
    <row r="50" spans="1:16" ht="18.600000000000001" customHeight="1" x14ac:dyDescent="0.2">
      <c r="A50" s="32">
        <f t="shared" si="6"/>
        <v>16</v>
      </c>
      <c r="B50" s="1"/>
      <c r="C50" s="2"/>
      <c r="D50" s="33"/>
      <c r="E50" s="2"/>
      <c r="F50" s="2"/>
      <c r="G50" s="2"/>
      <c r="H50" s="2"/>
      <c r="I50" s="84"/>
      <c r="J50" s="2"/>
      <c r="K50" s="2"/>
      <c r="L50" s="2"/>
      <c r="M50" s="2"/>
      <c r="N50" s="2"/>
      <c r="O50" s="2"/>
      <c r="P50" s="2"/>
    </row>
    <row r="51" spans="1:16" ht="18.600000000000001" customHeight="1" x14ac:dyDescent="0.2">
      <c r="A51" s="7">
        <f t="shared" si="6"/>
        <v>17</v>
      </c>
      <c r="B51" s="3"/>
      <c r="C51" s="4"/>
      <c r="D51" s="8"/>
      <c r="E51" s="4"/>
      <c r="F51" s="4"/>
      <c r="G51" s="4"/>
      <c r="H51" s="4"/>
      <c r="I51" s="85"/>
      <c r="J51" s="4"/>
      <c r="K51" s="4"/>
      <c r="L51" s="4"/>
      <c r="M51" s="4"/>
      <c r="N51" s="4"/>
      <c r="O51" s="4"/>
      <c r="P51" s="4"/>
    </row>
    <row r="52" spans="1:16" ht="18.600000000000001" customHeight="1" x14ac:dyDescent="0.2">
      <c r="A52" s="7">
        <f t="shared" si="6"/>
        <v>18</v>
      </c>
      <c r="B52" s="3"/>
      <c r="C52" s="4"/>
      <c r="D52" s="8"/>
      <c r="E52" s="4"/>
      <c r="F52" s="4"/>
      <c r="G52" s="4"/>
      <c r="H52" s="4"/>
      <c r="I52" s="85"/>
      <c r="J52" s="4"/>
      <c r="K52" s="4"/>
      <c r="L52" s="4"/>
      <c r="M52" s="4"/>
      <c r="N52" s="4"/>
      <c r="O52" s="4"/>
      <c r="P52" s="4"/>
    </row>
    <row r="53" spans="1:16" ht="18.600000000000001" customHeight="1" x14ac:dyDescent="0.2">
      <c r="A53" s="7">
        <f t="shared" si="6"/>
        <v>19</v>
      </c>
      <c r="B53" s="3"/>
      <c r="C53" s="4"/>
      <c r="D53" s="8"/>
      <c r="E53" s="4"/>
      <c r="F53" s="4"/>
      <c r="G53" s="4"/>
      <c r="H53" s="4"/>
      <c r="I53" s="85"/>
      <c r="J53" s="4"/>
      <c r="K53" s="4"/>
      <c r="L53" s="4"/>
      <c r="M53" s="4"/>
      <c r="N53" s="4"/>
      <c r="O53" s="4"/>
      <c r="P53" s="4"/>
    </row>
    <row r="54" spans="1:16" ht="18.600000000000001" customHeight="1" x14ac:dyDescent="0.2">
      <c r="A54" s="10">
        <f t="shared" si="6"/>
        <v>20</v>
      </c>
      <c r="B54" s="11"/>
      <c r="C54" s="12"/>
      <c r="D54" s="9"/>
      <c r="E54" s="12"/>
      <c r="F54" s="12"/>
      <c r="G54" s="12"/>
      <c r="H54" s="12"/>
      <c r="I54" s="86"/>
      <c r="J54" s="12"/>
      <c r="K54" s="12"/>
      <c r="L54" s="12"/>
      <c r="M54" s="12"/>
      <c r="N54" s="12"/>
      <c r="O54" s="12"/>
      <c r="P54" s="12"/>
    </row>
    <row r="55" spans="1:16" ht="18.600000000000001" customHeight="1" x14ac:dyDescent="0.2">
      <c r="A55" s="35">
        <f t="shared" si="6"/>
        <v>21</v>
      </c>
      <c r="B55" s="13"/>
      <c r="C55" s="14"/>
      <c r="D55" s="37"/>
      <c r="E55" s="14"/>
      <c r="F55" s="14"/>
      <c r="G55" s="14"/>
      <c r="H55" s="14"/>
      <c r="I55" s="87"/>
      <c r="J55" s="14"/>
      <c r="K55" s="14"/>
      <c r="L55" s="14"/>
      <c r="M55" s="14"/>
      <c r="N55" s="14"/>
      <c r="O55" s="14"/>
      <c r="P55" s="14"/>
    </row>
    <row r="56" spans="1:16" ht="18.600000000000001" customHeight="1" x14ac:dyDescent="0.2">
      <c r="A56" s="7">
        <f t="shared" si="6"/>
        <v>22</v>
      </c>
      <c r="B56" s="3"/>
      <c r="C56" s="4"/>
      <c r="D56" s="8"/>
      <c r="E56" s="4"/>
      <c r="F56" s="4"/>
      <c r="G56" s="4"/>
      <c r="H56" s="4"/>
      <c r="I56" s="85"/>
      <c r="J56" s="4"/>
      <c r="K56" s="4"/>
      <c r="L56" s="4"/>
      <c r="M56" s="4"/>
      <c r="N56" s="4"/>
      <c r="O56" s="4"/>
      <c r="P56" s="4"/>
    </row>
    <row r="57" spans="1:16" ht="18.600000000000001" customHeight="1" x14ac:dyDescent="0.2">
      <c r="A57" s="35">
        <f t="shared" si="6"/>
        <v>23</v>
      </c>
      <c r="B57" s="3"/>
      <c r="C57" s="4"/>
      <c r="D57" s="8"/>
      <c r="E57" s="4"/>
      <c r="F57" s="4"/>
      <c r="G57" s="4"/>
      <c r="H57" s="4"/>
      <c r="I57" s="85"/>
      <c r="J57" s="4"/>
      <c r="K57" s="4"/>
      <c r="L57" s="4"/>
      <c r="M57" s="4"/>
      <c r="N57" s="4"/>
      <c r="O57" s="4"/>
      <c r="P57" s="4"/>
    </row>
    <row r="58" spans="1:16" ht="18.600000000000001" customHeight="1" x14ac:dyDescent="0.2">
      <c r="A58" s="7">
        <f t="shared" si="6"/>
        <v>24</v>
      </c>
      <c r="B58" s="3"/>
      <c r="C58" s="4"/>
      <c r="D58" s="8"/>
      <c r="E58" s="4"/>
      <c r="F58" s="4"/>
      <c r="G58" s="4"/>
      <c r="H58" s="4"/>
      <c r="I58" s="85"/>
      <c r="J58" s="4"/>
      <c r="K58" s="4"/>
      <c r="L58" s="4"/>
      <c r="M58" s="4"/>
      <c r="N58" s="4"/>
      <c r="O58" s="4"/>
      <c r="P58" s="4"/>
    </row>
    <row r="59" spans="1:16" ht="18.600000000000001" customHeight="1" x14ac:dyDescent="0.2">
      <c r="A59" s="35">
        <f t="shared" si="6"/>
        <v>25</v>
      </c>
      <c r="B59" s="11"/>
      <c r="C59" s="12"/>
      <c r="D59" s="9"/>
      <c r="E59" s="12"/>
      <c r="F59" s="12"/>
      <c r="G59" s="12"/>
      <c r="H59" s="12"/>
      <c r="I59" s="86"/>
      <c r="J59" s="12"/>
      <c r="K59" s="12"/>
      <c r="L59" s="12"/>
      <c r="M59" s="12"/>
      <c r="N59" s="12"/>
      <c r="O59" s="12"/>
      <c r="P59" s="12"/>
    </row>
    <row r="60" spans="1:16" ht="18.600000000000001" customHeight="1" x14ac:dyDescent="0.3">
      <c r="A60" s="147"/>
      <c r="B60" s="148"/>
      <c r="C60" s="147"/>
      <c r="D60" s="149"/>
      <c r="E60" s="150">
        <f>SUBTOTAL(9,E35:E59)</f>
        <v>0</v>
      </c>
      <c r="F60" s="152"/>
      <c r="G60" s="150">
        <f t="shared" ref="G60" si="7">SUBTOTAL(9,G35:G59)</f>
        <v>0</v>
      </c>
      <c r="H60" s="152"/>
      <c r="I60" s="150">
        <f t="shared" ref="I60" si="8">SUBTOTAL(9,I35:I59)</f>
        <v>0</v>
      </c>
      <c r="J60" s="152"/>
      <c r="K60" s="152"/>
      <c r="L60" s="152"/>
      <c r="M60" s="150">
        <f t="shared" ref="M60" si="9">SUBTOTAL(9,M35:M59)</f>
        <v>0</v>
      </c>
      <c r="N60" s="152"/>
      <c r="O60" s="150">
        <f t="shared" ref="O60" si="10">SUBTOTAL(9,O35:O59)</f>
        <v>0</v>
      </c>
      <c r="P60" s="152"/>
    </row>
    <row r="61" spans="1:16" ht="18.600000000000001" customHeight="1" x14ac:dyDescent="0.2">
      <c r="A61" s="434" t="str">
        <f>A31</f>
        <v>DANH SÁCH LỚP 2</v>
      </c>
      <c r="B61" s="434"/>
      <c r="C61" s="434"/>
      <c r="D61" s="434"/>
      <c r="E61" s="434"/>
      <c r="F61" s="434"/>
      <c r="G61" s="434"/>
      <c r="H61" s="434"/>
      <c r="I61" s="92">
        <v>3</v>
      </c>
      <c r="J61" s="48"/>
      <c r="K61" s="48"/>
      <c r="L61" s="48"/>
      <c r="M61" s="41"/>
      <c r="N61" s="41"/>
      <c r="O61" s="41"/>
      <c r="P61" s="41"/>
    </row>
    <row r="62" spans="1:16" ht="18.600000000000001" customHeight="1" x14ac:dyDescent="0.2">
      <c r="A62" s="28"/>
      <c r="B62" s="29"/>
      <c r="C62" s="30"/>
      <c r="D62" s="36"/>
      <c r="E62" s="28"/>
      <c r="F62" s="28"/>
      <c r="G62" s="28"/>
      <c r="H62" s="28"/>
      <c r="I62" s="79"/>
      <c r="J62" s="28"/>
      <c r="K62" s="28"/>
      <c r="L62" s="28"/>
      <c r="M62" s="28"/>
      <c r="N62" s="28"/>
      <c r="O62" s="28"/>
      <c r="P62" s="28"/>
    </row>
    <row r="63" spans="1:16" ht="18.600000000000001" customHeight="1" x14ac:dyDescent="0.2">
      <c r="A63" s="435" t="s">
        <v>374</v>
      </c>
      <c r="B63" s="435" t="s">
        <v>380</v>
      </c>
      <c r="C63" s="435" t="s">
        <v>383</v>
      </c>
      <c r="D63" s="437" t="s">
        <v>384</v>
      </c>
      <c r="E63" s="438" t="s">
        <v>385</v>
      </c>
      <c r="F63" s="439"/>
      <c r="G63" s="432" t="str">
        <f>$R$1</f>
        <v>Đợt 1</v>
      </c>
      <c r="H63" s="433"/>
      <c r="I63" s="432" t="str">
        <f>$T$1</f>
        <v>Đợt 2</v>
      </c>
      <c r="J63" s="433"/>
      <c r="K63" s="432" t="str">
        <f>$V$1</f>
        <v>Đợt 3</v>
      </c>
      <c r="L63" s="433"/>
      <c r="M63" s="432" t="str">
        <f>$X$1</f>
        <v>Đợt 4</v>
      </c>
      <c r="N63" s="433"/>
      <c r="O63" s="432" t="str">
        <f>$Z$1</f>
        <v>Đợt 5</v>
      </c>
      <c r="P63" s="433"/>
    </row>
    <row r="64" spans="1:16" ht="18.600000000000001" customHeight="1" x14ac:dyDescent="0.2">
      <c r="A64" s="436"/>
      <c r="B64" s="436"/>
      <c r="C64" s="436"/>
      <c r="D64" s="436"/>
      <c r="E64" s="31" t="s">
        <v>381</v>
      </c>
      <c r="F64" s="31" t="s">
        <v>382</v>
      </c>
      <c r="G64" s="31" t="s">
        <v>381</v>
      </c>
      <c r="H64" s="31" t="s">
        <v>382</v>
      </c>
      <c r="I64" s="80" t="s">
        <v>381</v>
      </c>
      <c r="J64" s="31" t="s">
        <v>382</v>
      </c>
      <c r="K64" s="80" t="s">
        <v>381</v>
      </c>
      <c r="L64" s="31" t="s">
        <v>382</v>
      </c>
      <c r="M64" s="31" t="s">
        <v>381</v>
      </c>
      <c r="N64" s="31" t="s">
        <v>382</v>
      </c>
      <c r="O64" s="31" t="s">
        <v>381</v>
      </c>
      <c r="P64" s="31" t="s">
        <v>382</v>
      </c>
    </row>
    <row r="65" spans="1:16" ht="18.600000000000001" customHeight="1" x14ac:dyDescent="0.2">
      <c r="A65" s="32">
        <v>1</v>
      </c>
      <c r="B65" s="26"/>
      <c r="C65" s="26"/>
      <c r="D65" s="22"/>
      <c r="E65" s="32"/>
      <c r="F65" s="34"/>
      <c r="G65" s="32"/>
      <c r="H65" s="93"/>
      <c r="I65" s="81"/>
      <c r="J65" s="34"/>
      <c r="K65" s="34"/>
      <c r="L65" s="34"/>
      <c r="M65" s="32"/>
      <c r="N65" s="34"/>
      <c r="O65" s="32"/>
      <c r="P65" s="34"/>
    </row>
    <row r="66" spans="1:16" ht="18.600000000000001" customHeight="1" x14ac:dyDescent="0.2">
      <c r="A66" s="7">
        <f t="shared" ref="A66:A89" si="11">A65+1</f>
        <v>2</v>
      </c>
      <c r="B66" s="26"/>
      <c r="C66" s="26"/>
      <c r="D66" s="22"/>
      <c r="E66" s="7"/>
      <c r="F66" s="7"/>
      <c r="G66" s="7"/>
      <c r="H66" s="7"/>
      <c r="I66" s="82"/>
      <c r="J66" s="7"/>
      <c r="K66" s="7"/>
      <c r="L66" s="7"/>
      <c r="M66" s="7"/>
      <c r="N66" s="7"/>
      <c r="O66" s="7"/>
      <c r="P66" s="7"/>
    </row>
    <row r="67" spans="1:16" ht="18.600000000000001" customHeight="1" x14ac:dyDescent="0.2">
      <c r="A67" s="7">
        <f t="shared" si="11"/>
        <v>3</v>
      </c>
      <c r="B67" s="26"/>
      <c r="C67" s="26"/>
      <c r="D67" s="22"/>
      <c r="E67" s="7"/>
      <c r="F67" s="7"/>
      <c r="G67" s="7"/>
      <c r="H67" s="7"/>
      <c r="I67" s="82"/>
      <c r="J67" s="7"/>
      <c r="K67" s="7"/>
      <c r="L67" s="7"/>
      <c r="M67" s="7"/>
      <c r="N67" s="7"/>
      <c r="O67" s="7"/>
      <c r="P67" s="7"/>
    </row>
    <row r="68" spans="1:16" ht="18.600000000000001" customHeight="1" x14ac:dyDescent="0.2">
      <c r="A68" s="7">
        <f t="shared" si="11"/>
        <v>4</v>
      </c>
      <c r="B68" s="26"/>
      <c r="C68" s="26"/>
      <c r="D68" s="22"/>
      <c r="E68" s="7"/>
      <c r="F68" s="7"/>
      <c r="G68" s="7"/>
      <c r="H68" s="7"/>
      <c r="I68" s="82"/>
      <c r="J68" s="7"/>
      <c r="K68" s="7"/>
      <c r="L68" s="7"/>
      <c r="M68" s="7"/>
      <c r="N68" s="7"/>
      <c r="O68" s="7"/>
      <c r="P68" s="7"/>
    </row>
    <row r="69" spans="1:16" ht="18.600000000000001" customHeight="1" x14ac:dyDescent="0.2">
      <c r="A69" s="6">
        <f t="shared" si="11"/>
        <v>5</v>
      </c>
      <c r="B69" s="58"/>
      <c r="C69" s="58"/>
      <c r="D69" s="59"/>
      <c r="E69" s="16"/>
      <c r="F69" s="16"/>
      <c r="G69" s="16"/>
      <c r="H69" s="16"/>
      <c r="I69" s="83"/>
      <c r="J69" s="16"/>
      <c r="K69" s="16"/>
      <c r="L69" s="16"/>
      <c r="M69" s="16"/>
      <c r="N69" s="16"/>
      <c r="O69" s="16"/>
      <c r="P69" s="16"/>
    </row>
    <row r="70" spans="1:16" ht="18.600000000000001" customHeight="1" x14ac:dyDescent="0.2">
      <c r="A70" s="56">
        <f t="shared" si="11"/>
        <v>6</v>
      </c>
      <c r="B70" s="57"/>
      <c r="C70" s="57"/>
      <c r="D70" s="21"/>
      <c r="E70" s="2"/>
      <c r="F70" s="2"/>
      <c r="G70" s="2"/>
      <c r="H70" s="2"/>
      <c r="I70" s="84"/>
      <c r="J70" s="2"/>
      <c r="K70" s="2"/>
      <c r="L70" s="2"/>
      <c r="M70" s="2"/>
      <c r="N70" s="2"/>
      <c r="O70" s="2"/>
      <c r="P70" s="2"/>
    </row>
    <row r="71" spans="1:16" ht="18.600000000000001" customHeight="1" x14ac:dyDescent="0.2">
      <c r="A71" s="6">
        <f t="shared" si="11"/>
        <v>7</v>
      </c>
      <c r="B71" s="26"/>
      <c r="C71" s="26"/>
      <c r="D71" s="22"/>
      <c r="E71" s="4"/>
      <c r="F71" s="4"/>
      <c r="G71" s="4"/>
      <c r="H71" s="4"/>
      <c r="I71" s="85"/>
      <c r="J71" s="4"/>
      <c r="K71" s="4"/>
      <c r="L71" s="4"/>
      <c r="M71" s="4"/>
      <c r="N71" s="4"/>
      <c r="O71" s="4"/>
      <c r="P71" s="4"/>
    </row>
    <row r="72" spans="1:16" ht="18.600000000000001" customHeight="1" x14ac:dyDescent="0.2">
      <c r="A72" s="6">
        <f t="shared" si="11"/>
        <v>8</v>
      </c>
      <c r="B72" s="26"/>
      <c r="C72" s="26"/>
      <c r="D72" s="22"/>
      <c r="E72" s="4"/>
      <c r="F72" s="4"/>
      <c r="G72" s="4"/>
      <c r="H72" s="4"/>
      <c r="I72" s="85"/>
      <c r="J72" s="4"/>
      <c r="K72" s="4"/>
      <c r="L72" s="4"/>
      <c r="M72" s="4"/>
      <c r="N72" s="4"/>
      <c r="O72" s="4"/>
      <c r="P72" s="4"/>
    </row>
    <row r="73" spans="1:16" ht="18.600000000000001" customHeight="1" x14ac:dyDescent="0.2">
      <c r="A73" s="6">
        <f t="shared" si="11"/>
        <v>9</v>
      </c>
      <c r="B73" s="26"/>
      <c r="C73" s="26"/>
      <c r="D73" s="22"/>
      <c r="E73" s="4"/>
      <c r="F73" s="4"/>
      <c r="G73" s="4"/>
      <c r="H73" s="4"/>
      <c r="I73" s="85"/>
      <c r="J73" s="4"/>
      <c r="K73" s="4"/>
      <c r="L73" s="4"/>
      <c r="M73" s="4"/>
      <c r="N73" s="4"/>
      <c r="O73" s="4"/>
      <c r="P73" s="4"/>
    </row>
    <row r="74" spans="1:16" ht="18.600000000000001" customHeight="1" x14ac:dyDescent="0.2">
      <c r="A74" s="10">
        <f t="shared" si="11"/>
        <v>10</v>
      </c>
      <c r="B74" s="62"/>
      <c r="C74" s="62"/>
      <c r="D74" s="23"/>
      <c r="E74" s="12"/>
      <c r="F74" s="12"/>
      <c r="G74" s="12"/>
      <c r="H74" s="12"/>
      <c r="I74" s="86"/>
      <c r="J74" s="12"/>
      <c r="K74" s="12"/>
      <c r="L74" s="12"/>
      <c r="M74" s="12"/>
      <c r="N74" s="12"/>
      <c r="O74" s="12"/>
      <c r="P74" s="12"/>
    </row>
    <row r="75" spans="1:16" ht="18.600000000000001" customHeight="1" x14ac:dyDescent="0.2">
      <c r="A75" s="35">
        <f t="shared" si="11"/>
        <v>11</v>
      </c>
      <c r="B75" s="60"/>
      <c r="C75" s="60"/>
      <c r="D75" s="61"/>
      <c r="E75" s="14"/>
      <c r="F75" s="14"/>
      <c r="G75" s="14"/>
      <c r="H75" s="14"/>
      <c r="I75" s="87"/>
      <c r="J75" s="14"/>
      <c r="K75" s="14"/>
      <c r="L75" s="14"/>
      <c r="M75" s="14"/>
      <c r="N75" s="14"/>
      <c r="O75" s="14"/>
      <c r="P75" s="14"/>
    </row>
    <row r="76" spans="1:16" ht="18.600000000000001" customHeight="1" x14ac:dyDescent="0.2">
      <c r="A76" s="7">
        <f t="shared" si="11"/>
        <v>12</v>
      </c>
      <c r="B76" s="26"/>
      <c r="C76" s="26"/>
      <c r="D76" s="22"/>
      <c r="E76" s="4"/>
      <c r="F76" s="4"/>
      <c r="G76" s="4"/>
      <c r="H76" s="4"/>
      <c r="I76" s="85"/>
      <c r="J76" s="4"/>
      <c r="K76" s="4"/>
      <c r="L76" s="4"/>
      <c r="M76" s="4"/>
      <c r="N76" s="4"/>
      <c r="O76" s="4"/>
      <c r="P76" s="4"/>
    </row>
    <row r="77" spans="1:16" ht="18.600000000000001" customHeight="1" x14ac:dyDescent="0.2">
      <c r="A77" s="7">
        <f t="shared" si="11"/>
        <v>13</v>
      </c>
      <c r="B77" s="26"/>
      <c r="C77" s="26"/>
      <c r="D77" s="22"/>
      <c r="E77" s="4"/>
      <c r="F77" s="4"/>
      <c r="G77" s="4"/>
      <c r="H77" s="4"/>
      <c r="I77" s="85"/>
      <c r="J77" s="4"/>
      <c r="K77" s="4"/>
      <c r="L77" s="4"/>
      <c r="M77" s="4"/>
      <c r="N77" s="4"/>
      <c r="O77" s="4"/>
      <c r="P77" s="4"/>
    </row>
    <row r="78" spans="1:16" ht="18.600000000000001" customHeight="1" x14ac:dyDescent="0.2">
      <c r="A78" s="7">
        <f t="shared" si="11"/>
        <v>14</v>
      </c>
      <c r="B78" s="3"/>
      <c r="C78" s="4"/>
      <c r="D78" s="8"/>
      <c r="E78" s="4"/>
      <c r="F78" s="4"/>
      <c r="G78" s="4"/>
      <c r="H78" s="4"/>
      <c r="I78" s="85"/>
      <c r="J78" s="4"/>
      <c r="K78" s="4"/>
      <c r="L78" s="4"/>
      <c r="M78" s="4"/>
      <c r="N78" s="4"/>
      <c r="O78" s="4"/>
      <c r="P78" s="4"/>
    </row>
    <row r="79" spans="1:16" ht="18.600000000000001" customHeight="1" x14ac:dyDescent="0.2">
      <c r="A79" s="6">
        <f t="shared" si="11"/>
        <v>15</v>
      </c>
      <c r="B79" s="15"/>
      <c r="C79" s="16"/>
      <c r="D79" s="5"/>
      <c r="E79" s="16"/>
      <c r="F79" s="16"/>
      <c r="G79" s="16"/>
      <c r="H79" s="16"/>
      <c r="I79" s="83"/>
      <c r="J79" s="16"/>
      <c r="K79" s="16"/>
      <c r="L79" s="16"/>
      <c r="M79" s="16"/>
      <c r="N79" s="16"/>
      <c r="O79" s="16"/>
      <c r="P79" s="16"/>
    </row>
    <row r="80" spans="1:16" ht="18.600000000000001" customHeight="1" x14ac:dyDescent="0.2">
      <c r="A80" s="32">
        <f t="shared" si="11"/>
        <v>16</v>
      </c>
      <c r="B80" s="1"/>
      <c r="C80" s="2"/>
      <c r="D80" s="33"/>
      <c r="E80" s="2"/>
      <c r="F80" s="2"/>
      <c r="G80" s="2"/>
      <c r="H80" s="2"/>
      <c r="I80" s="84"/>
      <c r="J80" s="2"/>
      <c r="K80" s="2"/>
      <c r="L80" s="2"/>
      <c r="M80" s="2"/>
      <c r="N80" s="2"/>
      <c r="O80" s="2"/>
      <c r="P80" s="2"/>
    </row>
    <row r="81" spans="1:16" ht="18.600000000000001" customHeight="1" x14ac:dyDescent="0.2">
      <c r="A81" s="7">
        <f t="shared" si="11"/>
        <v>17</v>
      </c>
      <c r="B81" s="3"/>
      <c r="C81" s="4"/>
      <c r="D81" s="8"/>
      <c r="E81" s="4"/>
      <c r="F81" s="4"/>
      <c r="G81" s="4"/>
      <c r="H81" s="4"/>
      <c r="I81" s="85"/>
      <c r="J81" s="4"/>
      <c r="K81" s="4"/>
      <c r="L81" s="4"/>
      <c r="M81" s="4"/>
      <c r="N81" s="4"/>
      <c r="O81" s="4"/>
      <c r="P81" s="4"/>
    </row>
    <row r="82" spans="1:16" ht="18.600000000000001" customHeight="1" x14ac:dyDescent="0.2">
      <c r="A82" s="7">
        <f t="shared" si="11"/>
        <v>18</v>
      </c>
      <c r="B82" s="3"/>
      <c r="C82" s="4"/>
      <c r="D82" s="8"/>
      <c r="E82" s="4"/>
      <c r="F82" s="4"/>
      <c r="G82" s="4"/>
      <c r="H82" s="4"/>
      <c r="I82" s="85"/>
      <c r="J82" s="4"/>
      <c r="K82" s="4"/>
      <c r="L82" s="4"/>
      <c r="M82" s="4"/>
      <c r="N82" s="4"/>
      <c r="O82" s="4"/>
      <c r="P82" s="4"/>
    </row>
    <row r="83" spans="1:16" ht="18.600000000000001" customHeight="1" x14ac:dyDescent="0.2">
      <c r="A83" s="7">
        <f t="shared" si="11"/>
        <v>19</v>
      </c>
      <c r="B83" s="3"/>
      <c r="C83" s="4"/>
      <c r="D83" s="8"/>
      <c r="E83" s="4"/>
      <c r="F83" s="4"/>
      <c r="G83" s="4"/>
      <c r="H83" s="4"/>
      <c r="I83" s="85"/>
      <c r="J83" s="4"/>
      <c r="K83" s="4"/>
      <c r="L83" s="4"/>
      <c r="M83" s="4"/>
      <c r="N83" s="4"/>
      <c r="O83" s="4"/>
      <c r="P83" s="4"/>
    </row>
    <row r="84" spans="1:16" ht="18.600000000000001" customHeight="1" x14ac:dyDescent="0.2">
      <c r="A84" s="10">
        <f t="shared" si="11"/>
        <v>20</v>
      </c>
      <c r="B84" s="11"/>
      <c r="C84" s="12"/>
      <c r="D84" s="9"/>
      <c r="E84" s="12"/>
      <c r="F84" s="12"/>
      <c r="G84" s="12"/>
      <c r="H84" s="12"/>
      <c r="I84" s="86"/>
      <c r="J84" s="12"/>
      <c r="K84" s="12"/>
      <c r="L84" s="12"/>
      <c r="M84" s="12"/>
      <c r="N84" s="12"/>
      <c r="O84" s="12"/>
      <c r="P84" s="12"/>
    </row>
    <row r="85" spans="1:16" ht="18.600000000000001" customHeight="1" x14ac:dyDescent="0.2">
      <c r="A85" s="35">
        <f t="shared" si="11"/>
        <v>21</v>
      </c>
      <c r="B85" s="13"/>
      <c r="C85" s="14"/>
      <c r="D85" s="37"/>
      <c r="E85" s="14"/>
      <c r="F85" s="14"/>
      <c r="G85" s="14"/>
      <c r="H85" s="14"/>
      <c r="I85" s="87"/>
      <c r="J85" s="14"/>
      <c r="K85" s="14"/>
      <c r="L85" s="14"/>
      <c r="M85" s="14"/>
      <c r="N85" s="14"/>
      <c r="O85" s="14"/>
      <c r="P85" s="14"/>
    </row>
    <row r="86" spans="1:16" ht="18.600000000000001" customHeight="1" x14ac:dyDescent="0.2">
      <c r="A86" s="7">
        <f t="shared" si="11"/>
        <v>22</v>
      </c>
      <c r="B86" s="3"/>
      <c r="C86" s="4"/>
      <c r="D86" s="8"/>
      <c r="E86" s="4"/>
      <c r="F86" s="4"/>
      <c r="G86" s="4"/>
      <c r="H86" s="4"/>
      <c r="I86" s="85"/>
      <c r="J86" s="4"/>
      <c r="K86" s="4"/>
      <c r="L86" s="4"/>
      <c r="M86" s="4"/>
      <c r="N86" s="4"/>
      <c r="O86" s="4"/>
      <c r="P86" s="4"/>
    </row>
    <row r="87" spans="1:16" ht="18.600000000000001" customHeight="1" x14ac:dyDescent="0.2">
      <c r="A87" s="35">
        <f t="shared" si="11"/>
        <v>23</v>
      </c>
      <c r="B87" s="3"/>
      <c r="C87" s="4"/>
      <c r="D87" s="8"/>
      <c r="E87" s="4"/>
      <c r="F87" s="4"/>
      <c r="G87" s="4"/>
      <c r="H87" s="4"/>
      <c r="I87" s="85"/>
      <c r="J87" s="4"/>
      <c r="K87" s="4"/>
      <c r="L87" s="4"/>
      <c r="M87" s="4"/>
      <c r="N87" s="4"/>
      <c r="O87" s="4"/>
      <c r="P87" s="4"/>
    </row>
    <row r="88" spans="1:16" ht="18.600000000000001" customHeight="1" x14ac:dyDescent="0.2">
      <c r="A88" s="7">
        <f t="shared" si="11"/>
        <v>24</v>
      </c>
      <c r="B88" s="3"/>
      <c r="C88" s="4"/>
      <c r="D88" s="8"/>
      <c r="E88" s="4"/>
      <c r="F88" s="4"/>
      <c r="G88" s="4"/>
      <c r="H88" s="4"/>
      <c r="I88" s="85"/>
      <c r="J88" s="4"/>
      <c r="K88" s="4"/>
      <c r="L88" s="4"/>
      <c r="M88" s="4"/>
      <c r="N88" s="4"/>
      <c r="O88" s="4"/>
      <c r="P88" s="4"/>
    </row>
    <row r="89" spans="1:16" ht="18.600000000000001" customHeight="1" x14ac:dyDescent="0.2">
      <c r="A89" s="35">
        <f t="shared" si="11"/>
        <v>25</v>
      </c>
      <c r="B89" s="11"/>
      <c r="C89" s="12"/>
      <c r="D89" s="9"/>
      <c r="E89" s="12"/>
      <c r="F89" s="12"/>
      <c r="G89" s="12"/>
      <c r="H89" s="12"/>
      <c r="I89" s="86"/>
      <c r="J89" s="12"/>
      <c r="K89" s="12"/>
      <c r="L89" s="12"/>
      <c r="M89" s="12"/>
      <c r="N89" s="12"/>
      <c r="O89" s="12"/>
      <c r="P89" s="12"/>
    </row>
    <row r="90" spans="1:16" ht="18.600000000000001" customHeight="1" x14ac:dyDescent="0.3">
      <c r="A90" s="147"/>
      <c r="B90" s="148"/>
      <c r="C90" s="147"/>
      <c r="D90" s="149"/>
      <c r="E90" s="150">
        <f>SUBTOTAL(9,E65:E89)</f>
        <v>0</v>
      </c>
      <c r="F90" s="152"/>
      <c r="G90" s="150">
        <f t="shared" ref="G90" si="12">SUBTOTAL(9,G65:G89)</f>
        <v>0</v>
      </c>
      <c r="H90" s="152"/>
      <c r="I90" s="150">
        <f t="shared" ref="I90" si="13">SUBTOTAL(9,I65:I89)</f>
        <v>0</v>
      </c>
      <c r="J90" s="152"/>
      <c r="K90" s="152"/>
      <c r="L90" s="152"/>
      <c r="M90" s="150">
        <f t="shared" ref="M90" si="14">SUBTOTAL(9,M65:M89)</f>
        <v>0</v>
      </c>
      <c r="N90" s="152"/>
      <c r="O90" s="150">
        <f t="shared" ref="O90" si="15">SUBTOTAL(9,O65:O89)</f>
        <v>0</v>
      </c>
      <c r="P90" s="152"/>
    </row>
    <row r="91" spans="1:16" ht="18.600000000000001" customHeight="1" x14ac:dyDescent="0.2">
      <c r="A91" s="434" t="str">
        <f>A61</f>
        <v>DANH SÁCH LỚP 2</v>
      </c>
      <c r="B91" s="434"/>
      <c r="C91" s="434"/>
      <c r="D91" s="434"/>
      <c r="E91" s="434"/>
      <c r="F91" s="434"/>
      <c r="G91" s="434"/>
      <c r="H91" s="434"/>
      <c r="I91" s="92">
        <v>4</v>
      </c>
      <c r="J91" s="48"/>
      <c r="K91" s="48"/>
      <c r="L91" s="48"/>
      <c r="M91" s="41"/>
      <c r="N91" s="41"/>
      <c r="O91" s="41"/>
      <c r="P91" s="41"/>
    </row>
    <row r="92" spans="1:16" ht="18.600000000000001" customHeight="1" x14ac:dyDescent="0.2">
      <c r="A92" s="28"/>
      <c r="B92" s="29"/>
      <c r="C92" s="30"/>
      <c r="D92" s="36"/>
      <c r="E92" s="28"/>
      <c r="F92" s="28"/>
      <c r="G92" s="28"/>
      <c r="H92" s="28"/>
      <c r="I92" s="79"/>
      <c r="J92" s="28"/>
      <c r="K92" s="28"/>
      <c r="L92" s="28"/>
      <c r="M92" s="28"/>
      <c r="N92" s="28"/>
      <c r="O92" s="28"/>
      <c r="P92" s="28"/>
    </row>
    <row r="93" spans="1:16" ht="18.600000000000001" customHeight="1" x14ac:dyDescent="0.2">
      <c r="A93" s="435" t="s">
        <v>374</v>
      </c>
      <c r="B93" s="435" t="s">
        <v>380</v>
      </c>
      <c r="C93" s="435" t="s">
        <v>383</v>
      </c>
      <c r="D93" s="437" t="s">
        <v>384</v>
      </c>
      <c r="E93" s="438" t="s">
        <v>385</v>
      </c>
      <c r="F93" s="439"/>
      <c r="G93" s="432" t="str">
        <f>$R$1</f>
        <v>Đợt 1</v>
      </c>
      <c r="H93" s="433"/>
      <c r="I93" s="432" t="str">
        <f>$T$1</f>
        <v>Đợt 2</v>
      </c>
      <c r="J93" s="433"/>
      <c r="K93" s="432" t="str">
        <f>$V$1</f>
        <v>Đợt 3</v>
      </c>
      <c r="L93" s="433"/>
      <c r="M93" s="432" t="str">
        <f>$X$1</f>
        <v>Đợt 4</v>
      </c>
      <c r="N93" s="433"/>
      <c r="O93" s="432" t="str">
        <f>$Z$1</f>
        <v>Đợt 5</v>
      </c>
      <c r="P93" s="433"/>
    </row>
    <row r="94" spans="1:16" ht="18.600000000000001" customHeight="1" x14ac:dyDescent="0.2">
      <c r="A94" s="436"/>
      <c r="B94" s="436"/>
      <c r="C94" s="436"/>
      <c r="D94" s="436"/>
      <c r="E94" s="31" t="s">
        <v>381</v>
      </c>
      <c r="F94" s="31" t="s">
        <v>382</v>
      </c>
      <c r="G94" s="31" t="s">
        <v>381</v>
      </c>
      <c r="H94" s="31" t="s">
        <v>382</v>
      </c>
      <c r="I94" s="80" t="s">
        <v>381</v>
      </c>
      <c r="J94" s="31" t="s">
        <v>382</v>
      </c>
      <c r="K94" s="80" t="s">
        <v>381</v>
      </c>
      <c r="L94" s="31" t="s">
        <v>382</v>
      </c>
      <c r="M94" s="31" t="s">
        <v>381</v>
      </c>
      <c r="N94" s="31" t="s">
        <v>382</v>
      </c>
      <c r="O94" s="31" t="s">
        <v>381</v>
      </c>
      <c r="P94" s="31" t="s">
        <v>382</v>
      </c>
    </row>
    <row r="95" spans="1:16" ht="18.600000000000001" customHeight="1" x14ac:dyDescent="0.2">
      <c r="A95" s="32">
        <v>1</v>
      </c>
      <c r="B95" s="26"/>
      <c r="C95" s="26"/>
      <c r="D95" s="22"/>
      <c r="E95" s="32"/>
      <c r="F95" s="34"/>
      <c r="G95" s="32"/>
      <c r="H95" s="93"/>
      <c r="I95" s="81"/>
      <c r="J95" s="34"/>
      <c r="K95" s="34"/>
      <c r="L95" s="34"/>
      <c r="M95" s="32"/>
      <c r="N95" s="34"/>
      <c r="O95" s="32"/>
      <c r="P95" s="34"/>
    </row>
    <row r="96" spans="1:16" ht="18.600000000000001" customHeight="1" x14ac:dyDescent="0.2">
      <c r="A96" s="7">
        <f t="shared" ref="A96:A119" si="16">A95+1</f>
        <v>2</v>
      </c>
      <c r="B96" s="26"/>
      <c r="C96" s="26"/>
      <c r="D96" s="22"/>
      <c r="E96" s="7"/>
      <c r="F96" s="7"/>
      <c r="G96" s="7"/>
      <c r="H96" s="7"/>
      <c r="I96" s="82"/>
      <c r="J96" s="7"/>
      <c r="K96" s="7"/>
      <c r="L96" s="7"/>
      <c r="M96" s="7"/>
      <c r="N96" s="7"/>
      <c r="O96" s="7"/>
      <c r="P96" s="7"/>
    </row>
    <row r="97" spans="1:16" ht="18.600000000000001" customHeight="1" x14ac:dyDescent="0.2">
      <c r="A97" s="7">
        <f t="shared" si="16"/>
        <v>3</v>
      </c>
      <c r="B97" s="26"/>
      <c r="C97" s="26"/>
      <c r="D97" s="22"/>
      <c r="E97" s="7"/>
      <c r="F97" s="7"/>
      <c r="G97" s="7"/>
      <c r="H97" s="7"/>
      <c r="I97" s="82"/>
      <c r="J97" s="7"/>
      <c r="K97" s="7"/>
      <c r="L97" s="7"/>
      <c r="M97" s="7"/>
      <c r="N97" s="7"/>
      <c r="O97" s="7"/>
      <c r="P97" s="7"/>
    </row>
    <row r="98" spans="1:16" ht="18.600000000000001" customHeight="1" x14ac:dyDescent="0.2">
      <c r="A98" s="7">
        <f t="shared" si="16"/>
        <v>4</v>
      </c>
      <c r="B98" s="26"/>
      <c r="C98" s="26"/>
      <c r="D98" s="22"/>
      <c r="E98" s="7"/>
      <c r="F98" s="7"/>
      <c r="G98" s="7"/>
      <c r="H98" s="7"/>
      <c r="I98" s="82"/>
      <c r="J98" s="7"/>
      <c r="K98" s="7"/>
      <c r="L98" s="7"/>
      <c r="M98" s="7"/>
      <c r="N98" s="7"/>
      <c r="O98" s="7"/>
      <c r="P98" s="7"/>
    </row>
    <row r="99" spans="1:16" ht="18.600000000000001" customHeight="1" x14ac:dyDescent="0.2">
      <c r="A99" s="6">
        <f t="shared" si="16"/>
        <v>5</v>
      </c>
      <c r="B99" s="58"/>
      <c r="C99" s="58"/>
      <c r="D99" s="59"/>
      <c r="E99" s="16"/>
      <c r="F99" s="16"/>
      <c r="G99" s="16"/>
      <c r="H99" s="16"/>
      <c r="I99" s="83"/>
      <c r="J99" s="16"/>
      <c r="K99" s="16"/>
      <c r="L99" s="16"/>
      <c r="M99" s="16"/>
      <c r="N99" s="16"/>
      <c r="O99" s="16"/>
      <c r="P99" s="16"/>
    </row>
    <row r="100" spans="1:16" ht="18.600000000000001" customHeight="1" x14ac:dyDescent="0.2">
      <c r="A100" s="56">
        <f t="shared" si="16"/>
        <v>6</v>
      </c>
      <c r="B100" s="57"/>
      <c r="C100" s="57"/>
      <c r="D100" s="21"/>
      <c r="E100" s="2"/>
      <c r="F100" s="2"/>
      <c r="G100" s="2"/>
      <c r="H100" s="2"/>
      <c r="I100" s="84"/>
      <c r="J100" s="2"/>
      <c r="K100" s="2"/>
      <c r="L100" s="2"/>
      <c r="M100" s="2"/>
      <c r="N100" s="2"/>
      <c r="O100" s="2"/>
      <c r="P100" s="2"/>
    </row>
    <row r="101" spans="1:16" ht="18.600000000000001" customHeight="1" x14ac:dyDescent="0.2">
      <c r="A101" s="6">
        <f t="shared" si="16"/>
        <v>7</v>
      </c>
      <c r="B101" s="26"/>
      <c r="C101" s="26"/>
      <c r="D101" s="22"/>
      <c r="E101" s="4"/>
      <c r="F101" s="4"/>
      <c r="G101" s="4"/>
      <c r="H101" s="4"/>
      <c r="I101" s="85"/>
      <c r="J101" s="4"/>
      <c r="K101" s="4"/>
      <c r="L101" s="4"/>
      <c r="M101" s="4"/>
      <c r="N101" s="4"/>
      <c r="O101" s="4"/>
      <c r="P101" s="4"/>
    </row>
    <row r="102" spans="1:16" ht="18.600000000000001" customHeight="1" x14ac:dyDescent="0.2">
      <c r="A102" s="6">
        <f t="shared" si="16"/>
        <v>8</v>
      </c>
      <c r="B102" s="26"/>
      <c r="C102" s="26"/>
      <c r="D102" s="22"/>
      <c r="E102" s="4"/>
      <c r="F102" s="4"/>
      <c r="G102" s="4"/>
      <c r="H102" s="4"/>
      <c r="I102" s="85"/>
      <c r="J102" s="4"/>
      <c r="K102" s="4"/>
      <c r="L102" s="4"/>
      <c r="M102" s="4"/>
      <c r="N102" s="4"/>
      <c r="O102" s="4"/>
      <c r="P102" s="4"/>
    </row>
    <row r="103" spans="1:16" ht="18.600000000000001" customHeight="1" x14ac:dyDescent="0.2">
      <c r="A103" s="6">
        <f t="shared" si="16"/>
        <v>9</v>
      </c>
      <c r="B103" s="26"/>
      <c r="C103" s="26"/>
      <c r="D103" s="22"/>
      <c r="E103" s="4"/>
      <c r="F103" s="4"/>
      <c r="G103" s="4"/>
      <c r="H103" s="4"/>
      <c r="I103" s="85"/>
      <c r="J103" s="4"/>
      <c r="K103" s="4"/>
      <c r="L103" s="4"/>
      <c r="M103" s="4"/>
      <c r="N103" s="4"/>
      <c r="O103" s="4"/>
      <c r="P103" s="4"/>
    </row>
    <row r="104" spans="1:16" ht="18.600000000000001" customHeight="1" x14ac:dyDescent="0.2">
      <c r="A104" s="10">
        <f t="shared" si="16"/>
        <v>10</v>
      </c>
      <c r="B104" s="62"/>
      <c r="C104" s="62"/>
      <c r="D104" s="23"/>
      <c r="E104" s="12"/>
      <c r="F104" s="12"/>
      <c r="G104" s="12"/>
      <c r="H104" s="12"/>
      <c r="I104" s="86"/>
      <c r="J104" s="12"/>
      <c r="K104" s="12"/>
      <c r="L104" s="12"/>
      <c r="M104" s="12"/>
      <c r="N104" s="12"/>
      <c r="O104" s="12"/>
      <c r="P104" s="12"/>
    </row>
    <row r="105" spans="1:16" ht="18.600000000000001" customHeight="1" x14ac:dyDescent="0.2">
      <c r="A105" s="35">
        <f t="shared" si="16"/>
        <v>11</v>
      </c>
      <c r="B105" s="60"/>
      <c r="C105" s="60"/>
      <c r="D105" s="61"/>
      <c r="E105" s="14"/>
      <c r="F105" s="14"/>
      <c r="G105" s="14"/>
      <c r="H105" s="14"/>
      <c r="I105" s="87"/>
      <c r="J105" s="14"/>
      <c r="K105" s="14"/>
      <c r="L105" s="14"/>
      <c r="M105" s="14"/>
      <c r="N105" s="14"/>
      <c r="O105" s="14"/>
      <c r="P105" s="14"/>
    </row>
    <row r="106" spans="1:16" ht="18.600000000000001" customHeight="1" x14ac:dyDescent="0.2">
      <c r="A106" s="7">
        <f t="shared" si="16"/>
        <v>12</v>
      </c>
      <c r="B106" s="26"/>
      <c r="C106" s="26"/>
      <c r="D106" s="22"/>
      <c r="E106" s="4"/>
      <c r="F106" s="4"/>
      <c r="G106" s="4"/>
      <c r="H106" s="4"/>
      <c r="I106" s="85"/>
      <c r="J106" s="4"/>
      <c r="K106" s="4"/>
      <c r="L106" s="4"/>
      <c r="M106" s="4"/>
      <c r="N106" s="4"/>
      <c r="O106" s="4"/>
      <c r="P106" s="4"/>
    </row>
    <row r="107" spans="1:16" ht="18.600000000000001" customHeight="1" x14ac:dyDescent="0.2">
      <c r="A107" s="7">
        <f t="shared" si="16"/>
        <v>13</v>
      </c>
      <c r="B107" s="26"/>
      <c r="C107" s="26"/>
      <c r="D107" s="22"/>
      <c r="E107" s="4"/>
      <c r="F107" s="4"/>
      <c r="G107" s="4"/>
      <c r="H107" s="4"/>
      <c r="I107" s="85"/>
      <c r="J107" s="4"/>
      <c r="K107" s="4"/>
      <c r="L107" s="4"/>
      <c r="M107" s="4"/>
      <c r="N107" s="4"/>
      <c r="O107" s="4"/>
      <c r="P107" s="4"/>
    </row>
    <row r="108" spans="1:16" ht="18.600000000000001" customHeight="1" x14ac:dyDescent="0.2">
      <c r="A108" s="7">
        <f t="shared" si="16"/>
        <v>14</v>
      </c>
      <c r="B108" s="3"/>
      <c r="C108" s="4"/>
      <c r="D108" s="8"/>
      <c r="E108" s="4"/>
      <c r="F108" s="4"/>
      <c r="G108" s="4"/>
      <c r="H108" s="4"/>
      <c r="I108" s="85"/>
      <c r="J108" s="4"/>
      <c r="K108" s="4"/>
      <c r="L108" s="4"/>
      <c r="M108" s="4"/>
      <c r="N108" s="4"/>
      <c r="O108" s="4"/>
      <c r="P108" s="4"/>
    </row>
    <row r="109" spans="1:16" ht="18.600000000000001" customHeight="1" x14ac:dyDescent="0.2">
      <c r="A109" s="6">
        <f t="shared" si="16"/>
        <v>15</v>
      </c>
      <c r="B109" s="15"/>
      <c r="C109" s="16"/>
      <c r="D109" s="5"/>
      <c r="E109" s="16"/>
      <c r="F109" s="16"/>
      <c r="G109" s="16"/>
      <c r="H109" s="16"/>
      <c r="I109" s="83"/>
      <c r="J109" s="16"/>
      <c r="K109" s="16"/>
      <c r="L109" s="16"/>
      <c r="M109" s="16"/>
      <c r="N109" s="16"/>
      <c r="O109" s="16"/>
      <c r="P109" s="16"/>
    </row>
    <row r="110" spans="1:16" ht="18.600000000000001" customHeight="1" x14ac:dyDescent="0.2">
      <c r="A110" s="32">
        <f t="shared" si="16"/>
        <v>16</v>
      </c>
      <c r="B110" s="1"/>
      <c r="C110" s="2"/>
      <c r="D110" s="33"/>
      <c r="E110" s="2"/>
      <c r="F110" s="2"/>
      <c r="G110" s="2"/>
      <c r="H110" s="2"/>
      <c r="I110" s="84"/>
      <c r="J110" s="2"/>
      <c r="K110" s="2"/>
      <c r="L110" s="2"/>
      <c r="M110" s="2"/>
      <c r="N110" s="2"/>
      <c r="O110" s="2"/>
      <c r="P110" s="2"/>
    </row>
    <row r="111" spans="1:16" ht="18.600000000000001" customHeight="1" x14ac:dyDescent="0.2">
      <c r="A111" s="7">
        <f t="shared" si="16"/>
        <v>17</v>
      </c>
      <c r="B111" s="3"/>
      <c r="C111" s="4"/>
      <c r="D111" s="8"/>
      <c r="E111" s="4"/>
      <c r="F111" s="4"/>
      <c r="G111" s="4"/>
      <c r="H111" s="4"/>
      <c r="I111" s="85"/>
      <c r="J111" s="4"/>
      <c r="K111" s="4"/>
      <c r="L111" s="4"/>
      <c r="M111" s="4"/>
      <c r="N111" s="4"/>
      <c r="O111" s="4"/>
      <c r="P111" s="4"/>
    </row>
    <row r="112" spans="1:16" ht="18.600000000000001" customHeight="1" x14ac:dyDescent="0.2">
      <c r="A112" s="7">
        <f t="shared" si="16"/>
        <v>18</v>
      </c>
      <c r="B112" s="3"/>
      <c r="C112" s="4"/>
      <c r="D112" s="8"/>
      <c r="E112" s="4"/>
      <c r="F112" s="4"/>
      <c r="G112" s="4"/>
      <c r="H112" s="4"/>
      <c r="I112" s="85"/>
      <c r="J112" s="4"/>
      <c r="K112" s="4"/>
      <c r="L112" s="4"/>
      <c r="M112" s="4"/>
      <c r="N112" s="4"/>
      <c r="O112" s="4"/>
      <c r="P112" s="4"/>
    </row>
    <row r="113" spans="1:16" ht="18.600000000000001" customHeight="1" x14ac:dyDescent="0.2">
      <c r="A113" s="7">
        <f t="shared" si="16"/>
        <v>19</v>
      </c>
      <c r="B113" s="3"/>
      <c r="C113" s="4"/>
      <c r="D113" s="8"/>
      <c r="E113" s="4"/>
      <c r="F113" s="4"/>
      <c r="G113" s="4"/>
      <c r="H113" s="4"/>
      <c r="I113" s="85"/>
      <c r="J113" s="4"/>
      <c r="K113" s="4"/>
      <c r="L113" s="4"/>
      <c r="M113" s="4"/>
      <c r="N113" s="4"/>
      <c r="O113" s="4"/>
      <c r="P113" s="4"/>
    </row>
    <row r="114" spans="1:16" ht="18.600000000000001" customHeight="1" x14ac:dyDescent="0.2">
      <c r="A114" s="10">
        <f t="shared" si="16"/>
        <v>20</v>
      </c>
      <c r="B114" s="11"/>
      <c r="C114" s="12"/>
      <c r="D114" s="9"/>
      <c r="E114" s="12"/>
      <c r="F114" s="12"/>
      <c r="G114" s="12"/>
      <c r="H114" s="12"/>
      <c r="I114" s="86"/>
      <c r="J114" s="12"/>
      <c r="K114" s="12"/>
      <c r="L114" s="12"/>
      <c r="M114" s="12"/>
      <c r="N114" s="12"/>
      <c r="O114" s="12"/>
      <c r="P114" s="12"/>
    </row>
    <row r="115" spans="1:16" ht="18.600000000000001" customHeight="1" x14ac:dyDescent="0.2">
      <c r="A115" s="35">
        <f t="shared" si="16"/>
        <v>21</v>
      </c>
      <c r="B115" s="13"/>
      <c r="C115" s="14"/>
      <c r="D115" s="37"/>
      <c r="E115" s="14"/>
      <c r="F115" s="14"/>
      <c r="G115" s="14"/>
      <c r="H115" s="14"/>
      <c r="I115" s="87"/>
      <c r="J115" s="14"/>
      <c r="K115" s="14"/>
      <c r="L115" s="14"/>
      <c r="M115" s="14"/>
      <c r="N115" s="14"/>
      <c r="O115" s="14"/>
      <c r="P115" s="14"/>
    </row>
    <row r="116" spans="1:16" ht="18.600000000000001" customHeight="1" x14ac:dyDescent="0.2">
      <c r="A116" s="7">
        <f t="shared" si="16"/>
        <v>22</v>
      </c>
      <c r="B116" s="3"/>
      <c r="C116" s="4"/>
      <c r="D116" s="8"/>
      <c r="E116" s="4"/>
      <c r="F116" s="4"/>
      <c r="G116" s="4"/>
      <c r="H116" s="4"/>
      <c r="I116" s="85"/>
      <c r="J116" s="4"/>
      <c r="K116" s="4"/>
      <c r="L116" s="4"/>
      <c r="M116" s="4"/>
      <c r="N116" s="4"/>
      <c r="O116" s="4"/>
      <c r="P116" s="4"/>
    </row>
    <row r="117" spans="1:16" ht="18.600000000000001" customHeight="1" x14ac:dyDescent="0.2">
      <c r="A117" s="35">
        <f t="shared" si="16"/>
        <v>23</v>
      </c>
      <c r="B117" s="3"/>
      <c r="C117" s="4"/>
      <c r="D117" s="8"/>
      <c r="E117" s="4"/>
      <c r="F117" s="4"/>
      <c r="G117" s="4"/>
      <c r="H117" s="4"/>
      <c r="I117" s="85"/>
      <c r="J117" s="4"/>
      <c r="K117" s="4"/>
      <c r="L117" s="4"/>
      <c r="M117" s="4"/>
      <c r="N117" s="4"/>
      <c r="O117" s="4"/>
      <c r="P117" s="4"/>
    </row>
    <row r="118" spans="1:16" ht="18.600000000000001" customHeight="1" x14ac:dyDescent="0.2">
      <c r="A118" s="7">
        <f t="shared" si="16"/>
        <v>24</v>
      </c>
      <c r="B118" s="3"/>
      <c r="C118" s="4"/>
      <c r="D118" s="8"/>
      <c r="E118" s="4"/>
      <c r="F118" s="4"/>
      <c r="G118" s="4"/>
      <c r="H118" s="4"/>
      <c r="I118" s="85"/>
      <c r="J118" s="4"/>
      <c r="K118" s="4"/>
      <c r="L118" s="4"/>
      <c r="M118" s="4"/>
      <c r="N118" s="4"/>
      <c r="O118" s="4"/>
      <c r="P118" s="4"/>
    </row>
    <row r="119" spans="1:16" ht="18.600000000000001" customHeight="1" x14ac:dyDescent="0.2">
      <c r="A119" s="35">
        <f t="shared" si="16"/>
        <v>25</v>
      </c>
      <c r="B119" s="11"/>
      <c r="C119" s="12"/>
      <c r="D119" s="9"/>
      <c r="E119" s="12"/>
      <c r="F119" s="12"/>
      <c r="G119" s="12"/>
      <c r="H119" s="12"/>
      <c r="I119" s="86"/>
      <c r="J119" s="12"/>
      <c r="K119" s="12"/>
      <c r="L119" s="12"/>
      <c r="M119" s="12"/>
      <c r="N119" s="12"/>
      <c r="O119" s="12"/>
      <c r="P119" s="12"/>
    </row>
    <row r="120" spans="1:16" ht="18.600000000000001" customHeight="1" x14ac:dyDescent="0.3">
      <c r="A120" s="147"/>
      <c r="B120" s="148"/>
      <c r="C120" s="147"/>
      <c r="D120" s="149"/>
      <c r="E120" s="150">
        <f>SUBTOTAL(9,E95:E119)</f>
        <v>0</v>
      </c>
      <c r="F120" s="152"/>
      <c r="G120" s="150">
        <f t="shared" ref="G120" si="17">SUBTOTAL(9,G95:G119)</f>
        <v>0</v>
      </c>
      <c r="H120" s="152"/>
      <c r="I120" s="150">
        <f t="shared" ref="I120" si="18">SUBTOTAL(9,I95:I119)</f>
        <v>0</v>
      </c>
      <c r="J120" s="152"/>
      <c r="K120" s="152"/>
      <c r="L120" s="152"/>
      <c r="M120" s="150">
        <f t="shared" ref="M120" si="19">SUBTOTAL(9,M95:M119)</f>
        <v>0</v>
      </c>
      <c r="N120" s="152"/>
      <c r="O120" s="150">
        <f t="shared" ref="O120" si="20">SUBTOTAL(9,O95:O119)</f>
        <v>0</v>
      </c>
      <c r="P120" s="152"/>
    </row>
    <row r="121" spans="1:16" ht="18.600000000000001" customHeight="1" x14ac:dyDescent="0.2">
      <c r="A121" s="434" t="str">
        <f>A91</f>
        <v>DANH SÁCH LỚP 2</v>
      </c>
      <c r="B121" s="434"/>
      <c r="C121" s="434"/>
      <c r="D121" s="434"/>
      <c r="E121" s="434"/>
      <c r="F121" s="434"/>
      <c r="G121" s="434"/>
      <c r="H121" s="434"/>
      <c r="I121" s="92">
        <v>5</v>
      </c>
      <c r="J121" s="48"/>
      <c r="K121" s="48"/>
      <c r="L121" s="48"/>
      <c r="M121" s="41"/>
      <c r="N121" s="41"/>
      <c r="O121" s="41"/>
      <c r="P121" s="41"/>
    </row>
    <row r="122" spans="1:16" ht="18.600000000000001" customHeight="1" x14ac:dyDescent="0.2">
      <c r="A122" s="28"/>
      <c r="B122" s="29"/>
      <c r="C122" s="30"/>
      <c r="D122" s="36"/>
      <c r="E122" s="28"/>
      <c r="F122" s="28"/>
      <c r="G122" s="28"/>
      <c r="H122" s="28"/>
      <c r="I122" s="79"/>
      <c r="J122" s="28"/>
      <c r="K122" s="28"/>
      <c r="L122" s="28"/>
      <c r="M122" s="28"/>
      <c r="N122" s="28"/>
      <c r="O122" s="28"/>
      <c r="P122" s="28"/>
    </row>
    <row r="123" spans="1:16" ht="18.600000000000001" customHeight="1" x14ac:dyDescent="0.2">
      <c r="A123" s="435" t="s">
        <v>374</v>
      </c>
      <c r="B123" s="435" t="s">
        <v>380</v>
      </c>
      <c r="C123" s="435" t="s">
        <v>383</v>
      </c>
      <c r="D123" s="437" t="s">
        <v>384</v>
      </c>
      <c r="E123" s="438" t="s">
        <v>385</v>
      </c>
      <c r="F123" s="439"/>
      <c r="G123" s="432" t="str">
        <f>$R$1</f>
        <v>Đợt 1</v>
      </c>
      <c r="H123" s="433"/>
      <c r="I123" s="432" t="str">
        <f>$V$1</f>
        <v>Đợt 3</v>
      </c>
      <c r="J123" s="433"/>
      <c r="K123" s="432" t="str">
        <f>$T$1</f>
        <v>Đợt 2</v>
      </c>
      <c r="L123" s="433"/>
      <c r="M123" s="432" t="str">
        <f>$X$1</f>
        <v>Đợt 4</v>
      </c>
      <c r="N123" s="433"/>
      <c r="O123" s="432" t="str">
        <f>$Z$1</f>
        <v>Đợt 5</v>
      </c>
      <c r="P123" s="433"/>
    </row>
    <row r="124" spans="1:16" ht="18.600000000000001" customHeight="1" x14ac:dyDescent="0.2">
      <c r="A124" s="436"/>
      <c r="B124" s="436"/>
      <c r="C124" s="436"/>
      <c r="D124" s="436"/>
      <c r="E124" s="31" t="s">
        <v>381</v>
      </c>
      <c r="F124" s="31" t="s">
        <v>382</v>
      </c>
      <c r="G124" s="31" t="s">
        <v>381</v>
      </c>
      <c r="H124" s="31" t="s">
        <v>382</v>
      </c>
      <c r="I124" s="80" t="s">
        <v>381</v>
      </c>
      <c r="J124" s="31" t="s">
        <v>382</v>
      </c>
      <c r="K124" s="80" t="s">
        <v>381</v>
      </c>
      <c r="L124" s="31" t="s">
        <v>382</v>
      </c>
      <c r="M124" s="31" t="s">
        <v>381</v>
      </c>
      <c r="N124" s="31" t="s">
        <v>382</v>
      </c>
      <c r="O124" s="31" t="s">
        <v>381</v>
      </c>
      <c r="P124" s="31" t="s">
        <v>382</v>
      </c>
    </row>
    <row r="125" spans="1:16" ht="18.600000000000001" customHeight="1" x14ac:dyDescent="0.2">
      <c r="A125" s="32">
        <v>1</v>
      </c>
      <c r="B125" s="26"/>
      <c r="C125" s="26"/>
      <c r="D125" s="22"/>
      <c r="E125" s="32"/>
      <c r="F125" s="34"/>
      <c r="G125" s="32"/>
      <c r="H125" s="93"/>
      <c r="I125" s="81"/>
      <c r="J125" s="34"/>
      <c r="K125" s="34"/>
      <c r="L125" s="34"/>
      <c r="M125" s="32"/>
      <c r="N125" s="34"/>
      <c r="O125" s="32"/>
      <c r="P125" s="34"/>
    </row>
    <row r="126" spans="1:16" ht="18.600000000000001" customHeight="1" x14ac:dyDescent="0.2">
      <c r="A126" s="7">
        <f t="shared" ref="A126:A149" si="21">A125+1</f>
        <v>2</v>
      </c>
      <c r="B126" s="26"/>
      <c r="C126" s="26"/>
      <c r="D126" s="22"/>
      <c r="E126" s="7"/>
      <c r="F126" s="7"/>
      <c r="G126" s="7"/>
      <c r="H126" s="7"/>
      <c r="I126" s="82"/>
      <c r="J126" s="7"/>
      <c r="K126" s="7"/>
      <c r="L126" s="7"/>
      <c r="M126" s="7"/>
      <c r="N126" s="7"/>
      <c r="O126" s="7"/>
      <c r="P126" s="7"/>
    </row>
    <row r="127" spans="1:16" ht="18.600000000000001" customHeight="1" x14ac:dyDescent="0.2">
      <c r="A127" s="7">
        <f t="shared" si="21"/>
        <v>3</v>
      </c>
      <c r="B127" s="26"/>
      <c r="C127" s="26"/>
      <c r="D127" s="22"/>
      <c r="E127" s="7"/>
      <c r="F127" s="7"/>
      <c r="G127" s="7"/>
      <c r="H127" s="7"/>
      <c r="I127" s="82"/>
      <c r="J127" s="7"/>
      <c r="K127" s="7"/>
      <c r="L127" s="7"/>
      <c r="M127" s="7"/>
      <c r="N127" s="7"/>
      <c r="O127" s="7"/>
      <c r="P127" s="7"/>
    </row>
    <row r="128" spans="1:16" ht="18.600000000000001" customHeight="1" x14ac:dyDescent="0.2">
      <c r="A128" s="7">
        <f t="shared" si="21"/>
        <v>4</v>
      </c>
      <c r="B128" s="26"/>
      <c r="C128" s="26"/>
      <c r="D128" s="22"/>
      <c r="E128" s="7"/>
      <c r="F128" s="7"/>
      <c r="G128" s="7"/>
      <c r="H128" s="7"/>
      <c r="I128" s="82"/>
      <c r="J128" s="7"/>
      <c r="K128" s="7"/>
      <c r="L128" s="7"/>
      <c r="M128" s="7"/>
      <c r="N128" s="7"/>
      <c r="O128" s="7"/>
      <c r="P128" s="7"/>
    </row>
    <row r="129" spans="1:16" ht="18.600000000000001" customHeight="1" x14ac:dyDescent="0.2">
      <c r="A129" s="6">
        <f t="shared" si="21"/>
        <v>5</v>
      </c>
      <c r="B129" s="58"/>
      <c r="C129" s="58"/>
      <c r="D129" s="59"/>
      <c r="E129" s="16"/>
      <c r="F129" s="16"/>
      <c r="G129" s="16"/>
      <c r="H129" s="16"/>
      <c r="I129" s="83"/>
      <c r="J129" s="16"/>
      <c r="K129" s="16"/>
      <c r="L129" s="16"/>
      <c r="M129" s="16"/>
      <c r="N129" s="16"/>
      <c r="O129" s="16"/>
      <c r="P129" s="16"/>
    </row>
    <row r="130" spans="1:16" ht="18.600000000000001" customHeight="1" x14ac:dyDescent="0.2">
      <c r="A130" s="56">
        <f t="shared" si="21"/>
        <v>6</v>
      </c>
      <c r="B130" s="57"/>
      <c r="C130" s="57"/>
      <c r="D130" s="21"/>
      <c r="E130" s="2"/>
      <c r="F130" s="2"/>
      <c r="G130" s="2"/>
      <c r="H130" s="2"/>
      <c r="I130" s="84"/>
      <c r="J130" s="2"/>
      <c r="K130" s="2"/>
      <c r="L130" s="2"/>
      <c r="M130" s="2"/>
      <c r="N130" s="2"/>
      <c r="O130" s="2"/>
      <c r="P130" s="2"/>
    </row>
    <row r="131" spans="1:16" ht="18.600000000000001" customHeight="1" x14ac:dyDescent="0.2">
      <c r="A131" s="6">
        <f t="shared" si="21"/>
        <v>7</v>
      </c>
      <c r="B131" s="26"/>
      <c r="C131" s="26"/>
      <c r="D131" s="22"/>
      <c r="E131" s="4"/>
      <c r="F131" s="4"/>
      <c r="G131" s="4"/>
      <c r="H131" s="4"/>
      <c r="I131" s="85"/>
      <c r="J131" s="4"/>
      <c r="K131" s="4"/>
      <c r="L131" s="4"/>
      <c r="M131" s="4"/>
      <c r="N131" s="4"/>
      <c r="O131" s="4"/>
      <c r="P131" s="4"/>
    </row>
    <row r="132" spans="1:16" ht="18.600000000000001" customHeight="1" x14ac:dyDescent="0.2">
      <c r="A132" s="6">
        <f t="shared" si="21"/>
        <v>8</v>
      </c>
      <c r="B132" s="26"/>
      <c r="C132" s="26"/>
      <c r="D132" s="22"/>
      <c r="E132" s="4"/>
      <c r="F132" s="4"/>
      <c r="G132" s="4"/>
      <c r="H132" s="4"/>
      <c r="I132" s="85"/>
      <c r="J132" s="4"/>
      <c r="K132" s="4"/>
      <c r="L132" s="4"/>
      <c r="M132" s="4"/>
      <c r="N132" s="4"/>
      <c r="O132" s="4"/>
      <c r="P132" s="4"/>
    </row>
    <row r="133" spans="1:16" ht="18.600000000000001" customHeight="1" x14ac:dyDescent="0.2">
      <c r="A133" s="6">
        <f t="shared" si="21"/>
        <v>9</v>
      </c>
      <c r="B133" s="26"/>
      <c r="C133" s="26"/>
      <c r="D133" s="22"/>
      <c r="E133" s="4"/>
      <c r="F133" s="4"/>
      <c r="G133" s="4"/>
      <c r="H133" s="4"/>
      <c r="I133" s="85"/>
      <c r="J133" s="4"/>
      <c r="K133" s="4"/>
      <c r="L133" s="4"/>
      <c r="M133" s="4"/>
      <c r="N133" s="4"/>
      <c r="O133" s="4"/>
      <c r="P133" s="4"/>
    </row>
    <row r="134" spans="1:16" ht="18.600000000000001" customHeight="1" x14ac:dyDescent="0.2">
      <c r="A134" s="10">
        <f t="shared" si="21"/>
        <v>10</v>
      </c>
      <c r="B134" s="62"/>
      <c r="C134" s="62"/>
      <c r="D134" s="23"/>
      <c r="E134" s="12"/>
      <c r="F134" s="12"/>
      <c r="G134" s="12"/>
      <c r="H134" s="12"/>
      <c r="I134" s="86"/>
      <c r="J134" s="12"/>
      <c r="K134" s="12"/>
      <c r="L134" s="12"/>
      <c r="M134" s="12"/>
      <c r="N134" s="12"/>
      <c r="O134" s="12"/>
      <c r="P134" s="12"/>
    </row>
    <row r="135" spans="1:16" ht="18.600000000000001" customHeight="1" x14ac:dyDescent="0.2">
      <c r="A135" s="35">
        <f t="shared" si="21"/>
        <v>11</v>
      </c>
      <c r="B135" s="60"/>
      <c r="C135" s="60"/>
      <c r="D135" s="61"/>
      <c r="E135" s="14"/>
      <c r="F135" s="14"/>
      <c r="G135" s="14"/>
      <c r="H135" s="14"/>
      <c r="I135" s="87"/>
      <c r="J135" s="14"/>
      <c r="K135" s="14"/>
      <c r="L135" s="14"/>
      <c r="M135" s="14"/>
      <c r="N135" s="14"/>
      <c r="O135" s="14"/>
      <c r="P135" s="14"/>
    </row>
    <row r="136" spans="1:16" ht="18.600000000000001" customHeight="1" x14ac:dyDescent="0.2">
      <c r="A136" s="7">
        <f t="shared" si="21"/>
        <v>12</v>
      </c>
      <c r="B136" s="26"/>
      <c r="C136" s="26"/>
      <c r="D136" s="22"/>
      <c r="E136" s="4"/>
      <c r="F136" s="4"/>
      <c r="G136" s="4"/>
      <c r="H136" s="4"/>
      <c r="I136" s="85"/>
      <c r="J136" s="4"/>
      <c r="K136" s="4"/>
      <c r="L136" s="4"/>
      <c r="M136" s="4"/>
      <c r="N136" s="4"/>
      <c r="O136" s="4"/>
      <c r="P136" s="4"/>
    </row>
    <row r="137" spans="1:16" ht="18.600000000000001" customHeight="1" x14ac:dyDescent="0.2">
      <c r="A137" s="7">
        <f t="shared" si="21"/>
        <v>13</v>
      </c>
      <c r="B137" s="26"/>
      <c r="C137" s="26"/>
      <c r="D137" s="22"/>
      <c r="E137" s="4"/>
      <c r="F137" s="4"/>
      <c r="G137" s="4"/>
      <c r="H137" s="4"/>
      <c r="I137" s="85"/>
      <c r="J137" s="4"/>
      <c r="K137" s="4"/>
      <c r="L137" s="4"/>
      <c r="M137" s="4"/>
      <c r="N137" s="4"/>
      <c r="O137" s="4"/>
      <c r="P137" s="4"/>
    </row>
    <row r="138" spans="1:16" ht="18.600000000000001" customHeight="1" x14ac:dyDescent="0.2">
      <c r="A138" s="7">
        <f t="shared" si="21"/>
        <v>14</v>
      </c>
      <c r="B138" s="3"/>
      <c r="C138" s="4"/>
      <c r="D138" s="8"/>
      <c r="E138" s="4"/>
      <c r="F138" s="4"/>
      <c r="G138" s="4"/>
      <c r="H138" s="4"/>
      <c r="I138" s="85"/>
      <c r="J138" s="4"/>
      <c r="K138" s="4"/>
      <c r="L138" s="4"/>
      <c r="M138" s="4"/>
      <c r="N138" s="4"/>
      <c r="O138" s="4"/>
      <c r="P138" s="4"/>
    </row>
    <row r="139" spans="1:16" ht="18.600000000000001" customHeight="1" x14ac:dyDescent="0.2">
      <c r="A139" s="6">
        <f t="shared" si="21"/>
        <v>15</v>
      </c>
      <c r="B139" s="15"/>
      <c r="C139" s="16"/>
      <c r="D139" s="5"/>
      <c r="E139" s="16"/>
      <c r="F139" s="16"/>
      <c r="G139" s="16"/>
      <c r="H139" s="16"/>
      <c r="I139" s="83"/>
      <c r="J139" s="16"/>
      <c r="K139" s="16"/>
      <c r="L139" s="16"/>
      <c r="M139" s="16"/>
      <c r="N139" s="16"/>
      <c r="O139" s="16"/>
      <c r="P139" s="16"/>
    </row>
    <row r="140" spans="1:16" ht="18.600000000000001" customHeight="1" x14ac:dyDescent="0.2">
      <c r="A140" s="32">
        <f t="shared" si="21"/>
        <v>16</v>
      </c>
      <c r="B140" s="1"/>
      <c r="C140" s="2"/>
      <c r="D140" s="33"/>
      <c r="E140" s="2"/>
      <c r="F140" s="2"/>
      <c r="G140" s="2"/>
      <c r="H140" s="2"/>
      <c r="I140" s="84"/>
      <c r="J140" s="2"/>
      <c r="K140" s="2"/>
      <c r="L140" s="2"/>
      <c r="M140" s="2"/>
      <c r="N140" s="2"/>
      <c r="O140" s="2"/>
      <c r="P140" s="2"/>
    </row>
    <row r="141" spans="1:16" ht="18.600000000000001" customHeight="1" x14ac:dyDescent="0.2">
      <c r="A141" s="7">
        <f t="shared" si="21"/>
        <v>17</v>
      </c>
      <c r="B141" s="3"/>
      <c r="C141" s="4"/>
      <c r="D141" s="8"/>
      <c r="E141" s="4"/>
      <c r="F141" s="4"/>
      <c r="G141" s="4"/>
      <c r="H141" s="4"/>
      <c r="I141" s="85"/>
      <c r="J141" s="4"/>
      <c r="K141" s="4"/>
      <c r="L141" s="4"/>
      <c r="M141" s="4"/>
      <c r="N141" s="4"/>
      <c r="O141" s="4"/>
      <c r="P141" s="4"/>
    </row>
    <row r="142" spans="1:16" ht="18.600000000000001" customHeight="1" x14ac:dyDescent="0.2">
      <c r="A142" s="7">
        <f t="shared" si="21"/>
        <v>18</v>
      </c>
      <c r="B142" s="3"/>
      <c r="C142" s="4"/>
      <c r="D142" s="8"/>
      <c r="E142" s="4"/>
      <c r="F142" s="4"/>
      <c r="G142" s="4"/>
      <c r="H142" s="4"/>
      <c r="I142" s="85"/>
      <c r="J142" s="4"/>
      <c r="K142" s="4"/>
      <c r="L142" s="4"/>
      <c r="M142" s="4"/>
      <c r="N142" s="4"/>
      <c r="O142" s="4"/>
      <c r="P142" s="4"/>
    </row>
    <row r="143" spans="1:16" ht="18.600000000000001" customHeight="1" x14ac:dyDescent="0.2">
      <c r="A143" s="7">
        <f t="shared" si="21"/>
        <v>19</v>
      </c>
      <c r="B143" s="3"/>
      <c r="C143" s="4"/>
      <c r="D143" s="8"/>
      <c r="E143" s="4"/>
      <c r="F143" s="4"/>
      <c r="G143" s="4"/>
      <c r="H143" s="4"/>
      <c r="I143" s="85"/>
      <c r="J143" s="4"/>
      <c r="K143" s="4"/>
      <c r="L143" s="4"/>
      <c r="M143" s="4"/>
      <c r="N143" s="4"/>
      <c r="O143" s="4"/>
      <c r="P143" s="4"/>
    </row>
    <row r="144" spans="1:16" ht="18.600000000000001" customHeight="1" x14ac:dyDescent="0.2">
      <c r="A144" s="10">
        <f t="shared" si="21"/>
        <v>20</v>
      </c>
      <c r="B144" s="11"/>
      <c r="C144" s="12"/>
      <c r="D144" s="9"/>
      <c r="E144" s="12"/>
      <c r="F144" s="12"/>
      <c r="G144" s="12"/>
      <c r="H144" s="12"/>
      <c r="I144" s="86"/>
      <c r="J144" s="12"/>
      <c r="K144" s="12"/>
      <c r="L144" s="12"/>
      <c r="M144" s="12"/>
      <c r="N144" s="12"/>
      <c r="O144" s="12"/>
      <c r="P144" s="12"/>
    </row>
    <row r="145" spans="1:16" ht="18.600000000000001" customHeight="1" x14ac:dyDescent="0.2">
      <c r="A145" s="35">
        <f t="shared" si="21"/>
        <v>21</v>
      </c>
      <c r="B145" s="13"/>
      <c r="C145" s="14"/>
      <c r="D145" s="37"/>
      <c r="E145" s="14"/>
      <c r="F145" s="14"/>
      <c r="G145" s="14"/>
      <c r="H145" s="14"/>
      <c r="I145" s="87"/>
      <c r="J145" s="14"/>
      <c r="K145" s="14"/>
      <c r="L145" s="14"/>
      <c r="M145" s="14"/>
      <c r="N145" s="14"/>
      <c r="O145" s="14"/>
      <c r="P145" s="14"/>
    </row>
    <row r="146" spans="1:16" ht="18.600000000000001" customHeight="1" x14ac:dyDescent="0.2">
      <c r="A146" s="7">
        <f t="shared" si="21"/>
        <v>22</v>
      </c>
      <c r="B146" s="3"/>
      <c r="C146" s="4"/>
      <c r="D146" s="8"/>
      <c r="E146" s="4"/>
      <c r="F146" s="4"/>
      <c r="G146" s="4"/>
      <c r="H146" s="4"/>
      <c r="I146" s="85"/>
      <c r="J146" s="4"/>
      <c r="K146" s="4"/>
      <c r="L146" s="4"/>
      <c r="M146" s="4"/>
      <c r="N146" s="4"/>
      <c r="O146" s="4"/>
      <c r="P146" s="4"/>
    </row>
    <row r="147" spans="1:16" ht="18.600000000000001" customHeight="1" x14ac:dyDescent="0.2">
      <c r="A147" s="35">
        <f t="shared" si="21"/>
        <v>23</v>
      </c>
      <c r="B147" s="3"/>
      <c r="C147" s="4"/>
      <c r="D147" s="8"/>
      <c r="E147" s="4"/>
      <c r="F147" s="4"/>
      <c r="G147" s="4"/>
      <c r="H147" s="4"/>
      <c r="I147" s="85"/>
      <c r="J147" s="4"/>
      <c r="K147" s="4"/>
      <c r="L147" s="4"/>
      <c r="M147" s="4"/>
      <c r="N147" s="4"/>
      <c r="O147" s="4"/>
      <c r="P147" s="4"/>
    </row>
    <row r="148" spans="1:16" ht="18.600000000000001" customHeight="1" x14ac:dyDescent="0.2">
      <c r="A148" s="7">
        <f t="shared" si="21"/>
        <v>24</v>
      </c>
      <c r="B148" s="3"/>
      <c r="C148" s="4"/>
      <c r="D148" s="8"/>
      <c r="E148" s="4"/>
      <c r="F148" s="4"/>
      <c r="G148" s="4"/>
      <c r="H148" s="4"/>
      <c r="I148" s="85"/>
      <c r="J148" s="4"/>
      <c r="K148" s="4"/>
      <c r="L148" s="4"/>
      <c r="M148" s="4"/>
      <c r="N148" s="4"/>
      <c r="O148" s="4"/>
      <c r="P148" s="4"/>
    </row>
    <row r="149" spans="1:16" ht="18.600000000000001" customHeight="1" x14ac:dyDescent="0.2">
      <c r="A149" s="35">
        <f t="shared" si="21"/>
        <v>25</v>
      </c>
      <c r="B149" s="11"/>
      <c r="C149" s="12"/>
      <c r="D149" s="9"/>
      <c r="E149" s="12"/>
      <c r="F149" s="12"/>
      <c r="G149" s="12"/>
      <c r="H149" s="12"/>
      <c r="I149" s="86"/>
      <c r="J149" s="12"/>
      <c r="K149" s="12"/>
      <c r="L149" s="12"/>
      <c r="M149" s="12"/>
      <c r="N149" s="12"/>
      <c r="O149" s="12"/>
      <c r="P149" s="12"/>
    </row>
    <row r="150" spans="1:16" ht="18.600000000000001" customHeight="1" x14ac:dyDescent="0.3">
      <c r="A150" s="147"/>
      <c r="B150" s="148"/>
      <c r="C150" s="147"/>
      <c r="D150" s="149"/>
      <c r="E150" s="150">
        <f>SUBTOTAL(9,E125:E149)</f>
        <v>0</v>
      </c>
      <c r="F150" s="152"/>
      <c r="G150" s="150">
        <f t="shared" ref="G150" si="22">SUBTOTAL(9,G125:G149)</f>
        <v>0</v>
      </c>
      <c r="H150" s="152"/>
      <c r="I150" s="150">
        <f t="shared" ref="I150" si="23">SUBTOTAL(9,I125:I149)</f>
        <v>0</v>
      </c>
      <c r="J150" s="152"/>
      <c r="K150" s="152"/>
      <c r="L150" s="152"/>
      <c r="M150" s="150">
        <f t="shared" ref="M150" si="24">SUBTOTAL(9,M125:M149)</f>
        <v>0</v>
      </c>
      <c r="N150" s="152"/>
      <c r="O150" s="150">
        <f t="shared" ref="O150" si="25">SUBTOTAL(9,O125:O149)</f>
        <v>0</v>
      </c>
      <c r="P150" s="152"/>
    </row>
    <row r="151" spans="1:16" ht="18.600000000000001" customHeight="1" x14ac:dyDescent="0.2">
      <c r="A151" s="434" t="str">
        <f>A121</f>
        <v>DANH SÁCH LỚP 2</v>
      </c>
      <c r="B151" s="434"/>
      <c r="C151" s="434"/>
      <c r="D151" s="434"/>
      <c r="E151" s="434"/>
      <c r="F151" s="434"/>
      <c r="G151" s="434"/>
      <c r="H151" s="434"/>
      <c r="I151" s="92">
        <v>6</v>
      </c>
      <c r="J151" s="48"/>
      <c r="K151" s="48"/>
      <c r="L151" s="48"/>
      <c r="M151" s="41"/>
      <c r="N151" s="41"/>
      <c r="O151" s="41"/>
      <c r="P151" s="41"/>
    </row>
    <row r="152" spans="1:16" ht="18.600000000000001" customHeight="1" x14ac:dyDescent="0.2">
      <c r="A152" s="28"/>
      <c r="B152" s="29"/>
      <c r="C152" s="30"/>
      <c r="D152" s="36"/>
      <c r="E152" s="28"/>
      <c r="F152" s="28"/>
      <c r="G152" s="28"/>
      <c r="H152" s="28"/>
      <c r="I152" s="79"/>
      <c r="J152" s="28"/>
      <c r="K152" s="28"/>
      <c r="L152" s="28"/>
      <c r="M152" s="28"/>
      <c r="N152" s="28"/>
      <c r="O152" s="28"/>
      <c r="P152" s="28"/>
    </row>
    <row r="153" spans="1:16" ht="18.600000000000001" customHeight="1" x14ac:dyDescent="0.2">
      <c r="A153" s="435" t="s">
        <v>374</v>
      </c>
      <c r="B153" s="435" t="s">
        <v>380</v>
      </c>
      <c r="C153" s="435" t="s">
        <v>383</v>
      </c>
      <c r="D153" s="437" t="s">
        <v>384</v>
      </c>
      <c r="E153" s="438" t="s">
        <v>385</v>
      </c>
      <c r="F153" s="439"/>
      <c r="G153" s="432" t="str">
        <f>$R$1</f>
        <v>Đợt 1</v>
      </c>
      <c r="H153" s="433"/>
      <c r="I153" s="432" t="str">
        <f>$T$1</f>
        <v>Đợt 2</v>
      </c>
      <c r="J153" s="433"/>
      <c r="K153" s="432" t="str">
        <f>$V$1</f>
        <v>Đợt 3</v>
      </c>
      <c r="L153" s="433"/>
      <c r="M153" s="432" t="str">
        <f>$X$1</f>
        <v>Đợt 4</v>
      </c>
      <c r="N153" s="433"/>
      <c r="O153" s="432" t="str">
        <f>$Z$1</f>
        <v>Đợt 5</v>
      </c>
      <c r="P153" s="433"/>
    </row>
    <row r="154" spans="1:16" ht="18.600000000000001" customHeight="1" x14ac:dyDescent="0.2">
      <c r="A154" s="436"/>
      <c r="B154" s="436"/>
      <c r="C154" s="436"/>
      <c r="D154" s="436"/>
      <c r="E154" s="31" t="s">
        <v>381</v>
      </c>
      <c r="F154" s="31" t="s">
        <v>382</v>
      </c>
      <c r="G154" s="31" t="s">
        <v>381</v>
      </c>
      <c r="H154" s="31" t="s">
        <v>382</v>
      </c>
      <c r="I154" s="80" t="s">
        <v>381</v>
      </c>
      <c r="J154" s="31" t="s">
        <v>382</v>
      </c>
      <c r="K154" s="80" t="s">
        <v>381</v>
      </c>
      <c r="L154" s="31" t="s">
        <v>382</v>
      </c>
      <c r="M154" s="31" t="s">
        <v>381</v>
      </c>
      <c r="N154" s="31" t="s">
        <v>382</v>
      </c>
      <c r="O154" s="31" t="s">
        <v>381</v>
      </c>
      <c r="P154" s="31" t="s">
        <v>382</v>
      </c>
    </row>
    <row r="155" spans="1:16" ht="18.600000000000001" customHeight="1" x14ac:dyDescent="0.2">
      <c r="A155" s="32">
        <v>1</v>
      </c>
      <c r="B155" s="26"/>
      <c r="C155" s="26"/>
      <c r="D155" s="22"/>
      <c r="E155" s="32"/>
      <c r="F155" s="34"/>
      <c r="G155" s="32"/>
      <c r="H155" s="93"/>
      <c r="I155" s="81"/>
      <c r="J155" s="34"/>
      <c r="K155" s="34"/>
      <c r="L155" s="34"/>
      <c r="M155" s="32"/>
      <c r="N155" s="34"/>
      <c r="O155" s="32"/>
      <c r="P155" s="34"/>
    </row>
    <row r="156" spans="1:16" ht="18.600000000000001" customHeight="1" x14ac:dyDescent="0.2">
      <c r="A156" s="7">
        <f t="shared" ref="A156:A179" si="26">A155+1</f>
        <v>2</v>
      </c>
      <c r="B156" s="26"/>
      <c r="C156" s="26"/>
      <c r="D156" s="22"/>
      <c r="E156" s="7"/>
      <c r="F156" s="7"/>
      <c r="G156" s="7"/>
      <c r="H156" s="7"/>
      <c r="I156" s="82"/>
      <c r="J156" s="7"/>
      <c r="K156" s="7"/>
      <c r="L156" s="7"/>
      <c r="M156" s="7"/>
      <c r="N156" s="7"/>
      <c r="O156" s="7"/>
      <c r="P156" s="7"/>
    </row>
    <row r="157" spans="1:16" ht="18.600000000000001" customHeight="1" x14ac:dyDescent="0.2">
      <c r="A157" s="7">
        <f t="shared" si="26"/>
        <v>3</v>
      </c>
      <c r="B157" s="26"/>
      <c r="C157" s="26"/>
      <c r="D157" s="22"/>
      <c r="E157" s="7"/>
      <c r="F157" s="7"/>
      <c r="G157" s="7"/>
      <c r="H157" s="7"/>
      <c r="I157" s="82"/>
      <c r="J157" s="7"/>
      <c r="K157" s="7"/>
      <c r="L157" s="7"/>
      <c r="M157" s="7"/>
      <c r="N157" s="7"/>
      <c r="O157" s="7"/>
      <c r="P157" s="7"/>
    </row>
    <row r="158" spans="1:16" ht="18.600000000000001" customHeight="1" x14ac:dyDescent="0.2">
      <c r="A158" s="7">
        <f t="shared" si="26"/>
        <v>4</v>
      </c>
      <c r="B158" s="26"/>
      <c r="C158" s="26"/>
      <c r="D158" s="22"/>
      <c r="E158" s="7"/>
      <c r="F158" s="7"/>
      <c r="G158" s="7"/>
      <c r="H158" s="7"/>
      <c r="I158" s="82"/>
      <c r="J158" s="7"/>
      <c r="K158" s="7"/>
      <c r="L158" s="7"/>
      <c r="M158" s="7"/>
      <c r="N158" s="7"/>
      <c r="O158" s="7"/>
      <c r="P158" s="7"/>
    </row>
    <row r="159" spans="1:16" ht="18.600000000000001" customHeight="1" x14ac:dyDescent="0.2">
      <c r="A159" s="6">
        <f t="shared" si="26"/>
        <v>5</v>
      </c>
      <c r="B159" s="58"/>
      <c r="C159" s="58"/>
      <c r="D159" s="59"/>
      <c r="E159" s="16"/>
      <c r="F159" s="16"/>
      <c r="G159" s="16"/>
      <c r="H159" s="16"/>
      <c r="I159" s="83"/>
      <c r="J159" s="16"/>
      <c r="K159" s="16"/>
      <c r="L159" s="16"/>
      <c r="M159" s="16"/>
      <c r="N159" s="16"/>
      <c r="O159" s="16"/>
      <c r="P159" s="16"/>
    </row>
    <row r="160" spans="1:16" ht="18.600000000000001" customHeight="1" x14ac:dyDescent="0.2">
      <c r="A160" s="56">
        <f t="shared" si="26"/>
        <v>6</v>
      </c>
      <c r="B160" s="57"/>
      <c r="C160" s="57"/>
      <c r="D160" s="21"/>
      <c r="E160" s="2"/>
      <c r="F160" s="2"/>
      <c r="G160" s="2"/>
      <c r="H160" s="2"/>
      <c r="I160" s="84"/>
      <c r="J160" s="2"/>
      <c r="K160" s="2"/>
      <c r="L160" s="2"/>
      <c r="M160" s="2"/>
      <c r="N160" s="2"/>
      <c r="O160" s="2"/>
      <c r="P160" s="2"/>
    </row>
    <row r="161" spans="1:16" ht="18.600000000000001" customHeight="1" x14ac:dyDescent="0.2">
      <c r="A161" s="6">
        <f t="shared" si="26"/>
        <v>7</v>
      </c>
      <c r="B161" s="26"/>
      <c r="C161" s="26"/>
      <c r="D161" s="22"/>
      <c r="E161" s="4"/>
      <c r="F161" s="4"/>
      <c r="G161" s="4"/>
      <c r="H161" s="4"/>
      <c r="I161" s="85"/>
      <c r="J161" s="4"/>
      <c r="K161" s="4"/>
      <c r="L161" s="4"/>
      <c r="M161" s="4"/>
      <c r="N161" s="4"/>
      <c r="O161" s="4"/>
      <c r="P161" s="4"/>
    </row>
    <row r="162" spans="1:16" ht="18.600000000000001" customHeight="1" x14ac:dyDescent="0.2">
      <c r="A162" s="6">
        <f t="shared" si="26"/>
        <v>8</v>
      </c>
      <c r="B162" s="26"/>
      <c r="C162" s="26"/>
      <c r="D162" s="22"/>
      <c r="E162" s="4"/>
      <c r="F162" s="4"/>
      <c r="G162" s="4"/>
      <c r="H162" s="4"/>
      <c r="I162" s="85"/>
      <c r="J162" s="4"/>
      <c r="K162" s="4"/>
      <c r="L162" s="4"/>
      <c r="M162" s="4"/>
      <c r="N162" s="4"/>
      <c r="O162" s="4"/>
      <c r="P162" s="4"/>
    </row>
    <row r="163" spans="1:16" ht="18.600000000000001" customHeight="1" x14ac:dyDescent="0.2">
      <c r="A163" s="6">
        <f t="shared" si="26"/>
        <v>9</v>
      </c>
      <c r="B163" s="26"/>
      <c r="C163" s="26"/>
      <c r="D163" s="22"/>
      <c r="E163" s="4"/>
      <c r="F163" s="4"/>
      <c r="G163" s="4"/>
      <c r="H163" s="4"/>
      <c r="I163" s="85"/>
      <c r="J163" s="4"/>
      <c r="K163" s="4"/>
      <c r="L163" s="4"/>
      <c r="M163" s="4"/>
      <c r="N163" s="4"/>
      <c r="O163" s="4"/>
      <c r="P163" s="4"/>
    </row>
    <row r="164" spans="1:16" ht="18.600000000000001" customHeight="1" x14ac:dyDescent="0.2">
      <c r="A164" s="10">
        <f t="shared" si="26"/>
        <v>10</v>
      </c>
      <c r="B164" s="62"/>
      <c r="C164" s="62"/>
      <c r="D164" s="23"/>
      <c r="E164" s="12"/>
      <c r="F164" s="12"/>
      <c r="G164" s="12"/>
      <c r="H164" s="12"/>
      <c r="I164" s="86"/>
      <c r="J164" s="12"/>
      <c r="K164" s="12"/>
      <c r="L164" s="12"/>
      <c r="M164" s="12"/>
      <c r="N164" s="12"/>
      <c r="O164" s="12"/>
      <c r="P164" s="12"/>
    </row>
    <row r="165" spans="1:16" ht="18.600000000000001" customHeight="1" x14ac:dyDescent="0.2">
      <c r="A165" s="35">
        <f t="shared" si="26"/>
        <v>11</v>
      </c>
      <c r="B165" s="60"/>
      <c r="C165" s="60"/>
      <c r="D165" s="61"/>
      <c r="E165" s="14"/>
      <c r="F165" s="14"/>
      <c r="G165" s="14"/>
      <c r="H165" s="14"/>
      <c r="I165" s="87"/>
      <c r="J165" s="14"/>
      <c r="K165" s="14"/>
      <c r="L165" s="14"/>
      <c r="M165" s="14"/>
      <c r="N165" s="14"/>
      <c r="O165" s="14"/>
      <c r="P165" s="14"/>
    </row>
    <row r="166" spans="1:16" ht="18.600000000000001" customHeight="1" x14ac:dyDescent="0.2">
      <c r="A166" s="7">
        <f t="shared" si="26"/>
        <v>12</v>
      </c>
      <c r="B166" s="26"/>
      <c r="C166" s="26"/>
      <c r="D166" s="22"/>
      <c r="E166" s="4"/>
      <c r="F166" s="4"/>
      <c r="G166" s="4"/>
      <c r="H166" s="4"/>
      <c r="I166" s="85"/>
      <c r="J166" s="4"/>
      <c r="K166" s="4"/>
      <c r="L166" s="4"/>
      <c r="M166" s="4"/>
      <c r="N166" s="4"/>
      <c r="O166" s="4"/>
      <c r="P166" s="4"/>
    </row>
    <row r="167" spans="1:16" ht="18.600000000000001" customHeight="1" x14ac:dyDescent="0.2">
      <c r="A167" s="7">
        <f t="shared" si="26"/>
        <v>13</v>
      </c>
      <c r="B167" s="26"/>
      <c r="C167" s="26"/>
      <c r="D167" s="22"/>
      <c r="E167" s="4"/>
      <c r="F167" s="4"/>
      <c r="G167" s="4"/>
      <c r="H167" s="4"/>
      <c r="I167" s="85"/>
      <c r="J167" s="4"/>
      <c r="K167" s="4"/>
      <c r="L167" s="4"/>
      <c r="M167" s="4"/>
      <c r="N167" s="4"/>
      <c r="O167" s="4"/>
      <c r="P167" s="4"/>
    </row>
    <row r="168" spans="1:16" ht="18.600000000000001" customHeight="1" x14ac:dyDescent="0.2">
      <c r="A168" s="7">
        <f t="shared" si="26"/>
        <v>14</v>
      </c>
      <c r="B168" s="3"/>
      <c r="C168" s="4"/>
      <c r="D168" s="8"/>
      <c r="E168" s="4"/>
      <c r="F168" s="4"/>
      <c r="G168" s="4"/>
      <c r="H168" s="4"/>
      <c r="I168" s="85"/>
      <c r="J168" s="4"/>
      <c r="K168" s="4"/>
      <c r="L168" s="4"/>
      <c r="M168" s="4"/>
      <c r="N168" s="4"/>
      <c r="O168" s="4"/>
      <c r="P168" s="4"/>
    </row>
    <row r="169" spans="1:16" ht="18.600000000000001" customHeight="1" x14ac:dyDescent="0.2">
      <c r="A169" s="6">
        <f t="shared" si="26"/>
        <v>15</v>
      </c>
      <c r="B169" s="15"/>
      <c r="C169" s="16"/>
      <c r="D169" s="5"/>
      <c r="E169" s="16"/>
      <c r="F169" s="16"/>
      <c r="G169" s="16"/>
      <c r="H169" s="16"/>
      <c r="I169" s="83"/>
      <c r="J169" s="16"/>
      <c r="K169" s="16"/>
      <c r="L169" s="16"/>
      <c r="M169" s="16"/>
      <c r="N169" s="16"/>
      <c r="O169" s="16"/>
      <c r="P169" s="16"/>
    </row>
    <row r="170" spans="1:16" ht="18.600000000000001" customHeight="1" x14ac:dyDescent="0.2">
      <c r="A170" s="32">
        <f t="shared" si="26"/>
        <v>16</v>
      </c>
      <c r="B170" s="1"/>
      <c r="C170" s="2"/>
      <c r="D170" s="33"/>
      <c r="E170" s="2"/>
      <c r="F170" s="2"/>
      <c r="G170" s="2"/>
      <c r="H170" s="2"/>
      <c r="I170" s="84"/>
      <c r="J170" s="2"/>
      <c r="K170" s="2"/>
      <c r="L170" s="2"/>
      <c r="M170" s="2"/>
      <c r="N170" s="2"/>
      <c r="O170" s="2"/>
      <c r="P170" s="2"/>
    </row>
    <row r="171" spans="1:16" ht="18.600000000000001" customHeight="1" x14ac:dyDescent="0.2">
      <c r="A171" s="7">
        <f t="shared" si="26"/>
        <v>17</v>
      </c>
      <c r="B171" s="3"/>
      <c r="C171" s="4"/>
      <c r="D171" s="8"/>
      <c r="E171" s="4"/>
      <c r="F171" s="4"/>
      <c r="G171" s="4"/>
      <c r="H171" s="4"/>
      <c r="I171" s="85"/>
      <c r="J171" s="4"/>
      <c r="K171" s="4"/>
      <c r="L171" s="4"/>
      <c r="M171" s="4"/>
      <c r="N171" s="4"/>
      <c r="O171" s="4"/>
      <c r="P171" s="4"/>
    </row>
    <row r="172" spans="1:16" ht="18.600000000000001" customHeight="1" x14ac:dyDescent="0.2">
      <c r="A172" s="7">
        <f t="shared" si="26"/>
        <v>18</v>
      </c>
      <c r="B172" s="3"/>
      <c r="C172" s="4"/>
      <c r="D172" s="8"/>
      <c r="E172" s="4"/>
      <c r="F172" s="4"/>
      <c r="G172" s="4"/>
      <c r="H172" s="4"/>
      <c r="I172" s="85"/>
      <c r="J172" s="4"/>
      <c r="K172" s="4"/>
      <c r="L172" s="4"/>
      <c r="M172" s="4"/>
      <c r="N172" s="4"/>
      <c r="O172" s="4"/>
      <c r="P172" s="4"/>
    </row>
    <row r="173" spans="1:16" ht="18.600000000000001" customHeight="1" x14ac:dyDescent="0.2">
      <c r="A173" s="7">
        <f t="shared" si="26"/>
        <v>19</v>
      </c>
      <c r="B173" s="3"/>
      <c r="C173" s="4"/>
      <c r="D173" s="8"/>
      <c r="E173" s="4"/>
      <c r="F173" s="4"/>
      <c r="G173" s="4"/>
      <c r="H173" s="4"/>
      <c r="I173" s="85"/>
      <c r="J173" s="4"/>
      <c r="K173" s="4"/>
      <c r="L173" s="4"/>
      <c r="M173" s="4"/>
      <c r="N173" s="4"/>
      <c r="O173" s="4"/>
      <c r="P173" s="4"/>
    </row>
    <row r="174" spans="1:16" ht="18.600000000000001" customHeight="1" x14ac:dyDescent="0.2">
      <c r="A174" s="10">
        <f t="shared" si="26"/>
        <v>20</v>
      </c>
      <c r="B174" s="11"/>
      <c r="C174" s="12"/>
      <c r="D174" s="9"/>
      <c r="E174" s="12"/>
      <c r="F174" s="12"/>
      <c r="G174" s="12"/>
      <c r="H174" s="12"/>
      <c r="I174" s="86"/>
      <c r="J174" s="12"/>
      <c r="K174" s="12"/>
      <c r="L174" s="12"/>
      <c r="M174" s="12"/>
      <c r="N174" s="12"/>
      <c r="O174" s="12"/>
      <c r="P174" s="12"/>
    </row>
    <row r="175" spans="1:16" ht="18.600000000000001" customHeight="1" x14ac:dyDescent="0.2">
      <c r="A175" s="35">
        <f t="shared" si="26"/>
        <v>21</v>
      </c>
      <c r="B175" s="13"/>
      <c r="C175" s="14"/>
      <c r="D175" s="37"/>
      <c r="E175" s="14"/>
      <c r="F175" s="14"/>
      <c r="G175" s="14"/>
      <c r="H175" s="14"/>
      <c r="I175" s="87"/>
      <c r="J175" s="14"/>
      <c r="K175" s="14"/>
      <c r="L175" s="14"/>
      <c r="M175" s="14"/>
      <c r="N175" s="14"/>
      <c r="O175" s="14"/>
      <c r="P175" s="14"/>
    </row>
    <row r="176" spans="1:16" ht="18.600000000000001" customHeight="1" x14ac:dyDescent="0.2">
      <c r="A176" s="7">
        <f t="shared" si="26"/>
        <v>22</v>
      </c>
      <c r="B176" s="3"/>
      <c r="C176" s="4"/>
      <c r="D176" s="8"/>
      <c r="E176" s="4"/>
      <c r="F176" s="4"/>
      <c r="G176" s="4"/>
      <c r="H176" s="4"/>
      <c r="I176" s="85"/>
      <c r="J176" s="4"/>
      <c r="K176" s="4"/>
      <c r="L176" s="4"/>
      <c r="M176" s="4"/>
      <c r="N176" s="4"/>
      <c r="O176" s="4"/>
      <c r="P176" s="4"/>
    </row>
    <row r="177" spans="1:16" ht="18.600000000000001" customHeight="1" x14ac:dyDescent="0.2">
      <c r="A177" s="35">
        <f t="shared" si="26"/>
        <v>23</v>
      </c>
      <c r="B177" s="3"/>
      <c r="C177" s="4"/>
      <c r="D177" s="8"/>
      <c r="E177" s="4"/>
      <c r="F177" s="4"/>
      <c r="G177" s="4"/>
      <c r="H177" s="4"/>
      <c r="I177" s="85"/>
      <c r="J177" s="4"/>
      <c r="K177" s="4"/>
      <c r="L177" s="4"/>
      <c r="M177" s="4"/>
      <c r="N177" s="4"/>
      <c r="O177" s="4"/>
      <c r="P177" s="4"/>
    </row>
    <row r="178" spans="1:16" ht="18.600000000000001" customHeight="1" x14ac:dyDescent="0.2">
      <c r="A178" s="7">
        <f t="shared" si="26"/>
        <v>24</v>
      </c>
      <c r="B178" s="3"/>
      <c r="C178" s="4"/>
      <c r="D178" s="8"/>
      <c r="E178" s="4"/>
      <c r="F178" s="4"/>
      <c r="G178" s="4"/>
      <c r="H178" s="4"/>
      <c r="I178" s="85"/>
      <c r="J178" s="4"/>
      <c r="K178" s="4"/>
      <c r="L178" s="4"/>
      <c r="M178" s="4"/>
      <c r="N178" s="4"/>
      <c r="O178" s="4"/>
      <c r="P178" s="4"/>
    </row>
    <row r="179" spans="1:16" ht="18.600000000000001" customHeight="1" x14ac:dyDescent="0.2">
      <c r="A179" s="35">
        <f t="shared" si="26"/>
        <v>25</v>
      </c>
      <c r="B179" s="11"/>
      <c r="C179" s="12"/>
      <c r="D179" s="9"/>
      <c r="E179" s="12"/>
      <c r="F179" s="12"/>
      <c r="G179" s="12"/>
      <c r="H179" s="12"/>
      <c r="I179" s="86"/>
      <c r="J179" s="12"/>
      <c r="K179" s="12"/>
      <c r="L179" s="12"/>
      <c r="M179" s="12"/>
      <c r="N179" s="12"/>
      <c r="O179" s="12"/>
      <c r="P179" s="12"/>
    </row>
    <row r="180" spans="1:16" ht="18.600000000000001" customHeight="1" x14ac:dyDescent="0.3">
      <c r="A180" s="147"/>
      <c r="B180" s="148"/>
      <c r="C180" s="147"/>
      <c r="D180" s="149"/>
      <c r="E180" s="150">
        <f>SUBTOTAL(9,E155:E179)</f>
        <v>0</v>
      </c>
      <c r="F180" s="152"/>
      <c r="G180" s="150">
        <f t="shared" ref="G180" si="27">SUBTOTAL(9,G155:G179)</f>
        <v>0</v>
      </c>
      <c r="H180" s="152"/>
      <c r="I180" s="150">
        <f t="shared" ref="I180" si="28">SUBTOTAL(9,I155:I179)</f>
        <v>0</v>
      </c>
      <c r="J180" s="152"/>
      <c r="K180" s="152"/>
      <c r="L180" s="152"/>
      <c r="M180" s="150">
        <f t="shared" ref="M180" si="29">SUBTOTAL(9,M155:M179)</f>
        <v>0</v>
      </c>
      <c r="N180" s="152"/>
      <c r="O180" s="150">
        <f t="shared" ref="O180" si="30">SUBTOTAL(9,O155:O179)</f>
        <v>0</v>
      </c>
      <c r="P180" s="152"/>
    </row>
    <row r="181" spans="1:16" ht="18.600000000000001" customHeight="1" x14ac:dyDescent="0.2">
      <c r="A181" s="434" t="str">
        <f>A151</f>
        <v>DANH SÁCH LỚP 2</v>
      </c>
      <c r="B181" s="434"/>
      <c r="C181" s="434"/>
      <c r="D181" s="434"/>
      <c r="E181" s="434"/>
      <c r="F181" s="434"/>
      <c r="G181" s="434"/>
      <c r="H181" s="434"/>
      <c r="I181" s="92">
        <v>7</v>
      </c>
      <c r="J181" s="48"/>
      <c r="K181" s="48"/>
      <c r="L181" s="48"/>
      <c r="M181" s="41"/>
      <c r="N181" s="41"/>
      <c r="O181" s="41"/>
      <c r="P181" s="41"/>
    </row>
    <row r="182" spans="1:16" ht="18.600000000000001" customHeight="1" x14ac:dyDescent="0.2">
      <c r="A182" s="28"/>
      <c r="B182" s="29"/>
      <c r="C182" s="30"/>
      <c r="D182" s="36"/>
      <c r="E182" s="28"/>
      <c r="F182" s="28"/>
      <c r="G182" s="28"/>
      <c r="H182" s="28"/>
      <c r="I182" s="79"/>
      <c r="J182" s="28"/>
      <c r="K182" s="28"/>
      <c r="L182" s="28"/>
      <c r="M182" s="28"/>
      <c r="N182" s="28"/>
      <c r="O182" s="28"/>
      <c r="P182" s="28"/>
    </row>
    <row r="183" spans="1:16" ht="18.600000000000001" customHeight="1" x14ac:dyDescent="0.2">
      <c r="A183" s="435" t="s">
        <v>374</v>
      </c>
      <c r="B183" s="435" t="s">
        <v>380</v>
      </c>
      <c r="C183" s="435" t="s">
        <v>383</v>
      </c>
      <c r="D183" s="437" t="s">
        <v>384</v>
      </c>
      <c r="E183" s="438" t="s">
        <v>385</v>
      </c>
      <c r="F183" s="439"/>
      <c r="G183" s="432" t="str">
        <f>$R$1</f>
        <v>Đợt 1</v>
      </c>
      <c r="H183" s="433"/>
      <c r="I183" s="432" t="str">
        <f>$T$1</f>
        <v>Đợt 2</v>
      </c>
      <c r="J183" s="433"/>
      <c r="K183" s="432" t="str">
        <f>$V$1</f>
        <v>Đợt 3</v>
      </c>
      <c r="L183" s="433"/>
      <c r="M183" s="432" t="str">
        <f>$X$1</f>
        <v>Đợt 4</v>
      </c>
      <c r="N183" s="433"/>
      <c r="O183" s="432" t="str">
        <f>$Z$1</f>
        <v>Đợt 5</v>
      </c>
      <c r="P183" s="433"/>
    </row>
    <row r="184" spans="1:16" ht="18.600000000000001" customHeight="1" x14ac:dyDescent="0.2">
      <c r="A184" s="436"/>
      <c r="B184" s="436"/>
      <c r="C184" s="436"/>
      <c r="D184" s="436"/>
      <c r="E184" s="31" t="s">
        <v>381</v>
      </c>
      <c r="F184" s="31" t="s">
        <v>382</v>
      </c>
      <c r="G184" s="31" t="s">
        <v>381</v>
      </c>
      <c r="H184" s="31" t="s">
        <v>382</v>
      </c>
      <c r="I184" s="80" t="s">
        <v>381</v>
      </c>
      <c r="J184" s="31" t="s">
        <v>382</v>
      </c>
      <c r="K184" s="80" t="s">
        <v>381</v>
      </c>
      <c r="L184" s="31" t="s">
        <v>382</v>
      </c>
      <c r="M184" s="31" t="s">
        <v>381</v>
      </c>
      <c r="N184" s="31" t="s">
        <v>382</v>
      </c>
      <c r="O184" s="31" t="s">
        <v>381</v>
      </c>
      <c r="P184" s="31" t="s">
        <v>382</v>
      </c>
    </row>
    <row r="185" spans="1:16" ht="18.600000000000001" customHeight="1" x14ac:dyDescent="0.2">
      <c r="A185" s="32">
        <v>1</v>
      </c>
      <c r="B185" s="26"/>
      <c r="C185" s="26"/>
      <c r="D185" s="22"/>
      <c r="E185" s="32"/>
      <c r="F185" s="34"/>
      <c r="G185" s="32"/>
      <c r="H185" s="93"/>
      <c r="I185" s="81"/>
      <c r="J185" s="34"/>
      <c r="K185" s="34"/>
      <c r="L185" s="34"/>
      <c r="M185" s="32"/>
      <c r="N185" s="34"/>
      <c r="O185" s="32"/>
      <c r="P185" s="34"/>
    </row>
    <row r="186" spans="1:16" ht="18.600000000000001" customHeight="1" x14ac:dyDescent="0.2">
      <c r="A186" s="7">
        <f t="shared" ref="A186:A209" si="31">A185+1</f>
        <v>2</v>
      </c>
      <c r="B186" s="26"/>
      <c r="C186" s="26"/>
      <c r="D186" s="22"/>
      <c r="E186" s="7"/>
      <c r="F186" s="7"/>
      <c r="G186" s="7"/>
      <c r="H186" s="7"/>
      <c r="I186" s="82"/>
      <c r="J186" s="7"/>
      <c r="K186" s="7"/>
      <c r="L186" s="7"/>
      <c r="M186" s="7"/>
      <c r="N186" s="7"/>
      <c r="O186" s="7"/>
      <c r="P186" s="7"/>
    </row>
    <row r="187" spans="1:16" ht="18.600000000000001" customHeight="1" x14ac:dyDescent="0.2">
      <c r="A187" s="7">
        <f t="shared" si="31"/>
        <v>3</v>
      </c>
      <c r="B187" s="26"/>
      <c r="C187" s="26"/>
      <c r="D187" s="22"/>
      <c r="E187" s="7"/>
      <c r="F187" s="7"/>
      <c r="G187" s="7"/>
      <c r="H187" s="7"/>
      <c r="I187" s="82"/>
      <c r="J187" s="7"/>
      <c r="K187" s="7"/>
      <c r="L187" s="7"/>
      <c r="M187" s="7"/>
      <c r="N187" s="7"/>
      <c r="O187" s="7"/>
      <c r="P187" s="7"/>
    </row>
    <row r="188" spans="1:16" ht="18.600000000000001" customHeight="1" x14ac:dyDescent="0.2">
      <c r="A188" s="7">
        <f t="shared" si="31"/>
        <v>4</v>
      </c>
      <c r="B188" s="26"/>
      <c r="C188" s="26"/>
      <c r="D188" s="22"/>
      <c r="E188" s="7"/>
      <c r="F188" s="7"/>
      <c r="G188" s="7"/>
      <c r="H188" s="7"/>
      <c r="I188" s="82"/>
      <c r="J188" s="7"/>
      <c r="K188" s="7"/>
      <c r="L188" s="7"/>
      <c r="M188" s="7"/>
      <c r="N188" s="7"/>
      <c r="O188" s="7"/>
      <c r="P188" s="7"/>
    </row>
    <row r="189" spans="1:16" ht="18.600000000000001" customHeight="1" x14ac:dyDescent="0.2">
      <c r="A189" s="6">
        <f t="shared" si="31"/>
        <v>5</v>
      </c>
      <c r="B189" s="58"/>
      <c r="C189" s="58"/>
      <c r="D189" s="59"/>
      <c r="E189" s="16"/>
      <c r="F189" s="16"/>
      <c r="G189" s="16"/>
      <c r="H189" s="16"/>
      <c r="I189" s="83"/>
      <c r="J189" s="16"/>
      <c r="K189" s="16"/>
      <c r="L189" s="16"/>
      <c r="M189" s="16"/>
      <c r="N189" s="16"/>
      <c r="O189" s="16"/>
      <c r="P189" s="16"/>
    </row>
    <row r="190" spans="1:16" ht="18.600000000000001" customHeight="1" x14ac:dyDescent="0.2">
      <c r="A190" s="56">
        <f t="shared" si="31"/>
        <v>6</v>
      </c>
      <c r="B190" s="57"/>
      <c r="C190" s="57"/>
      <c r="D190" s="21"/>
      <c r="E190" s="2"/>
      <c r="F190" s="2"/>
      <c r="G190" s="2"/>
      <c r="H190" s="2"/>
      <c r="I190" s="84"/>
      <c r="J190" s="2"/>
      <c r="K190" s="2"/>
      <c r="L190" s="2"/>
      <c r="M190" s="2"/>
      <c r="N190" s="2"/>
      <c r="O190" s="2"/>
      <c r="P190" s="2"/>
    </row>
    <row r="191" spans="1:16" ht="18.600000000000001" customHeight="1" x14ac:dyDescent="0.2">
      <c r="A191" s="6">
        <f t="shared" si="31"/>
        <v>7</v>
      </c>
      <c r="B191" s="26"/>
      <c r="C191" s="26"/>
      <c r="D191" s="22"/>
      <c r="E191" s="4"/>
      <c r="F191" s="4"/>
      <c r="G191" s="4"/>
      <c r="H191" s="4"/>
      <c r="I191" s="85"/>
      <c r="J191" s="4"/>
      <c r="K191" s="4"/>
      <c r="L191" s="4"/>
      <c r="M191" s="4"/>
      <c r="N191" s="4"/>
      <c r="O191" s="4"/>
      <c r="P191" s="4"/>
    </row>
    <row r="192" spans="1:16" ht="18.600000000000001" customHeight="1" x14ac:dyDescent="0.2">
      <c r="A192" s="6">
        <f t="shared" si="31"/>
        <v>8</v>
      </c>
      <c r="B192" s="26"/>
      <c r="C192" s="26"/>
      <c r="D192" s="22"/>
      <c r="E192" s="4"/>
      <c r="F192" s="4"/>
      <c r="G192" s="4"/>
      <c r="H192" s="4"/>
      <c r="I192" s="85"/>
      <c r="J192" s="4"/>
      <c r="K192" s="4"/>
      <c r="L192" s="4"/>
      <c r="M192" s="4"/>
      <c r="N192" s="4"/>
      <c r="O192" s="4"/>
      <c r="P192" s="4"/>
    </row>
    <row r="193" spans="1:16" ht="18.600000000000001" customHeight="1" x14ac:dyDescent="0.2">
      <c r="A193" s="6">
        <f t="shared" si="31"/>
        <v>9</v>
      </c>
      <c r="B193" s="26"/>
      <c r="C193" s="26"/>
      <c r="D193" s="22"/>
      <c r="E193" s="4"/>
      <c r="F193" s="4"/>
      <c r="G193" s="4"/>
      <c r="H193" s="4"/>
      <c r="I193" s="85"/>
      <c r="J193" s="4"/>
      <c r="K193" s="4"/>
      <c r="L193" s="4"/>
      <c r="M193" s="4"/>
      <c r="N193" s="4"/>
      <c r="O193" s="4"/>
      <c r="P193" s="4"/>
    </row>
    <row r="194" spans="1:16" ht="18.600000000000001" customHeight="1" x14ac:dyDescent="0.2">
      <c r="A194" s="10">
        <f t="shared" si="31"/>
        <v>10</v>
      </c>
      <c r="B194" s="62"/>
      <c r="C194" s="62"/>
      <c r="D194" s="23"/>
      <c r="E194" s="12"/>
      <c r="F194" s="12"/>
      <c r="G194" s="12"/>
      <c r="H194" s="12"/>
      <c r="I194" s="86"/>
      <c r="J194" s="12"/>
      <c r="K194" s="12"/>
      <c r="L194" s="12"/>
      <c r="M194" s="12"/>
      <c r="N194" s="12"/>
      <c r="O194" s="12"/>
      <c r="P194" s="12"/>
    </row>
    <row r="195" spans="1:16" ht="18.600000000000001" customHeight="1" x14ac:dyDescent="0.2">
      <c r="A195" s="35">
        <f t="shared" si="31"/>
        <v>11</v>
      </c>
      <c r="B195" s="60"/>
      <c r="C195" s="60"/>
      <c r="D195" s="61"/>
      <c r="E195" s="14"/>
      <c r="F195" s="14"/>
      <c r="G195" s="14"/>
      <c r="H195" s="14"/>
      <c r="I195" s="87"/>
      <c r="J195" s="14"/>
      <c r="K195" s="14"/>
      <c r="L195" s="14"/>
      <c r="M195" s="14"/>
      <c r="N195" s="14"/>
      <c r="O195" s="14"/>
      <c r="P195" s="14"/>
    </row>
    <row r="196" spans="1:16" ht="18.600000000000001" customHeight="1" x14ac:dyDescent="0.2">
      <c r="A196" s="7">
        <f t="shared" si="31"/>
        <v>12</v>
      </c>
      <c r="B196" s="26"/>
      <c r="C196" s="26"/>
      <c r="D196" s="22"/>
      <c r="E196" s="4"/>
      <c r="F196" s="4"/>
      <c r="G196" s="4"/>
      <c r="H196" s="4"/>
      <c r="I196" s="85"/>
      <c r="J196" s="4"/>
      <c r="K196" s="4"/>
      <c r="L196" s="4"/>
      <c r="M196" s="4"/>
      <c r="N196" s="4"/>
      <c r="O196" s="4"/>
      <c r="P196" s="4"/>
    </row>
    <row r="197" spans="1:16" ht="18.600000000000001" customHeight="1" x14ac:dyDescent="0.2">
      <c r="A197" s="7">
        <f t="shared" si="31"/>
        <v>13</v>
      </c>
      <c r="B197" s="26"/>
      <c r="C197" s="26"/>
      <c r="D197" s="22"/>
      <c r="E197" s="4"/>
      <c r="F197" s="4"/>
      <c r="G197" s="4"/>
      <c r="H197" s="4"/>
      <c r="I197" s="85"/>
      <c r="J197" s="4"/>
      <c r="K197" s="4"/>
      <c r="L197" s="4"/>
      <c r="M197" s="4"/>
      <c r="N197" s="4"/>
      <c r="O197" s="4"/>
      <c r="P197" s="4"/>
    </row>
    <row r="198" spans="1:16" ht="18.600000000000001" customHeight="1" x14ac:dyDescent="0.2">
      <c r="A198" s="7">
        <f t="shared" si="31"/>
        <v>14</v>
      </c>
      <c r="B198" s="3"/>
      <c r="C198" s="4"/>
      <c r="D198" s="8"/>
      <c r="E198" s="4"/>
      <c r="F198" s="4"/>
      <c r="G198" s="4"/>
      <c r="H198" s="4"/>
      <c r="I198" s="85"/>
      <c r="J198" s="4"/>
      <c r="K198" s="4"/>
      <c r="L198" s="4"/>
      <c r="M198" s="4"/>
      <c r="N198" s="4"/>
      <c r="O198" s="4"/>
      <c r="P198" s="4"/>
    </row>
    <row r="199" spans="1:16" ht="18.600000000000001" customHeight="1" x14ac:dyDescent="0.2">
      <c r="A199" s="6">
        <f t="shared" si="31"/>
        <v>15</v>
      </c>
      <c r="B199" s="15"/>
      <c r="C199" s="16"/>
      <c r="D199" s="5"/>
      <c r="E199" s="16"/>
      <c r="F199" s="16"/>
      <c r="G199" s="16"/>
      <c r="H199" s="16"/>
      <c r="I199" s="83"/>
      <c r="J199" s="16"/>
      <c r="K199" s="16"/>
      <c r="L199" s="16"/>
      <c r="M199" s="16"/>
      <c r="N199" s="16"/>
      <c r="O199" s="16"/>
      <c r="P199" s="16"/>
    </row>
    <row r="200" spans="1:16" ht="18.600000000000001" customHeight="1" x14ac:dyDescent="0.2">
      <c r="A200" s="32">
        <f t="shared" si="31"/>
        <v>16</v>
      </c>
      <c r="B200" s="1"/>
      <c r="C200" s="2"/>
      <c r="D200" s="33"/>
      <c r="E200" s="2"/>
      <c r="F200" s="2"/>
      <c r="G200" s="2"/>
      <c r="H200" s="2"/>
      <c r="I200" s="84"/>
      <c r="J200" s="2"/>
      <c r="K200" s="2"/>
      <c r="L200" s="2"/>
      <c r="M200" s="2"/>
      <c r="N200" s="2"/>
      <c r="O200" s="2"/>
      <c r="P200" s="2"/>
    </row>
    <row r="201" spans="1:16" ht="18.600000000000001" customHeight="1" x14ac:dyDescent="0.2">
      <c r="A201" s="7">
        <f t="shared" si="31"/>
        <v>17</v>
      </c>
      <c r="B201" s="3"/>
      <c r="C201" s="4"/>
      <c r="D201" s="8"/>
      <c r="E201" s="4"/>
      <c r="F201" s="4"/>
      <c r="G201" s="4"/>
      <c r="H201" s="4"/>
      <c r="I201" s="85"/>
      <c r="J201" s="4"/>
      <c r="K201" s="4"/>
      <c r="L201" s="4"/>
      <c r="M201" s="4"/>
      <c r="N201" s="4"/>
      <c r="O201" s="4"/>
      <c r="P201" s="4"/>
    </row>
    <row r="202" spans="1:16" ht="18.600000000000001" customHeight="1" x14ac:dyDescent="0.2">
      <c r="A202" s="7">
        <f t="shared" si="31"/>
        <v>18</v>
      </c>
      <c r="B202" s="3"/>
      <c r="C202" s="4"/>
      <c r="D202" s="8"/>
      <c r="E202" s="4"/>
      <c r="F202" s="4"/>
      <c r="G202" s="4"/>
      <c r="H202" s="4"/>
      <c r="I202" s="85"/>
      <c r="J202" s="4"/>
      <c r="K202" s="4"/>
      <c r="L202" s="4"/>
      <c r="M202" s="4"/>
      <c r="N202" s="4"/>
      <c r="O202" s="4"/>
      <c r="P202" s="4"/>
    </row>
    <row r="203" spans="1:16" ht="18.600000000000001" customHeight="1" x14ac:dyDescent="0.2">
      <c r="A203" s="7">
        <f t="shared" si="31"/>
        <v>19</v>
      </c>
      <c r="B203" s="3"/>
      <c r="C203" s="4"/>
      <c r="D203" s="8"/>
      <c r="E203" s="4"/>
      <c r="F203" s="4"/>
      <c r="G203" s="4"/>
      <c r="H203" s="4"/>
      <c r="I203" s="85"/>
      <c r="J203" s="4"/>
      <c r="K203" s="4"/>
      <c r="L203" s="4"/>
      <c r="M203" s="4"/>
      <c r="N203" s="4"/>
      <c r="O203" s="4"/>
      <c r="P203" s="4"/>
    </row>
    <row r="204" spans="1:16" ht="18.600000000000001" customHeight="1" x14ac:dyDescent="0.2">
      <c r="A204" s="10">
        <f t="shared" si="31"/>
        <v>20</v>
      </c>
      <c r="B204" s="11"/>
      <c r="C204" s="12"/>
      <c r="D204" s="9"/>
      <c r="E204" s="12"/>
      <c r="F204" s="12"/>
      <c r="G204" s="12"/>
      <c r="H204" s="12"/>
      <c r="I204" s="86"/>
      <c r="J204" s="12"/>
      <c r="K204" s="12"/>
      <c r="L204" s="12"/>
      <c r="M204" s="12"/>
      <c r="N204" s="12"/>
      <c r="O204" s="12"/>
      <c r="P204" s="12"/>
    </row>
    <row r="205" spans="1:16" ht="18.600000000000001" customHeight="1" x14ac:dyDescent="0.2">
      <c r="A205" s="35">
        <f t="shared" si="31"/>
        <v>21</v>
      </c>
      <c r="B205" s="13"/>
      <c r="C205" s="14"/>
      <c r="D205" s="37"/>
      <c r="E205" s="14"/>
      <c r="F205" s="14"/>
      <c r="G205" s="14"/>
      <c r="H205" s="14"/>
      <c r="I205" s="87"/>
      <c r="J205" s="14"/>
      <c r="K205" s="14"/>
      <c r="L205" s="14"/>
      <c r="M205" s="14"/>
      <c r="N205" s="14"/>
      <c r="O205" s="14"/>
      <c r="P205" s="14"/>
    </row>
    <row r="206" spans="1:16" ht="18.600000000000001" customHeight="1" x14ac:dyDescent="0.2">
      <c r="A206" s="7">
        <f t="shared" si="31"/>
        <v>22</v>
      </c>
      <c r="B206" s="3"/>
      <c r="C206" s="4"/>
      <c r="D206" s="8"/>
      <c r="E206" s="4"/>
      <c r="F206" s="4"/>
      <c r="G206" s="4"/>
      <c r="H206" s="4"/>
      <c r="I206" s="85"/>
      <c r="J206" s="4"/>
      <c r="K206" s="4"/>
      <c r="L206" s="4"/>
      <c r="M206" s="4"/>
      <c r="N206" s="4"/>
      <c r="O206" s="4"/>
      <c r="P206" s="4"/>
    </row>
    <row r="207" spans="1:16" ht="18.600000000000001" customHeight="1" x14ac:dyDescent="0.2">
      <c r="A207" s="35">
        <f t="shared" si="31"/>
        <v>23</v>
      </c>
      <c r="B207" s="3"/>
      <c r="C207" s="4"/>
      <c r="D207" s="8"/>
      <c r="E207" s="4"/>
      <c r="F207" s="4"/>
      <c r="G207" s="4"/>
      <c r="H207" s="4"/>
      <c r="I207" s="85"/>
      <c r="J207" s="4"/>
      <c r="K207" s="4"/>
      <c r="L207" s="4"/>
      <c r="M207" s="4"/>
      <c r="N207" s="4"/>
      <c r="O207" s="4"/>
      <c r="P207" s="4"/>
    </row>
    <row r="208" spans="1:16" ht="18.600000000000001" customHeight="1" x14ac:dyDescent="0.2">
      <c r="A208" s="7">
        <f t="shared" si="31"/>
        <v>24</v>
      </c>
      <c r="B208" s="3"/>
      <c r="C208" s="4"/>
      <c r="D208" s="8"/>
      <c r="E208" s="4"/>
      <c r="F208" s="4"/>
      <c r="G208" s="4"/>
      <c r="H208" s="4"/>
      <c r="I208" s="85"/>
      <c r="J208" s="4"/>
      <c r="K208" s="4"/>
      <c r="L208" s="4"/>
      <c r="M208" s="4"/>
      <c r="N208" s="4"/>
      <c r="O208" s="4"/>
      <c r="P208" s="4"/>
    </row>
    <row r="209" spans="1:16" ht="18.600000000000001" customHeight="1" x14ac:dyDescent="0.2">
      <c r="A209" s="35">
        <f t="shared" si="31"/>
        <v>25</v>
      </c>
      <c r="B209" s="11"/>
      <c r="C209" s="12"/>
      <c r="D209" s="9"/>
      <c r="E209" s="12"/>
      <c r="F209" s="12"/>
      <c r="G209" s="12"/>
      <c r="H209" s="12"/>
      <c r="I209" s="86"/>
      <c r="J209" s="12"/>
      <c r="K209" s="12"/>
      <c r="L209" s="12"/>
      <c r="M209" s="12"/>
      <c r="N209" s="12"/>
      <c r="O209" s="12"/>
      <c r="P209" s="12"/>
    </row>
    <row r="210" spans="1:16" ht="18.600000000000001" customHeight="1" x14ac:dyDescent="0.3">
      <c r="A210" s="147"/>
      <c r="B210" s="148"/>
      <c r="C210" s="147"/>
      <c r="D210" s="149"/>
      <c r="E210" s="150">
        <f>SUBTOTAL(9,E185:E209)</f>
        <v>0</v>
      </c>
      <c r="F210" s="152"/>
      <c r="G210" s="150">
        <f t="shared" ref="G210" si="32">SUBTOTAL(9,G185:G209)</f>
        <v>0</v>
      </c>
      <c r="H210" s="152"/>
      <c r="I210" s="150">
        <f t="shared" ref="I210" si="33">SUBTOTAL(9,I185:I209)</f>
        <v>0</v>
      </c>
      <c r="J210" s="152"/>
      <c r="K210" s="152"/>
      <c r="L210" s="152"/>
      <c r="M210" s="150">
        <f t="shared" ref="M210" si="34">SUBTOTAL(9,M185:M209)</f>
        <v>0</v>
      </c>
      <c r="N210" s="152"/>
      <c r="O210" s="150">
        <f t="shared" ref="O210" si="35">SUBTOTAL(9,O185:O209)</f>
        <v>0</v>
      </c>
      <c r="P210" s="152"/>
    </row>
    <row r="211" spans="1:16" ht="18.600000000000001" customHeight="1" x14ac:dyDescent="0.2">
      <c r="A211" s="434" t="str">
        <f>A181</f>
        <v>DANH SÁCH LỚP 2</v>
      </c>
      <c r="B211" s="434"/>
      <c r="C211" s="434"/>
      <c r="D211" s="434"/>
      <c r="E211" s="434"/>
      <c r="F211" s="434"/>
      <c r="G211" s="434"/>
      <c r="H211" s="434"/>
      <c r="I211" s="92">
        <v>8</v>
      </c>
      <c r="J211" s="48"/>
      <c r="K211" s="48"/>
      <c r="L211" s="48"/>
      <c r="M211" s="41"/>
      <c r="N211" s="41"/>
      <c r="O211" s="41"/>
      <c r="P211" s="41"/>
    </row>
    <row r="212" spans="1:16" ht="18.600000000000001" customHeight="1" x14ac:dyDescent="0.2">
      <c r="A212" s="28"/>
      <c r="B212" s="29"/>
      <c r="C212" s="30"/>
      <c r="D212" s="36"/>
      <c r="E212" s="28"/>
      <c r="F212" s="28"/>
      <c r="G212" s="28"/>
      <c r="H212" s="28"/>
      <c r="I212" s="79"/>
      <c r="J212" s="28"/>
      <c r="K212" s="28"/>
      <c r="L212" s="28"/>
      <c r="M212" s="28"/>
      <c r="N212" s="28"/>
      <c r="O212" s="28"/>
      <c r="P212" s="28"/>
    </row>
    <row r="213" spans="1:16" ht="18.600000000000001" customHeight="1" x14ac:dyDescent="0.2">
      <c r="A213" s="435" t="s">
        <v>374</v>
      </c>
      <c r="B213" s="435" t="s">
        <v>380</v>
      </c>
      <c r="C213" s="435" t="s">
        <v>383</v>
      </c>
      <c r="D213" s="437" t="s">
        <v>384</v>
      </c>
      <c r="E213" s="438" t="s">
        <v>385</v>
      </c>
      <c r="F213" s="439"/>
      <c r="G213" s="432" t="str">
        <f>$R$1</f>
        <v>Đợt 1</v>
      </c>
      <c r="H213" s="433"/>
      <c r="I213" s="432" t="str">
        <f>$T$1</f>
        <v>Đợt 2</v>
      </c>
      <c r="J213" s="433"/>
      <c r="K213" s="432" t="str">
        <f>$V$1</f>
        <v>Đợt 3</v>
      </c>
      <c r="L213" s="433"/>
      <c r="M213" s="432" t="str">
        <f>$X$1</f>
        <v>Đợt 4</v>
      </c>
      <c r="N213" s="433"/>
      <c r="O213" s="432" t="str">
        <f>$Z$1</f>
        <v>Đợt 5</v>
      </c>
      <c r="P213" s="433"/>
    </row>
    <row r="214" spans="1:16" ht="18.600000000000001" customHeight="1" x14ac:dyDescent="0.2">
      <c r="A214" s="436"/>
      <c r="B214" s="436"/>
      <c r="C214" s="436"/>
      <c r="D214" s="436"/>
      <c r="E214" s="31" t="s">
        <v>381</v>
      </c>
      <c r="F214" s="31" t="s">
        <v>382</v>
      </c>
      <c r="G214" s="31" t="s">
        <v>381</v>
      </c>
      <c r="H214" s="31" t="s">
        <v>382</v>
      </c>
      <c r="I214" s="80" t="s">
        <v>381</v>
      </c>
      <c r="J214" s="31" t="s">
        <v>382</v>
      </c>
      <c r="K214" s="80" t="s">
        <v>381</v>
      </c>
      <c r="L214" s="31" t="s">
        <v>382</v>
      </c>
      <c r="M214" s="31" t="s">
        <v>381</v>
      </c>
      <c r="N214" s="31" t="s">
        <v>382</v>
      </c>
      <c r="O214" s="31" t="s">
        <v>381</v>
      </c>
      <c r="P214" s="31" t="s">
        <v>382</v>
      </c>
    </row>
    <row r="215" spans="1:16" ht="18.600000000000001" customHeight="1" x14ac:dyDescent="0.2">
      <c r="A215" s="32">
        <v>1</v>
      </c>
      <c r="B215" s="26"/>
      <c r="C215" s="26"/>
      <c r="D215" s="22"/>
      <c r="E215" s="32"/>
      <c r="F215" s="34"/>
      <c r="G215" s="32"/>
      <c r="H215" s="93"/>
      <c r="I215" s="81"/>
      <c r="J215" s="34"/>
      <c r="K215" s="34"/>
      <c r="L215" s="34"/>
      <c r="M215" s="32"/>
      <c r="N215" s="34"/>
      <c r="O215" s="32"/>
      <c r="P215" s="34"/>
    </row>
    <row r="216" spans="1:16" ht="18.600000000000001" customHeight="1" x14ac:dyDescent="0.2">
      <c r="A216" s="7">
        <f t="shared" ref="A216:A239" si="36">A215+1</f>
        <v>2</v>
      </c>
      <c r="B216" s="26"/>
      <c r="C216" s="26"/>
      <c r="D216" s="22"/>
      <c r="E216" s="7"/>
      <c r="F216" s="7"/>
      <c r="G216" s="7"/>
      <c r="H216" s="7"/>
      <c r="I216" s="82"/>
      <c r="J216" s="7"/>
      <c r="K216" s="7"/>
      <c r="L216" s="7"/>
      <c r="M216" s="7"/>
      <c r="N216" s="7"/>
      <c r="O216" s="7"/>
      <c r="P216" s="7"/>
    </row>
    <row r="217" spans="1:16" ht="18.600000000000001" customHeight="1" x14ac:dyDescent="0.2">
      <c r="A217" s="7">
        <f t="shared" si="36"/>
        <v>3</v>
      </c>
      <c r="B217" s="26"/>
      <c r="C217" s="26"/>
      <c r="D217" s="22"/>
      <c r="E217" s="7"/>
      <c r="F217" s="7"/>
      <c r="G217" s="7"/>
      <c r="H217" s="7"/>
      <c r="I217" s="82"/>
      <c r="J217" s="7"/>
      <c r="K217" s="7"/>
      <c r="L217" s="7"/>
      <c r="M217" s="7"/>
      <c r="N217" s="7"/>
      <c r="O217" s="7"/>
      <c r="P217" s="7"/>
    </row>
    <row r="218" spans="1:16" ht="18.600000000000001" customHeight="1" x14ac:dyDescent="0.2">
      <c r="A218" s="7">
        <f t="shared" si="36"/>
        <v>4</v>
      </c>
      <c r="B218" s="26"/>
      <c r="C218" s="26"/>
      <c r="D218" s="22"/>
      <c r="E218" s="7"/>
      <c r="F218" s="7"/>
      <c r="G218" s="7"/>
      <c r="H218" s="7"/>
      <c r="I218" s="82"/>
      <c r="J218" s="7"/>
      <c r="K218" s="7"/>
      <c r="L218" s="7"/>
      <c r="M218" s="7"/>
      <c r="N218" s="7"/>
      <c r="O218" s="7"/>
      <c r="P218" s="7"/>
    </row>
    <row r="219" spans="1:16" ht="18.600000000000001" customHeight="1" x14ac:dyDescent="0.2">
      <c r="A219" s="6">
        <f t="shared" si="36"/>
        <v>5</v>
      </c>
      <c r="B219" s="58"/>
      <c r="C219" s="58"/>
      <c r="D219" s="59"/>
      <c r="E219" s="16"/>
      <c r="F219" s="16"/>
      <c r="G219" s="16"/>
      <c r="H219" s="16"/>
      <c r="I219" s="83"/>
      <c r="J219" s="16"/>
      <c r="K219" s="16"/>
      <c r="L219" s="16"/>
      <c r="M219" s="16"/>
      <c r="N219" s="16"/>
      <c r="O219" s="16"/>
      <c r="P219" s="16"/>
    </row>
    <row r="220" spans="1:16" ht="18.600000000000001" customHeight="1" x14ac:dyDescent="0.2">
      <c r="A220" s="56">
        <f t="shared" si="36"/>
        <v>6</v>
      </c>
      <c r="B220" s="57"/>
      <c r="C220" s="57"/>
      <c r="D220" s="21"/>
      <c r="E220" s="2"/>
      <c r="F220" s="2"/>
      <c r="G220" s="2"/>
      <c r="H220" s="2"/>
      <c r="I220" s="84"/>
      <c r="J220" s="2"/>
      <c r="K220" s="2"/>
      <c r="L220" s="2"/>
      <c r="M220" s="2"/>
      <c r="N220" s="2"/>
      <c r="O220" s="2"/>
      <c r="P220" s="2"/>
    </row>
    <row r="221" spans="1:16" ht="18.600000000000001" customHeight="1" x14ac:dyDescent="0.2">
      <c r="A221" s="6">
        <f t="shared" si="36"/>
        <v>7</v>
      </c>
      <c r="B221" s="26"/>
      <c r="C221" s="26"/>
      <c r="D221" s="22"/>
      <c r="E221" s="4"/>
      <c r="F221" s="4"/>
      <c r="G221" s="4"/>
      <c r="H221" s="4"/>
      <c r="I221" s="85"/>
      <c r="J221" s="4"/>
      <c r="K221" s="4"/>
      <c r="L221" s="4"/>
      <c r="M221" s="4"/>
      <c r="N221" s="4"/>
      <c r="O221" s="4"/>
      <c r="P221" s="4"/>
    </row>
    <row r="222" spans="1:16" ht="18.600000000000001" customHeight="1" x14ac:dyDescent="0.2">
      <c r="A222" s="6">
        <f t="shared" si="36"/>
        <v>8</v>
      </c>
      <c r="B222" s="26"/>
      <c r="C222" s="26"/>
      <c r="D222" s="22"/>
      <c r="E222" s="4"/>
      <c r="F222" s="4"/>
      <c r="G222" s="4"/>
      <c r="H222" s="4"/>
      <c r="I222" s="85"/>
      <c r="J222" s="4"/>
      <c r="K222" s="4"/>
      <c r="L222" s="4"/>
      <c r="M222" s="4"/>
      <c r="N222" s="4"/>
      <c r="O222" s="4"/>
      <c r="P222" s="4"/>
    </row>
    <row r="223" spans="1:16" ht="18.600000000000001" customHeight="1" x14ac:dyDescent="0.2">
      <c r="A223" s="6">
        <f t="shared" si="36"/>
        <v>9</v>
      </c>
      <c r="B223" s="26"/>
      <c r="C223" s="26"/>
      <c r="D223" s="22"/>
      <c r="E223" s="4"/>
      <c r="F223" s="4"/>
      <c r="G223" s="4"/>
      <c r="H223" s="4"/>
      <c r="I223" s="85"/>
      <c r="J223" s="4"/>
      <c r="K223" s="4"/>
      <c r="L223" s="4"/>
      <c r="M223" s="4"/>
      <c r="N223" s="4"/>
      <c r="O223" s="4"/>
      <c r="P223" s="4"/>
    </row>
    <row r="224" spans="1:16" ht="18.600000000000001" customHeight="1" x14ac:dyDescent="0.2">
      <c r="A224" s="10">
        <f t="shared" si="36"/>
        <v>10</v>
      </c>
      <c r="B224" s="62"/>
      <c r="C224" s="62"/>
      <c r="D224" s="23"/>
      <c r="E224" s="12"/>
      <c r="F224" s="12"/>
      <c r="G224" s="12"/>
      <c r="H224" s="12"/>
      <c r="I224" s="86"/>
      <c r="J224" s="12"/>
      <c r="K224" s="12"/>
      <c r="L224" s="12"/>
      <c r="M224" s="12"/>
      <c r="N224" s="12"/>
      <c r="O224" s="12"/>
      <c r="P224" s="12"/>
    </row>
    <row r="225" spans="1:16" ht="18.600000000000001" customHeight="1" x14ac:dyDescent="0.2">
      <c r="A225" s="35">
        <f t="shared" si="36"/>
        <v>11</v>
      </c>
      <c r="B225" s="60"/>
      <c r="C225" s="60"/>
      <c r="D225" s="61"/>
      <c r="E225" s="14"/>
      <c r="F225" s="14"/>
      <c r="G225" s="14"/>
      <c r="H225" s="14"/>
      <c r="I225" s="87"/>
      <c r="J225" s="14"/>
      <c r="K225" s="14"/>
      <c r="L225" s="14"/>
      <c r="M225" s="14"/>
      <c r="N225" s="14"/>
      <c r="O225" s="14"/>
      <c r="P225" s="14"/>
    </row>
    <row r="226" spans="1:16" ht="18.600000000000001" customHeight="1" x14ac:dyDescent="0.2">
      <c r="A226" s="7">
        <f t="shared" si="36"/>
        <v>12</v>
      </c>
      <c r="B226" s="26"/>
      <c r="C226" s="26"/>
      <c r="D226" s="22"/>
      <c r="E226" s="4"/>
      <c r="F226" s="4"/>
      <c r="G226" s="4"/>
      <c r="H226" s="4"/>
      <c r="I226" s="85"/>
      <c r="J226" s="4"/>
      <c r="K226" s="4"/>
      <c r="L226" s="4"/>
      <c r="M226" s="4"/>
      <c r="N226" s="4"/>
      <c r="O226" s="4"/>
      <c r="P226" s="4"/>
    </row>
    <row r="227" spans="1:16" ht="18.600000000000001" customHeight="1" x14ac:dyDescent="0.2">
      <c r="A227" s="7">
        <f t="shared" si="36"/>
        <v>13</v>
      </c>
      <c r="B227" s="26"/>
      <c r="C227" s="26"/>
      <c r="D227" s="22"/>
      <c r="E227" s="4"/>
      <c r="F227" s="4"/>
      <c r="G227" s="4"/>
      <c r="H227" s="4"/>
      <c r="I227" s="85"/>
      <c r="J227" s="4"/>
      <c r="K227" s="4"/>
      <c r="L227" s="4"/>
      <c r="M227" s="4"/>
      <c r="N227" s="4"/>
      <c r="O227" s="4"/>
      <c r="P227" s="4"/>
    </row>
    <row r="228" spans="1:16" ht="18.600000000000001" customHeight="1" x14ac:dyDescent="0.2">
      <c r="A228" s="7">
        <f t="shared" si="36"/>
        <v>14</v>
      </c>
      <c r="B228" s="3"/>
      <c r="C228" s="4"/>
      <c r="D228" s="8"/>
      <c r="E228" s="4"/>
      <c r="F228" s="4"/>
      <c r="G228" s="4"/>
      <c r="H228" s="4"/>
      <c r="I228" s="85"/>
      <c r="J228" s="4"/>
      <c r="K228" s="4"/>
      <c r="L228" s="4"/>
      <c r="M228" s="4"/>
      <c r="N228" s="4"/>
      <c r="O228" s="4"/>
      <c r="P228" s="4"/>
    </row>
    <row r="229" spans="1:16" ht="18.600000000000001" customHeight="1" x14ac:dyDescent="0.2">
      <c r="A229" s="6">
        <f t="shared" si="36"/>
        <v>15</v>
      </c>
      <c r="B229" s="15"/>
      <c r="C229" s="16"/>
      <c r="D229" s="5"/>
      <c r="E229" s="16"/>
      <c r="F229" s="16"/>
      <c r="G229" s="16"/>
      <c r="H229" s="16"/>
      <c r="I229" s="83"/>
      <c r="J229" s="16"/>
      <c r="K229" s="16"/>
      <c r="L229" s="16"/>
      <c r="M229" s="16"/>
      <c r="N229" s="16"/>
      <c r="O229" s="16"/>
      <c r="P229" s="16"/>
    </row>
    <row r="230" spans="1:16" ht="18.600000000000001" customHeight="1" x14ac:dyDescent="0.2">
      <c r="A230" s="32">
        <f t="shared" si="36"/>
        <v>16</v>
      </c>
      <c r="B230" s="1"/>
      <c r="C230" s="2"/>
      <c r="D230" s="33"/>
      <c r="E230" s="2"/>
      <c r="F230" s="2"/>
      <c r="G230" s="2"/>
      <c r="H230" s="2"/>
      <c r="I230" s="84"/>
      <c r="J230" s="2"/>
      <c r="K230" s="2"/>
      <c r="L230" s="2"/>
      <c r="M230" s="2"/>
      <c r="N230" s="2"/>
      <c r="O230" s="2"/>
      <c r="P230" s="2"/>
    </row>
    <row r="231" spans="1:16" ht="18.600000000000001" customHeight="1" x14ac:dyDescent="0.2">
      <c r="A231" s="7">
        <f t="shared" si="36"/>
        <v>17</v>
      </c>
      <c r="B231" s="3"/>
      <c r="C231" s="4"/>
      <c r="D231" s="8"/>
      <c r="E231" s="4"/>
      <c r="F231" s="4"/>
      <c r="G231" s="4"/>
      <c r="H231" s="4"/>
      <c r="I231" s="85"/>
      <c r="J231" s="4"/>
      <c r="K231" s="4"/>
      <c r="L231" s="4"/>
      <c r="M231" s="4"/>
      <c r="N231" s="4"/>
      <c r="O231" s="4"/>
      <c r="P231" s="4"/>
    </row>
    <row r="232" spans="1:16" ht="18.600000000000001" customHeight="1" x14ac:dyDescent="0.2">
      <c r="A232" s="7">
        <f t="shared" si="36"/>
        <v>18</v>
      </c>
      <c r="B232" s="3"/>
      <c r="C232" s="4"/>
      <c r="D232" s="8"/>
      <c r="E232" s="4"/>
      <c r="F232" s="4"/>
      <c r="G232" s="4"/>
      <c r="H232" s="4"/>
      <c r="I232" s="85"/>
      <c r="J232" s="4"/>
      <c r="K232" s="4"/>
      <c r="L232" s="4"/>
      <c r="M232" s="4"/>
      <c r="N232" s="4"/>
      <c r="O232" s="4"/>
      <c r="P232" s="4"/>
    </row>
    <row r="233" spans="1:16" ht="18.600000000000001" customHeight="1" x14ac:dyDescent="0.2">
      <c r="A233" s="7">
        <f t="shared" si="36"/>
        <v>19</v>
      </c>
      <c r="B233" s="3"/>
      <c r="C233" s="4"/>
      <c r="D233" s="8"/>
      <c r="E233" s="4"/>
      <c r="F233" s="4"/>
      <c r="G233" s="4"/>
      <c r="H233" s="4"/>
      <c r="I233" s="85"/>
      <c r="J233" s="4"/>
      <c r="K233" s="4"/>
      <c r="L233" s="4"/>
      <c r="M233" s="4"/>
      <c r="N233" s="4"/>
      <c r="O233" s="4"/>
      <c r="P233" s="4"/>
    </row>
    <row r="234" spans="1:16" ht="18.600000000000001" customHeight="1" x14ac:dyDescent="0.2">
      <c r="A234" s="10">
        <f t="shared" si="36"/>
        <v>20</v>
      </c>
      <c r="B234" s="11"/>
      <c r="C234" s="12"/>
      <c r="D234" s="9"/>
      <c r="E234" s="12"/>
      <c r="F234" s="12"/>
      <c r="G234" s="12"/>
      <c r="H234" s="12"/>
      <c r="I234" s="86"/>
      <c r="J234" s="12"/>
      <c r="K234" s="12"/>
      <c r="L234" s="12"/>
      <c r="M234" s="12"/>
      <c r="N234" s="12"/>
      <c r="O234" s="12"/>
      <c r="P234" s="12"/>
    </row>
    <row r="235" spans="1:16" ht="18.600000000000001" customHeight="1" x14ac:dyDescent="0.2">
      <c r="A235" s="35">
        <f t="shared" si="36"/>
        <v>21</v>
      </c>
      <c r="B235" s="13"/>
      <c r="C235" s="14"/>
      <c r="D235" s="37"/>
      <c r="E235" s="14"/>
      <c r="F235" s="14"/>
      <c r="G235" s="14"/>
      <c r="H235" s="14"/>
      <c r="I235" s="87"/>
      <c r="J235" s="14"/>
      <c r="K235" s="14"/>
      <c r="L235" s="14"/>
      <c r="M235" s="14"/>
      <c r="N235" s="14"/>
      <c r="O235" s="14"/>
      <c r="P235" s="14"/>
    </row>
    <row r="236" spans="1:16" ht="18.600000000000001" customHeight="1" x14ac:dyDescent="0.2">
      <c r="A236" s="7">
        <f t="shared" si="36"/>
        <v>22</v>
      </c>
      <c r="B236" s="3"/>
      <c r="C236" s="4"/>
      <c r="D236" s="8"/>
      <c r="E236" s="4"/>
      <c r="F236" s="4"/>
      <c r="G236" s="4"/>
      <c r="H236" s="4"/>
      <c r="I236" s="85"/>
      <c r="J236" s="4"/>
      <c r="K236" s="4"/>
      <c r="L236" s="4"/>
      <c r="M236" s="4"/>
      <c r="N236" s="4"/>
      <c r="O236" s="4"/>
      <c r="P236" s="4"/>
    </row>
    <row r="237" spans="1:16" ht="18.600000000000001" customHeight="1" x14ac:dyDescent="0.2">
      <c r="A237" s="35">
        <f t="shared" si="36"/>
        <v>23</v>
      </c>
      <c r="B237" s="3"/>
      <c r="C237" s="4"/>
      <c r="D237" s="8"/>
      <c r="E237" s="4"/>
      <c r="F237" s="4"/>
      <c r="G237" s="4"/>
      <c r="H237" s="4"/>
      <c r="I237" s="85"/>
      <c r="J237" s="4"/>
      <c r="K237" s="4"/>
      <c r="L237" s="4"/>
      <c r="M237" s="4"/>
      <c r="N237" s="4"/>
      <c r="O237" s="4"/>
      <c r="P237" s="4"/>
    </row>
    <row r="238" spans="1:16" ht="18.600000000000001" customHeight="1" x14ac:dyDescent="0.2">
      <c r="A238" s="7">
        <f t="shared" si="36"/>
        <v>24</v>
      </c>
      <c r="B238" s="3"/>
      <c r="C238" s="4"/>
      <c r="D238" s="8"/>
      <c r="E238" s="4"/>
      <c r="F238" s="4"/>
      <c r="G238" s="4"/>
      <c r="H238" s="4"/>
      <c r="I238" s="85"/>
      <c r="J238" s="4"/>
      <c r="K238" s="4"/>
      <c r="L238" s="4"/>
      <c r="M238" s="4"/>
      <c r="N238" s="4"/>
      <c r="O238" s="4"/>
      <c r="P238" s="4"/>
    </row>
    <row r="239" spans="1:16" ht="18.600000000000001" customHeight="1" x14ac:dyDescent="0.2">
      <c r="A239" s="35">
        <f t="shared" si="36"/>
        <v>25</v>
      </c>
      <c r="B239" s="11"/>
      <c r="C239" s="12"/>
      <c r="D239" s="9"/>
      <c r="E239" s="12"/>
      <c r="F239" s="12"/>
      <c r="G239" s="12"/>
      <c r="H239" s="12"/>
      <c r="I239" s="86"/>
      <c r="J239" s="12"/>
      <c r="K239" s="12"/>
      <c r="L239" s="12"/>
      <c r="M239" s="12"/>
      <c r="N239" s="12"/>
      <c r="O239" s="12"/>
      <c r="P239" s="12"/>
    </row>
    <row r="240" spans="1:16" ht="18.600000000000001" customHeight="1" x14ac:dyDescent="0.3">
      <c r="A240" s="147"/>
      <c r="B240" s="148"/>
      <c r="C240" s="147"/>
      <c r="D240" s="149"/>
      <c r="E240" s="150">
        <f>SUBTOTAL(9,E215:E239)</f>
        <v>0</v>
      </c>
      <c r="F240" s="152"/>
      <c r="G240" s="150">
        <f t="shared" ref="G240" si="37">SUBTOTAL(9,G215:G239)</f>
        <v>0</v>
      </c>
      <c r="H240" s="152"/>
      <c r="I240" s="150">
        <f t="shared" ref="I240" si="38">SUBTOTAL(9,I215:I239)</f>
        <v>0</v>
      </c>
      <c r="J240" s="152"/>
      <c r="K240" s="152"/>
      <c r="L240" s="152"/>
      <c r="M240" s="150">
        <f t="shared" ref="M240" si="39">SUBTOTAL(9,M215:M239)</f>
        <v>0</v>
      </c>
      <c r="N240" s="152"/>
      <c r="O240" s="150">
        <f t="shared" ref="O240" si="40">SUBTOTAL(9,O215:O239)</f>
        <v>0</v>
      </c>
      <c r="P240" s="152"/>
    </row>
    <row r="241" spans="1:16" ht="18.600000000000001" customHeight="1" x14ac:dyDescent="0.2">
      <c r="A241" s="434" t="str">
        <f>A211</f>
        <v>DANH SÁCH LỚP 2</v>
      </c>
      <c r="B241" s="434"/>
      <c r="C241" s="434"/>
      <c r="D241" s="434"/>
      <c r="E241" s="434"/>
      <c r="F241" s="434"/>
      <c r="G241" s="434"/>
      <c r="H241" s="434"/>
      <c r="I241" s="92">
        <v>9</v>
      </c>
      <c r="J241" s="48"/>
      <c r="K241" s="48"/>
      <c r="L241" s="48"/>
      <c r="M241" s="41"/>
      <c r="N241" s="41"/>
      <c r="O241" s="41"/>
      <c r="P241" s="41"/>
    </row>
    <row r="242" spans="1:16" ht="18.600000000000001" customHeight="1" x14ac:dyDescent="0.2">
      <c r="A242" s="28"/>
      <c r="B242" s="29"/>
      <c r="C242" s="30"/>
      <c r="D242" s="36"/>
      <c r="E242" s="28"/>
      <c r="F242" s="28"/>
      <c r="G242" s="28"/>
      <c r="H242" s="28"/>
      <c r="I242" s="79"/>
      <c r="J242" s="28"/>
      <c r="K242" s="28"/>
      <c r="L242" s="28"/>
      <c r="M242" s="28"/>
      <c r="N242" s="28"/>
      <c r="O242" s="28"/>
      <c r="P242" s="28"/>
    </row>
    <row r="243" spans="1:16" ht="18.600000000000001" customHeight="1" x14ac:dyDescent="0.2">
      <c r="A243" s="435" t="s">
        <v>374</v>
      </c>
      <c r="B243" s="435" t="s">
        <v>380</v>
      </c>
      <c r="C243" s="435" t="s">
        <v>383</v>
      </c>
      <c r="D243" s="437" t="s">
        <v>384</v>
      </c>
      <c r="E243" s="438" t="s">
        <v>385</v>
      </c>
      <c r="F243" s="439"/>
      <c r="G243" s="432" t="str">
        <f>$R$1</f>
        <v>Đợt 1</v>
      </c>
      <c r="H243" s="433"/>
      <c r="I243" s="432" t="str">
        <f>$T$1</f>
        <v>Đợt 2</v>
      </c>
      <c r="J243" s="433"/>
      <c r="K243" s="432" t="str">
        <f>$V$1</f>
        <v>Đợt 3</v>
      </c>
      <c r="L243" s="433"/>
      <c r="M243" s="432" t="str">
        <f>$X$1</f>
        <v>Đợt 4</v>
      </c>
      <c r="N243" s="433"/>
      <c r="O243" s="432" t="str">
        <f>$Z$1</f>
        <v>Đợt 5</v>
      </c>
      <c r="P243" s="433"/>
    </row>
    <row r="244" spans="1:16" ht="18.600000000000001" customHeight="1" x14ac:dyDescent="0.2">
      <c r="A244" s="436"/>
      <c r="B244" s="436"/>
      <c r="C244" s="436"/>
      <c r="D244" s="436"/>
      <c r="E244" s="31" t="s">
        <v>381</v>
      </c>
      <c r="F244" s="31" t="s">
        <v>382</v>
      </c>
      <c r="G244" s="31" t="s">
        <v>381</v>
      </c>
      <c r="H244" s="31" t="s">
        <v>382</v>
      </c>
      <c r="I244" s="80" t="s">
        <v>381</v>
      </c>
      <c r="J244" s="31" t="s">
        <v>382</v>
      </c>
      <c r="K244" s="80" t="s">
        <v>381</v>
      </c>
      <c r="L244" s="31" t="s">
        <v>382</v>
      </c>
      <c r="M244" s="31" t="s">
        <v>381</v>
      </c>
      <c r="N244" s="31" t="s">
        <v>382</v>
      </c>
      <c r="O244" s="31" t="s">
        <v>381</v>
      </c>
      <c r="P244" s="31" t="s">
        <v>382</v>
      </c>
    </row>
    <row r="245" spans="1:16" ht="18.600000000000001" customHeight="1" x14ac:dyDescent="0.2">
      <c r="A245" s="32">
        <v>1</v>
      </c>
      <c r="B245" s="26"/>
      <c r="C245" s="26"/>
      <c r="D245" s="22"/>
      <c r="E245" s="32"/>
      <c r="F245" s="34"/>
      <c r="G245" s="32"/>
      <c r="H245" s="93"/>
      <c r="I245" s="81"/>
      <c r="J245" s="34"/>
      <c r="K245" s="34"/>
      <c r="L245" s="34"/>
      <c r="M245" s="32"/>
      <c r="N245" s="34"/>
      <c r="O245" s="32"/>
      <c r="P245" s="34"/>
    </row>
    <row r="246" spans="1:16" ht="18.600000000000001" customHeight="1" x14ac:dyDescent="0.2">
      <c r="A246" s="7">
        <f t="shared" ref="A246:A269" si="41">A245+1</f>
        <v>2</v>
      </c>
      <c r="B246" s="26"/>
      <c r="C246" s="26"/>
      <c r="D246" s="22"/>
      <c r="E246" s="7"/>
      <c r="F246" s="7"/>
      <c r="G246" s="7"/>
      <c r="H246" s="7"/>
      <c r="I246" s="82"/>
      <c r="J246" s="7"/>
      <c r="K246" s="7"/>
      <c r="L246" s="7"/>
      <c r="M246" s="7"/>
      <c r="N246" s="7"/>
      <c r="O246" s="7"/>
      <c r="P246" s="7"/>
    </row>
    <row r="247" spans="1:16" ht="18.600000000000001" customHeight="1" x14ac:dyDescent="0.2">
      <c r="A247" s="7">
        <f t="shared" si="41"/>
        <v>3</v>
      </c>
      <c r="B247" s="26"/>
      <c r="C247" s="26"/>
      <c r="D247" s="22"/>
      <c r="E247" s="7"/>
      <c r="F247" s="7"/>
      <c r="G247" s="7"/>
      <c r="H247" s="7"/>
      <c r="I247" s="82"/>
      <c r="J247" s="7"/>
      <c r="K247" s="7"/>
      <c r="L247" s="7"/>
      <c r="M247" s="7"/>
      <c r="N247" s="7"/>
      <c r="O247" s="7"/>
      <c r="P247" s="7"/>
    </row>
    <row r="248" spans="1:16" ht="18.600000000000001" customHeight="1" x14ac:dyDescent="0.2">
      <c r="A248" s="7">
        <f t="shared" si="41"/>
        <v>4</v>
      </c>
      <c r="B248" s="26"/>
      <c r="C248" s="26"/>
      <c r="D248" s="22"/>
      <c r="E248" s="7"/>
      <c r="F248" s="7"/>
      <c r="G248" s="7"/>
      <c r="H248" s="7"/>
      <c r="I248" s="82"/>
      <c r="J248" s="7"/>
      <c r="K248" s="7"/>
      <c r="L248" s="7"/>
      <c r="M248" s="7"/>
      <c r="N248" s="7"/>
      <c r="O248" s="7"/>
      <c r="P248" s="7"/>
    </row>
    <row r="249" spans="1:16" ht="18.600000000000001" customHeight="1" x14ac:dyDescent="0.2">
      <c r="A249" s="6">
        <f t="shared" si="41"/>
        <v>5</v>
      </c>
      <c r="B249" s="58"/>
      <c r="C249" s="58"/>
      <c r="D249" s="59"/>
      <c r="E249" s="16"/>
      <c r="F249" s="16"/>
      <c r="G249" s="16"/>
      <c r="H249" s="16"/>
      <c r="I249" s="83"/>
      <c r="J249" s="16"/>
      <c r="K249" s="16"/>
      <c r="L249" s="16"/>
      <c r="M249" s="16"/>
      <c r="N249" s="16"/>
      <c r="O249" s="16"/>
      <c r="P249" s="16"/>
    </row>
    <row r="250" spans="1:16" ht="18.600000000000001" customHeight="1" x14ac:dyDescent="0.2">
      <c r="A250" s="56">
        <f t="shared" si="41"/>
        <v>6</v>
      </c>
      <c r="B250" s="57"/>
      <c r="C250" s="57"/>
      <c r="D250" s="21"/>
      <c r="E250" s="2"/>
      <c r="F250" s="2"/>
      <c r="G250" s="2"/>
      <c r="H250" s="2"/>
      <c r="I250" s="84"/>
      <c r="J250" s="2"/>
      <c r="K250" s="2"/>
      <c r="L250" s="2"/>
      <c r="M250" s="2"/>
      <c r="N250" s="2"/>
      <c r="O250" s="2"/>
      <c r="P250" s="2"/>
    </row>
    <row r="251" spans="1:16" ht="18.600000000000001" customHeight="1" x14ac:dyDescent="0.2">
      <c r="A251" s="6">
        <f t="shared" si="41"/>
        <v>7</v>
      </c>
      <c r="B251" s="26"/>
      <c r="C251" s="26"/>
      <c r="D251" s="22"/>
      <c r="E251" s="4"/>
      <c r="F251" s="4"/>
      <c r="G251" s="4"/>
      <c r="H251" s="4"/>
      <c r="I251" s="85"/>
      <c r="J251" s="4"/>
      <c r="K251" s="4"/>
      <c r="L251" s="4"/>
      <c r="M251" s="4"/>
      <c r="N251" s="4"/>
      <c r="O251" s="4"/>
      <c r="P251" s="4"/>
    </row>
    <row r="252" spans="1:16" ht="18.600000000000001" customHeight="1" x14ac:dyDescent="0.2">
      <c r="A252" s="6">
        <f t="shared" si="41"/>
        <v>8</v>
      </c>
      <c r="B252" s="26"/>
      <c r="C252" s="26"/>
      <c r="D252" s="22"/>
      <c r="E252" s="4"/>
      <c r="F252" s="4"/>
      <c r="G252" s="4"/>
      <c r="H252" s="4"/>
      <c r="I252" s="85"/>
      <c r="J252" s="4"/>
      <c r="K252" s="4"/>
      <c r="L252" s="4"/>
      <c r="M252" s="4"/>
      <c r="N252" s="4"/>
      <c r="O252" s="4"/>
      <c r="P252" s="4"/>
    </row>
    <row r="253" spans="1:16" ht="18.600000000000001" customHeight="1" x14ac:dyDescent="0.2">
      <c r="A253" s="6">
        <f t="shared" si="41"/>
        <v>9</v>
      </c>
      <c r="B253" s="26"/>
      <c r="C253" s="26"/>
      <c r="D253" s="22"/>
      <c r="E253" s="4"/>
      <c r="F253" s="4"/>
      <c r="G253" s="4"/>
      <c r="H253" s="4"/>
      <c r="I253" s="85"/>
      <c r="J253" s="4"/>
      <c r="K253" s="4"/>
      <c r="L253" s="4"/>
      <c r="M253" s="4"/>
      <c r="N253" s="4"/>
      <c r="O253" s="4"/>
      <c r="P253" s="4"/>
    </row>
    <row r="254" spans="1:16" ht="18.600000000000001" customHeight="1" x14ac:dyDescent="0.2">
      <c r="A254" s="10">
        <f t="shared" si="41"/>
        <v>10</v>
      </c>
      <c r="B254" s="62"/>
      <c r="C254" s="62"/>
      <c r="D254" s="23"/>
      <c r="E254" s="12"/>
      <c r="F254" s="12"/>
      <c r="G254" s="12"/>
      <c r="H254" s="12"/>
      <c r="I254" s="86"/>
      <c r="J254" s="12"/>
      <c r="K254" s="12"/>
      <c r="L254" s="12"/>
      <c r="M254" s="12"/>
      <c r="N254" s="12"/>
      <c r="O254" s="12"/>
      <c r="P254" s="12"/>
    </row>
    <row r="255" spans="1:16" ht="18.600000000000001" customHeight="1" x14ac:dyDescent="0.2">
      <c r="A255" s="35">
        <f t="shared" si="41"/>
        <v>11</v>
      </c>
      <c r="B255" s="60"/>
      <c r="C255" s="60"/>
      <c r="D255" s="61"/>
      <c r="E255" s="14"/>
      <c r="F255" s="14"/>
      <c r="G255" s="14"/>
      <c r="H255" s="14"/>
      <c r="I255" s="87"/>
      <c r="J255" s="14"/>
      <c r="K255" s="14"/>
      <c r="L255" s="14"/>
      <c r="M255" s="14"/>
      <c r="N255" s="14"/>
      <c r="O255" s="14"/>
      <c r="P255" s="14"/>
    </row>
    <row r="256" spans="1:16" ht="18.600000000000001" customHeight="1" x14ac:dyDescent="0.2">
      <c r="A256" s="7">
        <f t="shared" si="41"/>
        <v>12</v>
      </c>
      <c r="B256" s="26"/>
      <c r="C256" s="26"/>
      <c r="D256" s="22"/>
      <c r="E256" s="4"/>
      <c r="F256" s="4"/>
      <c r="G256" s="4"/>
      <c r="H256" s="4"/>
      <c r="I256" s="85"/>
      <c r="J256" s="4"/>
      <c r="K256" s="4"/>
      <c r="L256" s="4"/>
      <c r="M256" s="4"/>
      <c r="N256" s="4"/>
      <c r="O256" s="4"/>
      <c r="P256" s="4"/>
    </row>
    <row r="257" spans="1:16" ht="18.600000000000001" customHeight="1" x14ac:dyDescent="0.2">
      <c r="A257" s="7">
        <f t="shared" si="41"/>
        <v>13</v>
      </c>
      <c r="B257" s="26"/>
      <c r="C257" s="26"/>
      <c r="D257" s="22"/>
      <c r="E257" s="4"/>
      <c r="F257" s="4"/>
      <c r="G257" s="4"/>
      <c r="H257" s="4"/>
      <c r="I257" s="85"/>
      <c r="J257" s="4"/>
      <c r="K257" s="4"/>
      <c r="L257" s="4"/>
      <c r="M257" s="4"/>
      <c r="N257" s="4"/>
      <c r="O257" s="4"/>
      <c r="P257" s="4"/>
    </row>
    <row r="258" spans="1:16" ht="18.600000000000001" customHeight="1" x14ac:dyDescent="0.2">
      <c r="A258" s="7">
        <f t="shared" si="41"/>
        <v>14</v>
      </c>
      <c r="B258" s="3"/>
      <c r="C258" s="4"/>
      <c r="D258" s="8"/>
      <c r="E258" s="4"/>
      <c r="F258" s="4"/>
      <c r="G258" s="4"/>
      <c r="H258" s="4"/>
      <c r="I258" s="85"/>
      <c r="J258" s="4"/>
      <c r="K258" s="4"/>
      <c r="L258" s="4"/>
      <c r="M258" s="4"/>
      <c r="N258" s="4"/>
      <c r="O258" s="4"/>
      <c r="P258" s="4"/>
    </row>
    <row r="259" spans="1:16" ht="18.600000000000001" customHeight="1" x14ac:dyDescent="0.2">
      <c r="A259" s="6">
        <f t="shared" si="41"/>
        <v>15</v>
      </c>
      <c r="B259" s="15"/>
      <c r="C259" s="16"/>
      <c r="D259" s="5"/>
      <c r="E259" s="16"/>
      <c r="F259" s="16"/>
      <c r="G259" s="16"/>
      <c r="H259" s="16"/>
      <c r="I259" s="83"/>
      <c r="J259" s="16"/>
      <c r="K259" s="16"/>
      <c r="L259" s="16"/>
      <c r="M259" s="16"/>
      <c r="N259" s="16"/>
      <c r="O259" s="16"/>
      <c r="P259" s="16"/>
    </row>
    <row r="260" spans="1:16" ht="18.600000000000001" customHeight="1" x14ac:dyDescent="0.2">
      <c r="A260" s="32">
        <f t="shared" si="41"/>
        <v>16</v>
      </c>
      <c r="B260" s="1"/>
      <c r="C260" s="2"/>
      <c r="D260" s="33"/>
      <c r="E260" s="2"/>
      <c r="F260" s="2"/>
      <c r="G260" s="2"/>
      <c r="H260" s="2"/>
      <c r="I260" s="84"/>
      <c r="J260" s="2"/>
      <c r="K260" s="2"/>
      <c r="L260" s="2"/>
      <c r="M260" s="2"/>
      <c r="N260" s="2"/>
      <c r="O260" s="2"/>
      <c r="P260" s="2"/>
    </row>
    <row r="261" spans="1:16" ht="18.600000000000001" customHeight="1" x14ac:dyDescent="0.2">
      <c r="A261" s="7">
        <f t="shared" si="41"/>
        <v>17</v>
      </c>
      <c r="B261" s="3"/>
      <c r="C261" s="4"/>
      <c r="D261" s="8"/>
      <c r="E261" s="4"/>
      <c r="F261" s="4"/>
      <c r="G261" s="4"/>
      <c r="H261" s="4"/>
      <c r="I261" s="85"/>
      <c r="J261" s="4"/>
      <c r="K261" s="4"/>
      <c r="L261" s="4"/>
      <c r="M261" s="4"/>
      <c r="N261" s="4"/>
      <c r="O261" s="4"/>
      <c r="P261" s="4"/>
    </row>
    <row r="262" spans="1:16" ht="18.600000000000001" customHeight="1" x14ac:dyDescent="0.2">
      <c r="A262" s="7">
        <f t="shared" si="41"/>
        <v>18</v>
      </c>
      <c r="B262" s="3"/>
      <c r="C262" s="4"/>
      <c r="D262" s="8"/>
      <c r="E262" s="4"/>
      <c r="F262" s="4"/>
      <c r="G262" s="4"/>
      <c r="H262" s="4"/>
      <c r="I262" s="85"/>
      <c r="J262" s="4"/>
      <c r="K262" s="4"/>
      <c r="L262" s="4"/>
      <c r="M262" s="4"/>
      <c r="N262" s="4"/>
      <c r="O262" s="4"/>
      <c r="P262" s="4"/>
    </row>
    <row r="263" spans="1:16" ht="18.600000000000001" customHeight="1" x14ac:dyDescent="0.2">
      <c r="A263" s="7">
        <f t="shared" si="41"/>
        <v>19</v>
      </c>
      <c r="B263" s="3"/>
      <c r="C263" s="4"/>
      <c r="D263" s="8"/>
      <c r="E263" s="4"/>
      <c r="F263" s="4"/>
      <c r="G263" s="4"/>
      <c r="H263" s="4"/>
      <c r="I263" s="85"/>
      <c r="J263" s="4"/>
      <c r="K263" s="4"/>
      <c r="L263" s="4"/>
      <c r="M263" s="4"/>
      <c r="N263" s="4"/>
      <c r="O263" s="4"/>
      <c r="P263" s="4"/>
    </row>
    <row r="264" spans="1:16" ht="18.600000000000001" customHeight="1" x14ac:dyDescent="0.2">
      <c r="A264" s="10">
        <f t="shared" si="41"/>
        <v>20</v>
      </c>
      <c r="B264" s="11"/>
      <c r="C264" s="12"/>
      <c r="D264" s="9"/>
      <c r="E264" s="12"/>
      <c r="F264" s="12"/>
      <c r="G264" s="12"/>
      <c r="H264" s="12"/>
      <c r="I264" s="86"/>
      <c r="J264" s="12"/>
      <c r="K264" s="12"/>
      <c r="L264" s="12"/>
      <c r="M264" s="12"/>
      <c r="N264" s="12"/>
      <c r="O264" s="12"/>
      <c r="P264" s="12"/>
    </row>
    <row r="265" spans="1:16" ht="18.600000000000001" customHeight="1" x14ac:dyDescent="0.2">
      <c r="A265" s="35">
        <f t="shared" si="41"/>
        <v>21</v>
      </c>
      <c r="B265" s="13"/>
      <c r="C265" s="14"/>
      <c r="D265" s="37"/>
      <c r="E265" s="14"/>
      <c r="F265" s="14"/>
      <c r="G265" s="14"/>
      <c r="H265" s="14"/>
      <c r="I265" s="87"/>
      <c r="J265" s="14"/>
      <c r="K265" s="14"/>
      <c r="L265" s="14"/>
      <c r="M265" s="14"/>
      <c r="N265" s="14"/>
      <c r="O265" s="14"/>
      <c r="P265" s="14"/>
    </row>
    <row r="266" spans="1:16" ht="18.600000000000001" customHeight="1" x14ac:dyDescent="0.2">
      <c r="A266" s="7">
        <f t="shared" si="41"/>
        <v>22</v>
      </c>
      <c r="B266" s="3"/>
      <c r="C266" s="4"/>
      <c r="D266" s="8"/>
      <c r="E266" s="4"/>
      <c r="F266" s="4"/>
      <c r="G266" s="4"/>
      <c r="H266" s="4"/>
      <c r="I266" s="85"/>
      <c r="J266" s="4"/>
      <c r="K266" s="4"/>
      <c r="L266" s="4"/>
      <c r="M266" s="4"/>
      <c r="N266" s="4"/>
      <c r="O266" s="4"/>
      <c r="P266" s="4"/>
    </row>
    <row r="267" spans="1:16" ht="18.600000000000001" customHeight="1" x14ac:dyDescent="0.2">
      <c r="A267" s="35">
        <f t="shared" si="41"/>
        <v>23</v>
      </c>
      <c r="B267" s="3"/>
      <c r="C267" s="4"/>
      <c r="D267" s="8"/>
      <c r="E267" s="4"/>
      <c r="F267" s="4"/>
      <c r="G267" s="4"/>
      <c r="H267" s="4"/>
      <c r="I267" s="85"/>
      <c r="J267" s="4"/>
      <c r="K267" s="4"/>
      <c r="L267" s="4"/>
      <c r="M267" s="4"/>
      <c r="N267" s="4"/>
      <c r="O267" s="4"/>
      <c r="P267" s="4"/>
    </row>
    <row r="268" spans="1:16" ht="18.600000000000001" customHeight="1" x14ac:dyDescent="0.2">
      <c r="A268" s="7">
        <f t="shared" si="41"/>
        <v>24</v>
      </c>
      <c r="B268" s="3"/>
      <c r="C268" s="4"/>
      <c r="D268" s="8"/>
      <c r="E268" s="4"/>
      <c r="F268" s="4"/>
      <c r="G268" s="4"/>
      <c r="H268" s="4"/>
      <c r="I268" s="85"/>
      <c r="J268" s="4"/>
      <c r="K268" s="4"/>
      <c r="L268" s="4"/>
      <c r="M268" s="4"/>
      <c r="N268" s="4"/>
      <c r="O268" s="4"/>
      <c r="P268" s="4"/>
    </row>
    <row r="269" spans="1:16" ht="18.600000000000001" customHeight="1" x14ac:dyDescent="0.2">
      <c r="A269" s="35">
        <f t="shared" si="41"/>
        <v>25</v>
      </c>
      <c r="B269" s="11"/>
      <c r="C269" s="12"/>
      <c r="D269" s="9"/>
      <c r="E269" s="12"/>
      <c r="F269" s="12"/>
      <c r="G269" s="12"/>
      <c r="H269" s="12"/>
      <c r="I269" s="86"/>
      <c r="J269" s="12"/>
      <c r="K269" s="12"/>
      <c r="L269" s="12"/>
      <c r="M269" s="12"/>
      <c r="N269" s="12"/>
      <c r="O269" s="12"/>
      <c r="P269" s="12"/>
    </row>
    <row r="270" spans="1:16" ht="18.600000000000001" customHeight="1" x14ac:dyDescent="0.3">
      <c r="A270" s="147"/>
      <c r="B270" s="148"/>
      <c r="C270" s="147"/>
      <c r="D270" s="149"/>
      <c r="E270" s="150">
        <f>SUBTOTAL(9,E245:E269)</f>
        <v>0</v>
      </c>
      <c r="F270" s="152"/>
      <c r="G270" s="150">
        <f t="shared" ref="G270" si="42">SUBTOTAL(9,G245:G269)</f>
        <v>0</v>
      </c>
      <c r="H270" s="152"/>
      <c r="I270" s="150">
        <f t="shared" ref="I270" si="43">SUBTOTAL(9,I245:I269)</f>
        <v>0</v>
      </c>
      <c r="J270" s="152"/>
      <c r="K270" s="152"/>
      <c r="L270" s="152"/>
      <c r="M270" s="150">
        <f t="shared" ref="M270" si="44">SUBTOTAL(9,M245:M269)</f>
        <v>0</v>
      </c>
      <c r="N270" s="152"/>
      <c r="O270" s="150">
        <f t="shared" ref="O270" si="45">SUBTOTAL(9,O245:O269)</f>
        <v>0</v>
      </c>
      <c r="P270" s="152"/>
    </row>
  </sheetData>
  <mergeCells count="112">
    <mergeCell ref="B33:B34"/>
    <mergeCell ref="C33:C34"/>
    <mergeCell ref="D33:D34"/>
    <mergeCell ref="E33:F33"/>
    <mergeCell ref="G33:H33"/>
    <mergeCell ref="R2:S2"/>
    <mergeCell ref="I33:J33"/>
    <mergeCell ref="M33:N33"/>
    <mergeCell ref="O33:P33"/>
    <mergeCell ref="I3:J3"/>
    <mergeCell ref="M3:N3"/>
    <mergeCell ref="O3:P3"/>
    <mergeCell ref="G3:H3"/>
    <mergeCell ref="K3:L3"/>
    <mergeCell ref="A61:H61"/>
    <mergeCell ref="A63:A64"/>
    <mergeCell ref="B63:B64"/>
    <mergeCell ref="C63:C64"/>
    <mergeCell ref="D63:D64"/>
    <mergeCell ref="E63:F63"/>
    <mergeCell ref="G63:H63"/>
    <mergeCell ref="Z2:AA2"/>
    <mergeCell ref="AB1:AC1"/>
    <mergeCell ref="AB2:AC2"/>
    <mergeCell ref="Z1:AA1"/>
    <mergeCell ref="A31:H31"/>
    <mergeCell ref="R1:S1"/>
    <mergeCell ref="T1:U1"/>
    <mergeCell ref="X1:Y1"/>
    <mergeCell ref="T2:U2"/>
    <mergeCell ref="X2:Y2"/>
    <mergeCell ref="A1:H1"/>
    <mergeCell ref="A3:A4"/>
    <mergeCell ref="B3:B4"/>
    <mergeCell ref="C3:C4"/>
    <mergeCell ref="D3:D4"/>
    <mergeCell ref="E3:F3"/>
    <mergeCell ref="A33:A34"/>
    <mergeCell ref="A123:A124"/>
    <mergeCell ref="B123:B124"/>
    <mergeCell ref="C123:C124"/>
    <mergeCell ref="D123:D124"/>
    <mergeCell ref="E123:F123"/>
    <mergeCell ref="G123:H123"/>
    <mergeCell ref="A91:H91"/>
    <mergeCell ref="A93:A94"/>
    <mergeCell ref="B93:B94"/>
    <mergeCell ref="C93:C94"/>
    <mergeCell ref="D93:D94"/>
    <mergeCell ref="E93:F93"/>
    <mergeCell ref="G93:H93"/>
    <mergeCell ref="A151:H151"/>
    <mergeCell ref="A153:A154"/>
    <mergeCell ref="B153:B154"/>
    <mergeCell ref="C153:C154"/>
    <mergeCell ref="D153:D154"/>
    <mergeCell ref="E153:F153"/>
    <mergeCell ref="G153:H153"/>
    <mergeCell ref="V2:W2"/>
    <mergeCell ref="V1:W1"/>
    <mergeCell ref="I123:J123"/>
    <mergeCell ref="M123:N123"/>
    <mergeCell ref="O123:P123"/>
    <mergeCell ref="I63:J63"/>
    <mergeCell ref="M63:N63"/>
    <mergeCell ref="O63:P63"/>
    <mergeCell ref="I93:J93"/>
    <mergeCell ref="M93:N93"/>
    <mergeCell ref="O93:P93"/>
    <mergeCell ref="S9:T9"/>
    <mergeCell ref="K33:L33"/>
    <mergeCell ref="K63:L63"/>
    <mergeCell ref="K93:L93"/>
    <mergeCell ref="K123:L123"/>
    <mergeCell ref="A121:H121"/>
    <mergeCell ref="O153:P153"/>
    <mergeCell ref="A181:H181"/>
    <mergeCell ref="A183:A184"/>
    <mergeCell ref="B183:B184"/>
    <mergeCell ref="C183:C184"/>
    <mergeCell ref="D183:D184"/>
    <mergeCell ref="E183:F183"/>
    <mergeCell ref="G183:H183"/>
    <mergeCell ref="I183:J183"/>
    <mergeCell ref="M183:N183"/>
    <mergeCell ref="O183:P183"/>
    <mergeCell ref="K153:L153"/>
    <mergeCell ref="K183:L183"/>
    <mergeCell ref="A211:H211"/>
    <mergeCell ref="A213:A214"/>
    <mergeCell ref="B213:B214"/>
    <mergeCell ref="C213:C214"/>
    <mergeCell ref="D213:D214"/>
    <mergeCell ref="E213:F213"/>
    <mergeCell ref="G213:H213"/>
    <mergeCell ref="I153:J153"/>
    <mergeCell ref="M153:N153"/>
    <mergeCell ref="I213:J213"/>
    <mergeCell ref="M213:N213"/>
    <mergeCell ref="O213:P213"/>
    <mergeCell ref="A241:H241"/>
    <mergeCell ref="A243:A244"/>
    <mergeCell ref="B243:B244"/>
    <mergeCell ref="C243:C244"/>
    <mergeCell ref="D243:D244"/>
    <mergeCell ref="E243:F243"/>
    <mergeCell ref="G243:H243"/>
    <mergeCell ref="I243:J243"/>
    <mergeCell ref="M243:N243"/>
    <mergeCell ref="O243:P243"/>
    <mergeCell ref="K213:L213"/>
    <mergeCell ref="K243:L243"/>
  </mergeCells>
  <phoneticPr fontId="6" type="noConversion"/>
  <conditionalFormatting sqref="A1:P29 A30:D30 F30 H30 J30:L30 N30 P30">
    <cfRule type="expression" dxfId="507" priority="338">
      <formula>ISODD(ROW())</formula>
    </cfRule>
  </conditionalFormatting>
  <conditionalFormatting sqref="A2:P4 A5:A17 E5:P17 A18:P29 A30:D30 F30 H30 J30:L30 N30 P30">
    <cfRule type="expression" dxfId="506" priority="379">
      <formula>MOD(ROW(),2)=1</formula>
    </cfRule>
  </conditionalFormatting>
  <conditionalFormatting sqref="A3:P4 A5:A14 E5:P14 A15:P29 A30:D30 F30 H30 J30:L30 N30 P30">
    <cfRule type="expression" dxfId="505" priority="365">
      <formula>-ISODD(ROW())</formula>
    </cfRule>
    <cfRule type="expression" dxfId="504" priority="366">
      <formula>ISOODD(ROW())</formula>
    </cfRule>
  </conditionalFormatting>
  <conditionalFormatting sqref="A31:P59 A60:D60 F60 H60 J60:L60 N60 P60">
    <cfRule type="expression" dxfId="503" priority="286">
      <formula>ISODD(ROW())</formula>
    </cfRule>
  </conditionalFormatting>
  <conditionalFormatting sqref="A32:P34 A35:A47 E35:P47 A48:P59 A60:D60 F60 H60 J60:L60 N60 P60">
    <cfRule type="expression" dxfId="502" priority="314">
      <formula>MOD(ROW(),2)=1</formula>
    </cfRule>
  </conditionalFormatting>
  <conditionalFormatting sqref="A33:P34 A35:A44 E35:P44 A45:P59 A60:D60 F60 H60 J60:L60 N60 P60">
    <cfRule type="expression" dxfId="501" priority="301">
      <formula>ISOODD(ROW())</formula>
    </cfRule>
    <cfRule type="expression" dxfId="500" priority="300">
      <formula>-ISODD(ROW())</formula>
    </cfRule>
  </conditionalFormatting>
  <conditionalFormatting sqref="A61:P89 A90:D90 F90 H90 J90:L90 N90 P90">
    <cfRule type="expression" dxfId="499" priority="239">
      <formula>ISODD(ROW())</formula>
    </cfRule>
  </conditionalFormatting>
  <conditionalFormatting sqref="A62:P64 A65:A77 E65:P77 A78:P89 A90:D90 F90 H90 J90:L90 N90 P90">
    <cfRule type="expression" dxfId="498" priority="267">
      <formula>MOD(ROW(),2)=1</formula>
    </cfRule>
  </conditionalFormatting>
  <conditionalFormatting sqref="A63:P64 A65:A74 E65:P74 A75:P89 A90:D90 F90 H90 J90:L90 N90 P90">
    <cfRule type="expression" dxfId="497" priority="253">
      <formula>-ISODD(ROW())</formula>
    </cfRule>
    <cfRule type="expression" dxfId="496" priority="254">
      <formula>ISOODD(ROW())</formula>
    </cfRule>
  </conditionalFormatting>
  <conditionalFormatting sqref="A91:P119 A120:D120 F120 H120 J120:L120 N120 P120">
    <cfRule type="expression" dxfId="495" priority="201">
      <formula>ISODD(ROW())</formula>
    </cfRule>
  </conditionalFormatting>
  <conditionalFormatting sqref="A92:P94 A95:A107 E95:P107 A108:P119 A120:D120 F120 H120 J120:L120 N120 P120">
    <cfRule type="expression" dxfId="494" priority="229">
      <formula>MOD(ROW(),2)=1</formula>
    </cfRule>
  </conditionalFormatting>
  <conditionalFormatting sqref="A93:P94 A95:A104 E95:P104 A105:P119 A120:D120 F120 H120 J120:L120 N120 P120">
    <cfRule type="expression" dxfId="493" priority="215">
      <formula>-ISODD(ROW())</formula>
    </cfRule>
    <cfRule type="expression" dxfId="492" priority="216">
      <formula>ISOODD(ROW())</formula>
    </cfRule>
  </conditionalFormatting>
  <conditionalFormatting sqref="A121:P149 A150:D150 F150 H150 J150:L150 N150 P150">
    <cfRule type="expression" dxfId="491" priority="163">
      <formula>ISODD(ROW())</formula>
    </cfRule>
  </conditionalFormatting>
  <conditionalFormatting sqref="A122:P124 A125:A137 E125:P137 A138:P149 A150:D150 F150 H150 J150:L150 N150 P150">
    <cfRule type="expression" dxfId="490" priority="191">
      <formula>MOD(ROW(),2)=1</formula>
    </cfRule>
  </conditionalFormatting>
  <conditionalFormatting sqref="A123:P124 A125:A134 E125:P134 A135:P149 A150:D150 F150 H150 J150:L150 N150 P150">
    <cfRule type="expression" dxfId="489" priority="177">
      <formula>-ISODD(ROW())</formula>
    </cfRule>
    <cfRule type="expression" dxfId="488" priority="178">
      <formula>ISOODD(ROW())</formula>
    </cfRule>
  </conditionalFormatting>
  <conditionalFormatting sqref="A151:P179 A180:D180 F180 H180 J180:L180 N180 P180">
    <cfRule type="expression" dxfId="487" priority="124">
      <formula>ISODD(ROW())</formula>
    </cfRule>
  </conditionalFormatting>
  <conditionalFormatting sqref="A152:P154 A155:A167 E155:P167 A168:P179 A180:D180 F180 H180 J180:L180 N180 P180">
    <cfRule type="expression" dxfId="486" priority="152">
      <formula>MOD(ROW(),2)=1</formula>
    </cfRule>
  </conditionalFormatting>
  <conditionalFormatting sqref="A153:P154 A155:A164 E155:P164 A165:P179 A180:D180 F180 H180 J180:L180 N180 P180">
    <cfRule type="expression" dxfId="485" priority="139">
      <formula>ISOODD(ROW())</formula>
    </cfRule>
    <cfRule type="expression" dxfId="484" priority="138">
      <formula>-ISODD(ROW())</formula>
    </cfRule>
  </conditionalFormatting>
  <conditionalFormatting sqref="A181:P209 A210:D210 F210 H210 J210:L210 N210 P210">
    <cfRule type="expression" dxfId="483" priority="86">
      <formula>ISODD(ROW())</formula>
    </cfRule>
  </conditionalFormatting>
  <conditionalFormatting sqref="A182:P184 A185:A197 E185:P197 A198:P209 A210:D210 F210 H210 J210:L210 N210 P210">
    <cfRule type="expression" dxfId="482" priority="114">
      <formula>MOD(ROW(),2)=1</formula>
    </cfRule>
  </conditionalFormatting>
  <conditionalFormatting sqref="A183:P184 A185:A194 E185:P194 A195:P209 A210:D210 F210 H210 J210:L210 N210 P210">
    <cfRule type="expression" dxfId="481" priority="100">
      <formula>-ISODD(ROW())</formula>
    </cfRule>
    <cfRule type="expression" dxfId="480" priority="101">
      <formula>ISOODD(ROW())</formula>
    </cfRule>
  </conditionalFormatting>
  <conditionalFormatting sqref="A211:P239 A240:D240 F240 H240 J240:L240 N240 P240">
    <cfRule type="expression" dxfId="479" priority="48">
      <formula>ISODD(ROW())</formula>
    </cfRule>
  </conditionalFormatting>
  <conditionalFormatting sqref="A212:P214 A215:A227 E215:P227 A228:P239 A240:D240 F240 H240 J240:L240 N240 P240">
    <cfRule type="expression" dxfId="478" priority="76">
      <formula>MOD(ROW(),2)=1</formula>
    </cfRule>
  </conditionalFormatting>
  <conditionalFormatting sqref="A213:P214 A215:A224 E215:P224 A225:P239 A240:D240 F240 H240 J240:L240 N240 P240">
    <cfRule type="expression" dxfId="477" priority="63">
      <formula>ISOODD(ROW())</formula>
    </cfRule>
    <cfRule type="expression" dxfId="476" priority="62">
      <formula>-ISODD(ROW())</formula>
    </cfRule>
  </conditionalFormatting>
  <conditionalFormatting sqref="A241:P269 A270:D270 F270 H270 J270:L270 N270 P270">
    <cfRule type="expression" dxfId="475" priority="10">
      <formula>ISODD(ROW())</formula>
    </cfRule>
  </conditionalFormatting>
  <conditionalFormatting sqref="A242:P244 A245:A257 E245:P257 A258:P269 A270:D270 F270 H270 J270:L270 N270 P270">
    <cfRule type="expression" dxfId="474" priority="38">
      <formula>MOD(ROW(),2)=1</formula>
    </cfRule>
  </conditionalFormatting>
  <conditionalFormatting sqref="A243:P244 A245:A254 E245:P254 A255:P269 A270:D270 F270 H270 J270:L270 N270 P270">
    <cfRule type="expression" dxfId="473" priority="24">
      <formula>-ISODD(ROW())</formula>
    </cfRule>
    <cfRule type="expression" dxfId="472" priority="25">
      <formula>ISOODD(ROW())</formula>
    </cfRule>
  </conditionalFormatting>
  <conditionalFormatting sqref="B5:C14">
    <cfRule type="expression" dxfId="471" priority="352">
      <formula>ISODD(ROW())</formula>
    </cfRule>
    <cfRule type="expression" dxfId="470" priority="357">
      <formula>ISODD(RƠ())</formula>
    </cfRule>
    <cfRule type="expression" dxfId="469" priority="354">
      <formula>ISODD(ROW())</formula>
    </cfRule>
    <cfRule type="expression" dxfId="468" priority="355">
      <formula>ISODD(ROW())</formula>
    </cfRule>
  </conditionalFormatting>
  <conditionalFormatting sqref="B15:C17">
    <cfRule type="expression" dxfId="467" priority="371">
      <formula>ISODD(ROW())</formula>
    </cfRule>
    <cfRule type="expression" dxfId="466" priority="369">
      <formula>ISODD(ROW())</formula>
    </cfRule>
    <cfRule type="expression" dxfId="465" priority="374">
      <formula>ISODD(RƠ())</formula>
    </cfRule>
    <cfRule type="expression" dxfId="464" priority="372">
      <formula>ISODD(ROW())</formula>
    </cfRule>
  </conditionalFormatting>
  <conditionalFormatting sqref="B35:C44">
    <cfRule type="expression" dxfId="463" priority="287">
      <formula>ISODD(ROW())</formula>
    </cfRule>
    <cfRule type="expression" dxfId="462" priority="292">
      <formula>ISODD(RƠ())</formula>
    </cfRule>
    <cfRule type="expression" dxfId="461" priority="290">
      <formula>ISODD(ROW())</formula>
    </cfRule>
    <cfRule type="expression" dxfId="460" priority="289">
      <formula>ISODD(ROW())</formula>
    </cfRule>
  </conditionalFormatting>
  <conditionalFormatting sqref="B45:C47">
    <cfRule type="expression" dxfId="459" priority="306">
      <formula>ISODD(ROW())</formula>
    </cfRule>
    <cfRule type="expression" dxfId="458" priority="307">
      <formula>ISODD(ROW())</formula>
    </cfRule>
    <cfRule type="expression" dxfId="457" priority="304">
      <formula>ISODD(ROW())</formula>
    </cfRule>
    <cfRule type="expression" dxfId="456" priority="309">
      <formula>ISODD(RƠ())</formula>
    </cfRule>
  </conditionalFormatting>
  <conditionalFormatting sqref="B65:C74">
    <cfRule type="expression" dxfId="455" priority="245">
      <formula>ISODD(RƠ())</formula>
    </cfRule>
    <cfRule type="expression" dxfId="454" priority="240">
      <formula>ISODD(ROW())</formula>
    </cfRule>
    <cfRule type="expression" dxfId="453" priority="242">
      <formula>ISODD(ROW())</formula>
    </cfRule>
    <cfRule type="expression" dxfId="452" priority="243">
      <formula>ISODD(ROW())</formula>
    </cfRule>
  </conditionalFormatting>
  <conditionalFormatting sqref="B75:C77">
    <cfRule type="expression" dxfId="451" priority="262">
      <formula>ISODD(RƠ())</formula>
    </cfRule>
    <cfRule type="expression" dxfId="450" priority="260">
      <formula>ISODD(ROW())</formula>
    </cfRule>
    <cfRule type="expression" dxfId="449" priority="259">
      <formula>ISODD(ROW())</formula>
    </cfRule>
    <cfRule type="expression" dxfId="448" priority="257">
      <formula>ISODD(ROW())</formula>
    </cfRule>
  </conditionalFormatting>
  <conditionalFormatting sqref="B95:C104">
    <cfRule type="expression" dxfId="447" priority="202">
      <formula>ISODD(ROW())</formula>
    </cfRule>
    <cfRule type="expression" dxfId="446" priority="204">
      <formula>ISODD(ROW())</formula>
    </cfRule>
    <cfRule type="expression" dxfId="445" priority="207">
      <formula>ISODD(RƠ())</formula>
    </cfRule>
    <cfRule type="expression" dxfId="444" priority="205">
      <formula>ISODD(ROW())</formula>
    </cfRule>
  </conditionalFormatting>
  <conditionalFormatting sqref="B105:C107">
    <cfRule type="expression" dxfId="443" priority="224">
      <formula>ISODD(RƠ())</formula>
    </cfRule>
    <cfRule type="expression" dxfId="442" priority="222">
      <formula>ISODD(ROW())</formula>
    </cfRule>
    <cfRule type="expression" dxfId="441" priority="219">
      <formula>ISODD(ROW())</formula>
    </cfRule>
    <cfRule type="expression" dxfId="440" priority="221">
      <formula>ISODD(ROW())</formula>
    </cfRule>
  </conditionalFormatting>
  <conditionalFormatting sqref="B125:C134">
    <cfRule type="expression" dxfId="439" priority="166">
      <formula>ISODD(ROW())</formula>
    </cfRule>
    <cfRule type="expression" dxfId="438" priority="167">
      <formula>ISODD(ROW())</formula>
    </cfRule>
    <cfRule type="expression" dxfId="437" priority="169">
      <formula>ISODD(RƠ())</formula>
    </cfRule>
    <cfRule type="expression" dxfId="436" priority="164">
      <formula>ISODD(ROW())</formula>
    </cfRule>
  </conditionalFormatting>
  <conditionalFormatting sqref="B135:C137">
    <cfRule type="expression" dxfId="435" priority="183">
      <formula>ISODD(ROW())</formula>
    </cfRule>
    <cfRule type="expression" dxfId="434" priority="186">
      <formula>ISODD(RƠ())</formula>
    </cfRule>
    <cfRule type="expression" dxfId="433" priority="181">
      <formula>ISODD(ROW())</formula>
    </cfRule>
    <cfRule type="expression" dxfId="432" priority="184">
      <formula>ISODD(ROW())</formula>
    </cfRule>
  </conditionalFormatting>
  <conditionalFormatting sqref="B155:C164">
    <cfRule type="expression" dxfId="431" priority="130">
      <formula>ISODD(RƠ())</formula>
    </cfRule>
    <cfRule type="expression" dxfId="430" priority="128">
      <formula>ISODD(ROW())</formula>
    </cfRule>
    <cfRule type="expression" dxfId="429" priority="127">
      <formula>ISODD(ROW())</formula>
    </cfRule>
    <cfRule type="expression" dxfId="428" priority="125">
      <formula>ISODD(ROW())</formula>
    </cfRule>
  </conditionalFormatting>
  <conditionalFormatting sqref="B165:C167">
    <cfRule type="expression" dxfId="427" priority="145">
      <formula>ISODD(ROW())</formula>
    </cfRule>
    <cfRule type="expression" dxfId="426" priority="147">
      <formula>ISODD(RƠ())</formula>
    </cfRule>
    <cfRule type="expression" dxfId="425" priority="142">
      <formula>ISODD(ROW())</formula>
    </cfRule>
    <cfRule type="expression" dxfId="424" priority="144">
      <formula>ISODD(ROW())</formula>
    </cfRule>
  </conditionalFormatting>
  <conditionalFormatting sqref="B185:C194">
    <cfRule type="expression" dxfId="423" priority="87">
      <formula>ISODD(ROW())</formula>
    </cfRule>
    <cfRule type="expression" dxfId="422" priority="90">
      <formula>ISODD(ROW())</formula>
    </cfRule>
    <cfRule type="expression" dxfId="421" priority="92">
      <formula>ISODD(RƠ())</formula>
    </cfRule>
    <cfRule type="expression" dxfId="420" priority="89">
      <formula>ISODD(ROW())</formula>
    </cfRule>
  </conditionalFormatting>
  <conditionalFormatting sqref="B195:C197">
    <cfRule type="expression" dxfId="419" priority="104">
      <formula>ISODD(ROW())</formula>
    </cfRule>
    <cfRule type="expression" dxfId="418" priority="106">
      <formula>ISODD(ROW())</formula>
    </cfRule>
    <cfRule type="expression" dxfId="417" priority="107">
      <formula>ISODD(ROW())</formula>
    </cfRule>
    <cfRule type="expression" dxfId="416" priority="109">
      <formula>ISODD(RƠ())</formula>
    </cfRule>
  </conditionalFormatting>
  <conditionalFormatting sqref="B215:C224">
    <cfRule type="expression" dxfId="415" priority="51">
      <formula>ISODD(ROW())</formula>
    </cfRule>
    <cfRule type="expression" dxfId="414" priority="49">
      <formula>ISODD(ROW())</formula>
    </cfRule>
    <cfRule type="expression" dxfId="413" priority="54">
      <formula>ISODD(RƠ())</formula>
    </cfRule>
    <cfRule type="expression" dxfId="412" priority="52">
      <formula>ISODD(ROW())</formula>
    </cfRule>
  </conditionalFormatting>
  <conditionalFormatting sqref="B225:C227">
    <cfRule type="expression" dxfId="411" priority="71">
      <formula>ISODD(RƠ())</formula>
    </cfRule>
    <cfRule type="expression" dxfId="410" priority="66">
      <formula>ISODD(ROW())</formula>
    </cfRule>
    <cfRule type="expression" dxfId="409" priority="68">
      <formula>ISODD(ROW())</formula>
    </cfRule>
    <cfRule type="expression" dxfId="408" priority="69">
      <formula>ISODD(ROW())</formula>
    </cfRule>
  </conditionalFormatting>
  <conditionalFormatting sqref="B245:C254">
    <cfRule type="expression" dxfId="407" priority="11">
      <formula>ISODD(ROW())</formula>
    </cfRule>
    <cfRule type="expression" dxfId="406" priority="13">
      <formula>ISODD(ROW())</formula>
    </cfRule>
    <cfRule type="expression" dxfId="405" priority="14">
      <formula>ISODD(ROW())</formula>
    </cfRule>
    <cfRule type="expression" dxfId="404" priority="16">
      <formula>ISODD(RƠ())</formula>
    </cfRule>
  </conditionalFormatting>
  <conditionalFormatting sqref="B255:C257">
    <cfRule type="expression" dxfId="403" priority="30">
      <formula>ISODD(ROW())</formula>
    </cfRule>
    <cfRule type="expression" dxfId="402" priority="28">
      <formula>ISODD(ROW())</formula>
    </cfRule>
    <cfRule type="expression" dxfId="401" priority="31">
      <formula>ISODD(ROW())</formula>
    </cfRule>
    <cfRule type="expression" dxfId="400" priority="33">
      <formula>ISODD(RƠ())</formula>
    </cfRule>
  </conditionalFormatting>
  <conditionalFormatting sqref="B5:D14">
    <cfRule type="expression" dxfId="399" priority="353">
      <formula>"IF(A4:A299);ISODD(ROW()))"</formula>
    </cfRule>
    <cfRule type="expression" dxfId="398" priority="356">
      <formula>ISODD(ROW())</formula>
    </cfRule>
    <cfRule type="expression" dxfId="397" priority="358">
      <formula>ISODD(ROW())</formula>
    </cfRule>
  </conditionalFormatting>
  <conditionalFormatting sqref="B5:D17">
    <cfRule type="expression" priority="362">
      <formula>"ISODD(ROW())"</formula>
    </cfRule>
    <cfRule type="expression" priority="360">
      <formula>is(ROW())</formula>
    </cfRule>
    <cfRule type="expression" priority="363">
      <formula>ISODD(ROW())</formula>
    </cfRule>
  </conditionalFormatting>
  <conditionalFormatting sqref="B15:D17">
    <cfRule type="expression" dxfId="396" priority="375">
      <formula>ISODD(ROW())</formula>
    </cfRule>
    <cfRule type="expression" dxfId="395" priority="370">
      <formula>"IF(A4:A299);ISODD(ROW()))"</formula>
    </cfRule>
    <cfRule type="expression" dxfId="394" priority="373">
      <formula>ISODD(ROW())</formula>
    </cfRule>
  </conditionalFormatting>
  <conditionalFormatting sqref="B35:D44">
    <cfRule type="expression" dxfId="393" priority="293">
      <formula>ISODD(ROW())</formula>
    </cfRule>
    <cfRule type="expression" dxfId="392" priority="288">
      <formula>"IF(A4:A299);ISODD(ROW()))"</formula>
    </cfRule>
    <cfRule type="expression" dxfId="391" priority="291">
      <formula>ISODD(ROW())</formula>
    </cfRule>
  </conditionalFormatting>
  <conditionalFormatting sqref="B35:D47">
    <cfRule type="expression" priority="297">
      <formula>"ISODD(ROW())"</formula>
    </cfRule>
    <cfRule type="expression" priority="298">
      <formula>ISODD(ROW())</formula>
    </cfRule>
    <cfRule type="expression" priority="295">
      <formula>is(ROW())</formula>
    </cfRule>
  </conditionalFormatting>
  <conditionalFormatting sqref="B45:D47">
    <cfRule type="expression" dxfId="390" priority="310">
      <formula>ISODD(ROW())</formula>
    </cfRule>
    <cfRule type="expression" dxfId="389" priority="308">
      <formula>ISODD(ROW())</formula>
    </cfRule>
    <cfRule type="expression" dxfId="388" priority="305">
      <formula>"IF(A4:A299);ISODD(ROW()))"</formula>
    </cfRule>
  </conditionalFormatting>
  <conditionalFormatting sqref="B65:D74">
    <cfRule type="expression" dxfId="387" priority="246">
      <formula>ISODD(ROW())</formula>
    </cfRule>
    <cfRule type="expression" dxfId="386" priority="241">
      <formula>"IF(A4:A299);ISODD(ROW()))"</formula>
    </cfRule>
    <cfRule type="expression" dxfId="385" priority="244">
      <formula>ISODD(ROW())</formula>
    </cfRule>
  </conditionalFormatting>
  <conditionalFormatting sqref="B65:D77">
    <cfRule type="expression" priority="248">
      <formula>is(ROW())</formula>
    </cfRule>
    <cfRule type="expression" priority="250">
      <formula>"ISODD(ROW())"</formula>
    </cfRule>
    <cfRule type="expression" priority="251">
      <formula>ISODD(ROW())</formula>
    </cfRule>
  </conditionalFormatting>
  <conditionalFormatting sqref="B75:D77">
    <cfRule type="expression" dxfId="384" priority="258">
      <formula>"IF(A4:A299);ISODD(ROW()))"</formula>
    </cfRule>
    <cfRule type="expression" dxfId="383" priority="261">
      <formula>ISODD(ROW())</formula>
    </cfRule>
    <cfRule type="expression" dxfId="382" priority="263">
      <formula>ISODD(ROW())</formula>
    </cfRule>
  </conditionalFormatting>
  <conditionalFormatting sqref="B95:D104">
    <cfRule type="expression" dxfId="381" priority="203">
      <formula>"IF(A4:A299);ISODD(ROW()))"</formula>
    </cfRule>
    <cfRule type="expression" dxfId="380" priority="206">
      <formula>ISODD(ROW())</formula>
    </cfRule>
    <cfRule type="expression" dxfId="379" priority="208">
      <formula>ISODD(ROW())</formula>
    </cfRule>
  </conditionalFormatting>
  <conditionalFormatting sqref="B95:D107">
    <cfRule type="expression" priority="213">
      <formula>ISODD(ROW())</formula>
    </cfRule>
    <cfRule type="expression" priority="210">
      <formula>is(ROW())</formula>
    </cfRule>
    <cfRule type="expression" priority="212">
      <formula>"ISODD(ROW())"</formula>
    </cfRule>
  </conditionalFormatting>
  <conditionalFormatting sqref="B105:D107">
    <cfRule type="expression" dxfId="378" priority="220">
      <formula>"IF(A4:A299);ISODD(ROW()))"</formula>
    </cfRule>
    <cfRule type="expression" dxfId="377" priority="225">
      <formula>ISODD(ROW())</formula>
    </cfRule>
    <cfRule type="expression" dxfId="376" priority="223">
      <formula>ISODD(ROW())</formula>
    </cfRule>
  </conditionalFormatting>
  <conditionalFormatting sqref="B125:D134">
    <cfRule type="expression" dxfId="375" priority="168">
      <formula>ISODD(ROW())</formula>
    </cfRule>
    <cfRule type="expression" dxfId="374" priority="170">
      <formula>ISODD(ROW())</formula>
    </cfRule>
    <cfRule type="expression" dxfId="373" priority="165">
      <formula>"IF(A4:A299);ISODD(ROW()))"</formula>
    </cfRule>
  </conditionalFormatting>
  <conditionalFormatting sqref="B125:D137">
    <cfRule type="expression" priority="174">
      <formula>"ISODD(ROW())"</formula>
    </cfRule>
    <cfRule type="expression" priority="175">
      <formula>ISODD(ROW())</formula>
    </cfRule>
    <cfRule type="expression" priority="172">
      <formula>is(ROW())</formula>
    </cfRule>
  </conditionalFormatting>
  <conditionalFormatting sqref="B135:D137">
    <cfRule type="expression" dxfId="372" priority="187">
      <formula>ISODD(ROW())</formula>
    </cfRule>
    <cfRule type="expression" dxfId="371" priority="185">
      <formula>ISODD(ROW())</formula>
    </cfRule>
    <cfRule type="expression" dxfId="370" priority="182">
      <formula>"IF(A4:A299);ISODD(ROW()))"</formula>
    </cfRule>
  </conditionalFormatting>
  <conditionalFormatting sqref="B155:D164">
    <cfRule type="expression" dxfId="369" priority="131">
      <formula>ISODD(ROW())</formula>
    </cfRule>
    <cfRule type="expression" dxfId="368" priority="129">
      <formula>ISODD(ROW())</formula>
    </cfRule>
    <cfRule type="expression" dxfId="367" priority="126">
      <formula>"IF(A4:A299);ISODD(ROW()))"</formula>
    </cfRule>
  </conditionalFormatting>
  <conditionalFormatting sqref="B155:D167">
    <cfRule type="expression" priority="136">
      <formula>ISODD(ROW())</formula>
    </cfRule>
    <cfRule type="expression" priority="133">
      <formula>is(ROW())</formula>
    </cfRule>
    <cfRule type="expression" priority="135">
      <formula>"ISODD(ROW())"</formula>
    </cfRule>
  </conditionalFormatting>
  <conditionalFormatting sqref="B165:D167">
    <cfRule type="expression" dxfId="366" priority="148">
      <formula>ISODD(ROW())</formula>
    </cfRule>
    <cfRule type="expression" dxfId="365" priority="143">
      <formula>"IF(A4:A299);ISODD(ROW()))"</formula>
    </cfRule>
    <cfRule type="expression" dxfId="364" priority="146">
      <formula>ISODD(ROW())</formula>
    </cfRule>
  </conditionalFormatting>
  <conditionalFormatting sqref="B185:D194">
    <cfRule type="expression" dxfId="363" priority="88">
      <formula>"IF(A4:A299);ISODD(ROW()))"</formula>
    </cfRule>
    <cfRule type="expression" dxfId="362" priority="91">
      <formula>ISODD(ROW())</formula>
    </cfRule>
    <cfRule type="expression" dxfId="361" priority="93">
      <formula>ISODD(ROW())</formula>
    </cfRule>
  </conditionalFormatting>
  <conditionalFormatting sqref="B185:D197">
    <cfRule type="expression" priority="98">
      <formula>ISODD(ROW())</formula>
    </cfRule>
    <cfRule type="expression" priority="95">
      <formula>is(ROW())</formula>
    </cfRule>
    <cfRule type="expression" priority="97">
      <formula>"ISODD(ROW())"</formula>
    </cfRule>
  </conditionalFormatting>
  <conditionalFormatting sqref="B195:D197">
    <cfRule type="expression" dxfId="360" priority="105">
      <formula>"IF(A4:A299);ISODD(ROW()))"</formula>
    </cfRule>
    <cfRule type="expression" dxfId="359" priority="108">
      <formula>ISODD(ROW())</formula>
    </cfRule>
    <cfRule type="expression" dxfId="358" priority="110">
      <formula>ISODD(ROW())</formula>
    </cfRule>
  </conditionalFormatting>
  <conditionalFormatting sqref="B215:D224">
    <cfRule type="expression" dxfId="357" priority="53">
      <formula>ISODD(ROW())</formula>
    </cfRule>
    <cfRule type="expression" dxfId="356" priority="50">
      <formula>"IF(A4:A299);ISODD(ROW()))"</formula>
    </cfRule>
    <cfRule type="expression" dxfId="355" priority="55">
      <formula>ISODD(ROW())</formula>
    </cfRule>
  </conditionalFormatting>
  <conditionalFormatting sqref="B215:D227">
    <cfRule type="expression" priority="59">
      <formula>"ISODD(ROW())"</formula>
    </cfRule>
    <cfRule type="expression" priority="60">
      <formula>ISODD(ROW())</formula>
    </cfRule>
    <cfRule type="expression" priority="57">
      <formula>is(ROW())</formula>
    </cfRule>
  </conditionalFormatting>
  <conditionalFormatting sqref="B225:D227">
    <cfRule type="expression" dxfId="354" priority="72">
      <formula>ISODD(ROW())</formula>
    </cfRule>
    <cfRule type="expression" dxfId="353" priority="70">
      <formula>ISODD(ROW())</formula>
    </cfRule>
    <cfRule type="expression" dxfId="352" priority="67">
      <formula>"IF(A4:A299);ISODD(ROW()))"</formula>
    </cfRule>
  </conditionalFormatting>
  <conditionalFormatting sqref="B245:D254">
    <cfRule type="expression" dxfId="351" priority="17">
      <formula>ISODD(ROW())</formula>
    </cfRule>
    <cfRule type="expression" dxfId="350" priority="15">
      <formula>ISODD(ROW())</formula>
    </cfRule>
    <cfRule type="expression" dxfId="349" priority="12">
      <formula>"IF(A4:A299);ISODD(ROW()))"</formula>
    </cfRule>
  </conditionalFormatting>
  <conditionalFormatting sqref="B245:D257">
    <cfRule type="expression" priority="19">
      <formula>is(ROW())</formula>
    </cfRule>
    <cfRule type="expression" priority="22">
      <formula>ISODD(ROW())</formula>
    </cfRule>
    <cfRule type="expression" priority="21">
      <formula>"ISODD(ROW())"</formula>
    </cfRule>
  </conditionalFormatting>
  <conditionalFormatting sqref="B255:D257">
    <cfRule type="expression" dxfId="348" priority="32">
      <formula>ISODD(ROW())</formula>
    </cfRule>
    <cfRule type="expression" dxfId="347" priority="29">
      <formula>"IF(A4:A299);ISODD(ROW()))"</formula>
    </cfRule>
    <cfRule type="expression" dxfId="346" priority="34">
      <formula>ISODD(ROW())</formula>
    </cfRule>
  </conditionalFormatting>
  <conditionalFormatting sqref="D5:D14">
    <cfRule type="expression" dxfId="345" priority="359">
      <formula>ISODD(ROW())</formula>
    </cfRule>
    <cfRule type="expression" dxfId="344" priority="361">
      <formula>ISODD(ROW())</formula>
    </cfRule>
    <cfRule type="expression" dxfId="343" priority="364">
      <formula>ISODD(RƠ())</formula>
    </cfRule>
  </conditionalFormatting>
  <conditionalFormatting sqref="D15:D17">
    <cfRule type="expression" dxfId="342" priority="376">
      <formula>ISODD(ROW())</formula>
    </cfRule>
    <cfRule type="expression" dxfId="341" priority="377">
      <formula>ISODD(ROW())</formula>
    </cfRule>
    <cfRule type="expression" dxfId="340" priority="378">
      <formula>ISODD(RƠ())</formula>
    </cfRule>
  </conditionalFormatting>
  <conditionalFormatting sqref="D35:D44">
    <cfRule type="expression" dxfId="339" priority="296">
      <formula>ISODD(ROW())</formula>
    </cfRule>
    <cfRule type="expression" dxfId="338" priority="294">
      <formula>ISODD(ROW())</formula>
    </cfRule>
    <cfRule type="expression" dxfId="337" priority="299">
      <formula>ISODD(RƠ())</formula>
    </cfRule>
  </conditionalFormatting>
  <conditionalFormatting sqref="D45:D47">
    <cfRule type="expression" dxfId="336" priority="312">
      <formula>ISODD(ROW())</formula>
    </cfRule>
    <cfRule type="expression" dxfId="335" priority="313">
      <formula>ISODD(RƠ())</formula>
    </cfRule>
    <cfRule type="expression" dxfId="334" priority="311">
      <formula>ISODD(ROW())</formula>
    </cfRule>
  </conditionalFormatting>
  <conditionalFormatting sqref="D65:D74">
    <cfRule type="expression" dxfId="333" priority="247">
      <formula>ISODD(ROW())</formula>
    </cfRule>
    <cfRule type="expression" dxfId="332" priority="249">
      <formula>ISODD(ROW())</formula>
    </cfRule>
    <cfRule type="expression" dxfId="331" priority="252">
      <formula>ISODD(RƠ())</formula>
    </cfRule>
  </conditionalFormatting>
  <conditionalFormatting sqref="D75:D77">
    <cfRule type="expression" dxfId="330" priority="266">
      <formula>ISODD(RƠ())</formula>
    </cfRule>
    <cfRule type="expression" dxfId="329" priority="265">
      <formula>ISODD(ROW())</formula>
    </cfRule>
    <cfRule type="expression" dxfId="328" priority="264">
      <formula>ISODD(ROW())</formula>
    </cfRule>
  </conditionalFormatting>
  <conditionalFormatting sqref="D95:D104">
    <cfRule type="expression" dxfId="327" priority="214">
      <formula>ISODD(RƠ())</formula>
    </cfRule>
    <cfRule type="expression" dxfId="326" priority="209">
      <formula>ISODD(ROW())</formula>
    </cfRule>
    <cfRule type="expression" dxfId="325" priority="211">
      <formula>ISODD(ROW())</formula>
    </cfRule>
  </conditionalFormatting>
  <conditionalFormatting sqref="D105:D107">
    <cfRule type="expression" dxfId="324" priority="226">
      <formula>ISODD(ROW())</formula>
    </cfRule>
    <cfRule type="expression" dxfId="323" priority="228">
      <formula>ISODD(RƠ())</formula>
    </cfRule>
    <cfRule type="expression" dxfId="322" priority="227">
      <formula>ISODD(ROW())</formula>
    </cfRule>
  </conditionalFormatting>
  <conditionalFormatting sqref="D125:D134">
    <cfRule type="expression" dxfId="321" priority="173">
      <formula>ISODD(ROW())</formula>
    </cfRule>
    <cfRule type="expression" dxfId="320" priority="171">
      <formula>ISODD(ROW())</formula>
    </cfRule>
    <cfRule type="expression" dxfId="319" priority="176">
      <formula>ISODD(RƠ())</formula>
    </cfRule>
  </conditionalFormatting>
  <conditionalFormatting sqref="D135:D137">
    <cfRule type="expression" dxfId="318" priority="189">
      <formula>ISODD(ROW())</formula>
    </cfRule>
    <cfRule type="expression" dxfId="317" priority="188">
      <formula>ISODD(ROW())</formula>
    </cfRule>
    <cfRule type="expression" dxfId="316" priority="190">
      <formula>ISODD(RƠ())</formula>
    </cfRule>
  </conditionalFormatting>
  <conditionalFormatting sqref="D155:D164">
    <cfRule type="expression" dxfId="315" priority="137">
      <formula>ISODD(RƠ())</formula>
    </cfRule>
    <cfRule type="expression" dxfId="314" priority="134">
      <formula>ISODD(ROW())</formula>
    </cfRule>
    <cfRule type="expression" dxfId="313" priority="132">
      <formula>ISODD(ROW())</formula>
    </cfRule>
  </conditionalFormatting>
  <conditionalFormatting sqref="D165:D167">
    <cfRule type="expression" dxfId="312" priority="151">
      <formula>ISODD(RƠ())</formula>
    </cfRule>
    <cfRule type="expression" dxfId="311" priority="150">
      <formula>ISODD(ROW())</formula>
    </cfRule>
    <cfRule type="expression" dxfId="310" priority="149">
      <formula>ISODD(ROW())</formula>
    </cfRule>
  </conditionalFormatting>
  <conditionalFormatting sqref="D185:D194">
    <cfRule type="expression" dxfId="309" priority="94">
      <formula>ISODD(ROW())</formula>
    </cfRule>
    <cfRule type="expression" dxfId="308" priority="99">
      <formula>ISODD(RƠ())</formula>
    </cfRule>
    <cfRule type="expression" dxfId="307" priority="96">
      <formula>ISODD(ROW())</formula>
    </cfRule>
  </conditionalFormatting>
  <conditionalFormatting sqref="D195:D197">
    <cfRule type="expression" dxfId="306" priority="113">
      <formula>ISODD(RƠ())</formula>
    </cfRule>
    <cfRule type="expression" dxfId="305" priority="112">
      <formula>ISODD(ROW())</formula>
    </cfRule>
    <cfRule type="expression" dxfId="304" priority="111">
      <formula>ISODD(ROW())</formula>
    </cfRule>
  </conditionalFormatting>
  <conditionalFormatting sqref="D215:D224">
    <cfRule type="expression" dxfId="303" priority="61">
      <formula>ISODD(RƠ())</formula>
    </cfRule>
    <cfRule type="expression" dxfId="302" priority="58">
      <formula>ISODD(ROW())</formula>
    </cfRule>
    <cfRule type="expression" dxfId="301" priority="56">
      <formula>ISODD(ROW())</formula>
    </cfRule>
  </conditionalFormatting>
  <conditionalFormatting sqref="D225:D227">
    <cfRule type="expression" dxfId="300" priority="74">
      <formula>ISODD(ROW())</formula>
    </cfRule>
    <cfRule type="expression" dxfId="299" priority="75">
      <formula>ISODD(RƠ())</formula>
    </cfRule>
    <cfRule type="expression" dxfId="298" priority="73">
      <formula>ISODD(ROW())</formula>
    </cfRule>
  </conditionalFormatting>
  <conditionalFormatting sqref="D245:D254">
    <cfRule type="expression" dxfId="297" priority="23">
      <formula>ISODD(RƠ())</formula>
    </cfRule>
    <cfRule type="expression" dxfId="296" priority="18">
      <formula>ISODD(ROW())</formula>
    </cfRule>
    <cfRule type="expression" dxfId="295" priority="20">
      <formula>ISODD(ROW())</formula>
    </cfRule>
  </conditionalFormatting>
  <conditionalFormatting sqref="D255:D257">
    <cfRule type="expression" dxfId="294" priority="35">
      <formula>ISODD(ROW())</formula>
    </cfRule>
    <cfRule type="expression" dxfId="293" priority="37">
      <formula>ISODD(RƠ())</formula>
    </cfRule>
    <cfRule type="expression" dxfId="292" priority="36">
      <formula>ISODD(ROW())</formula>
    </cfRule>
  </conditionalFormatting>
  <conditionalFormatting sqref="E30 G30 I30 M30 O30">
    <cfRule type="expression" dxfId="291" priority="334">
      <formula>ISODD(ROW())</formula>
    </cfRule>
    <cfRule type="expression" priority="335">
      <formula>"ISODD(ROW())"</formula>
    </cfRule>
    <cfRule type="expression" dxfId="290" priority="330">
      <formula>ISODD(ROW())</formula>
    </cfRule>
    <cfRule type="expression" dxfId="289" priority="329">
      <formula>"IF(A4:A299);ISODD(ROW()))"</formula>
    </cfRule>
    <cfRule type="expression" priority="336">
      <formula>ISODD(ROW())</formula>
    </cfRule>
    <cfRule type="expression" dxfId="288" priority="337">
      <formula>ISODD(RƠ())</formula>
    </cfRule>
    <cfRule type="expression" dxfId="287" priority="332">
      <formula>ISODD(ROW())</formula>
    </cfRule>
    <cfRule type="expression" dxfId="286" priority="331">
      <formula>ISODD(ROW())</formula>
    </cfRule>
    <cfRule type="expression" priority="333">
      <formula>is(ROW())</formula>
    </cfRule>
  </conditionalFormatting>
  <conditionalFormatting sqref="E60 G60 I60 M60 O60">
    <cfRule type="expression" dxfId="285" priority="282">
      <formula>ISODD(ROW())</formula>
    </cfRule>
    <cfRule type="expression" priority="284">
      <formula>ISODD(ROW())</formula>
    </cfRule>
    <cfRule type="expression" dxfId="284" priority="278">
      <formula>ISODD(ROW())</formula>
    </cfRule>
    <cfRule type="expression" priority="283">
      <formula>"ISODD(ROW())"</formula>
    </cfRule>
    <cfRule type="expression" dxfId="283" priority="279">
      <formula>ISODD(ROW())</formula>
    </cfRule>
    <cfRule type="expression" priority="281">
      <formula>is(ROW())</formula>
    </cfRule>
    <cfRule type="expression" dxfId="282" priority="277">
      <formula>"IF(A4:A299);ISODD(ROW()))"</formula>
    </cfRule>
    <cfRule type="expression" dxfId="281" priority="280">
      <formula>ISODD(ROW())</formula>
    </cfRule>
    <cfRule type="expression" dxfId="280" priority="285">
      <formula>ISODD(RƠ())</formula>
    </cfRule>
  </conditionalFormatting>
  <conditionalFormatting sqref="E90 G90 I90 M90 O90">
    <cfRule type="expression" priority="236">
      <formula>"ISODD(ROW())"</formula>
    </cfRule>
    <cfRule type="expression" dxfId="279" priority="238">
      <formula>ISODD(RƠ())</formula>
    </cfRule>
    <cfRule type="expression" priority="237">
      <formula>ISODD(ROW())</formula>
    </cfRule>
    <cfRule type="expression" dxfId="278" priority="235">
      <formula>ISODD(ROW())</formula>
    </cfRule>
    <cfRule type="expression" priority="234">
      <formula>is(ROW())</formula>
    </cfRule>
    <cfRule type="expression" dxfId="277" priority="233">
      <formula>ISODD(ROW())</formula>
    </cfRule>
    <cfRule type="expression" dxfId="276" priority="232">
      <formula>ISODD(ROW())</formula>
    </cfRule>
    <cfRule type="expression" dxfId="275" priority="231">
      <formula>ISODD(ROW())</formula>
    </cfRule>
    <cfRule type="expression" dxfId="274" priority="230">
      <formula>"IF(A4:A299);ISODD(ROW()))"</formula>
    </cfRule>
  </conditionalFormatting>
  <conditionalFormatting sqref="E120 G120 I120 M120 O120">
    <cfRule type="expression" priority="196">
      <formula>is(ROW())</formula>
    </cfRule>
    <cfRule type="expression" dxfId="273" priority="192">
      <formula>"IF(A4:A299);ISODD(ROW()))"</formula>
    </cfRule>
    <cfRule type="expression" dxfId="272" priority="193">
      <formula>ISODD(ROW())</formula>
    </cfRule>
    <cfRule type="expression" dxfId="271" priority="194">
      <formula>ISODD(ROW())</formula>
    </cfRule>
    <cfRule type="expression" dxfId="270" priority="195">
      <formula>ISODD(ROW())</formula>
    </cfRule>
    <cfRule type="expression" dxfId="269" priority="197">
      <formula>ISODD(ROW())</formula>
    </cfRule>
    <cfRule type="expression" priority="198">
      <formula>"ISODD(ROW())"</formula>
    </cfRule>
    <cfRule type="expression" priority="199">
      <formula>ISODD(ROW())</formula>
    </cfRule>
    <cfRule type="expression" dxfId="268" priority="200">
      <formula>ISODD(RƠ())</formula>
    </cfRule>
  </conditionalFormatting>
  <conditionalFormatting sqref="E150 G150 I150 M150 O150">
    <cfRule type="expression" priority="161">
      <formula>ISODD(ROW())</formula>
    </cfRule>
    <cfRule type="expression" dxfId="267" priority="155">
      <formula>ISODD(ROW())</formula>
    </cfRule>
    <cfRule type="expression" dxfId="266" priority="156">
      <formula>ISODD(ROW())</formula>
    </cfRule>
    <cfRule type="expression" priority="158">
      <formula>is(ROW())</formula>
    </cfRule>
    <cfRule type="expression" dxfId="265" priority="162">
      <formula>ISODD(RƠ())</formula>
    </cfRule>
    <cfRule type="expression" priority="160">
      <formula>"ISODD(ROW())"</formula>
    </cfRule>
    <cfRule type="expression" dxfId="264" priority="159">
      <formula>ISODD(ROW())</formula>
    </cfRule>
    <cfRule type="expression" dxfId="263" priority="154">
      <formula>"IF(A4:A299);ISODD(ROW()))"</formula>
    </cfRule>
    <cfRule type="expression" dxfId="262" priority="157">
      <formula>ISODD(ROW())</formula>
    </cfRule>
  </conditionalFormatting>
  <conditionalFormatting sqref="E180 G180 I180 M180 O180">
    <cfRule type="expression" dxfId="261" priority="116">
      <formula>ISODD(ROW())</formula>
    </cfRule>
    <cfRule type="expression" dxfId="260" priority="118">
      <formula>ISODD(ROW())</formula>
    </cfRule>
    <cfRule type="expression" dxfId="259" priority="115">
      <formula>"IF(A4:A299);ISODD(ROW()))"</formula>
    </cfRule>
    <cfRule type="expression" dxfId="258" priority="117">
      <formula>ISODD(ROW())</formula>
    </cfRule>
    <cfRule type="expression" priority="121">
      <formula>"ISODD(ROW())"</formula>
    </cfRule>
    <cfRule type="expression" dxfId="257" priority="123">
      <formula>ISODD(RƠ())</formula>
    </cfRule>
    <cfRule type="expression" priority="122">
      <formula>ISODD(ROW())</formula>
    </cfRule>
    <cfRule type="expression" priority="119">
      <formula>is(ROW())</formula>
    </cfRule>
    <cfRule type="expression" dxfId="256" priority="120">
      <formula>ISODD(ROW())</formula>
    </cfRule>
  </conditionalFormatting>
  <conditionalFormatting sqref="E210 G210 I210 M210 O210">
    <cfRule type="expression" dxfId="255" priority="79">
      <formula>ISODD(ROW())</formula>
    </cfRule>
    <cfRule type="expression" dxfId="254" priority="85">
      <formula>ISODD(RƠ())</formula>
    </cfRule>
    <cfRule type="expression" priority="84">
      <formula>ISODD(ROW())</formula>
    </cfRule>
    <cfRule type="expression" priority="83">
      <formula>"ISODD(ROW())"</formula>
    </cfRule>
    <cfRule type="expression" dxfId="253" priority="82">
      <formula>ISODD(ROW())</formula>
    </cfRule>
    <cfRule type="expression" priority="81">
      <formula>is(ROW())</formula>
    </cfRule>
    <cfRule type="expression" dxfId="252" priority="80">
      <formula>ISODD(ROW())</formula>
    </cfRule>
    <cfRule type="expression" dxfId="251" priority="78">
      <formula>ISODD(ROW())</formula>
    </cfRule>
    <cfRule type="expression" dxfId="250" priority="77">
      <formula>"IF(A4:A299);ISODD(ROW()))"</formula>
    </cfRule>
  </conditionalFormatting>
  <conditionalFormatting sqref="E240 G240 I240 M240 O240">
    <cfRule type="expression" priority="45">
      <formula>"ISODD(ROW())"</formula>
    </cfRule>
    <cfRule type="expression" dxfId="249" priority="39">
      <formula>"IF(A4:A299);ISODD(ROW()))"</formula>
    </cfRule>
    <cfRule type="expression" dxfId="248" priority="40">
      <formula>ISODD(ROW())</formula>
    </cfRule>
    <cfRule type="expression" dxfId="247" priority="41">
      <formula>ISODD(ROW())</formula>
    </cfRule>
    <cfRule type="expression" dxfId="246" priority="42">
      <formula>ISODD(ROW())</formula>
    </cfRule>
    <cfRule type="expression" priority="43">
      <formula>is(ROW())</formula>
    </cfRule>
    <cfRule type="expression" dxfId="245" priority="44">
      <formula>ISODD(ROW())</formula>
    </cfRule>
    <cfRule type="expression" priority="46">
      <formula>ISODD(ROW())</formula>
    </cfRule>
    <cfRule type="expression" dxfId="244" priority="47">
      <formula>ISODD(RƠ())</formula>
    </cfRule>
  </conditionalFormatting>
  <conditionalFormatting sqref="E270 G270 I270 M270 O270">
    <cfRule type="expression" dxfId="243" priority="9">
      <formula>ISODD(RƠ())</formula>
    </cfRule>
    <cfRule type="expression" priority="8">
      <formula>ISODD(ROW())</formula>
    </cfRule>
    <cfRule type="expression" dxfId="242" priority="1">
      <formula>"IF(A4:A299);ISODD(ROW()))"</formula>
    </cfRule>
    <cfRule type="expression" dxfId="241" priority="2">
      <formula>ISODD(ROW())</formula>
    </cfRule>
    <cfRule type="expression" dxfId="240" priority="4">
      <formula>ISODD(ROW())</formula>
    </cfRule>
    <cfRule type="expression" dxfId="239" priority="3">
      <formula>ISODD(ROW())</formula>
    </cfRule>
    <cfRule type="expression" priority="7">
      <formula>"ISODD(ROW())"</formula>
    </cfRule>
    <cfRule type="expression" dxfId="238" priority="6">
      <formula>ISODD(ROW())</formula>
    </cfRule>
    <cfRule type="expression" priority="5">
      <formula>is(ROW())</formula>
    </cfRule>
  </conditionalFormatting>
  <conditionalFormatting sqref="E5:P14 A3:P4 A5:A14 A15:P29 A30:D30 F30 H30 J30:L30 N30 P30">
    <cfRule type="expression" dxfId="237" priority="368">
      <formula>ISODD(ROW())</formula>
    </cfRule>
  </conditionalFormatting>
  <conditionalFormatting sqref="E35:P44 A33:P34 A35:A44 A45:P59 A60:D60 F60 H60 J60:L60 N60 P60">
    <cfRule type="expression" dxfId="236" priority="303">
      <formula>ISODD(ROW())</formula>
    </cfRule>
  </conditionalFormatting>
  <conditionalFormatting sqref="E65:P74 A63:P64 A65:A74 A75:P89 A90:D90 F90 H90 J90:L90 N90 P90">
    <cfRule type="expression" dxfId="235" priority="256">
      <formula>ISODD(ROW())</formula>
    </cfRule>
  </conditionalFormatting>
  <conditionalFormatting sqref="E95:P104 A93:P94 A95:A104 A105:P119 A120:D120 F120 H120 J120:L120 N120 P120">
    <cfRule type="expression" dxfId="234" priority="218">
      <formula>ISODD(ROW())</formula>
    </cfRule>
  </conditionalFormatting>
  <conditionalFormatting sqref="E125:P134 A123:P124 A125:A134 A135:P149 A150:D150 F150 H150 J150:L150 N150 P150">
    <cfRule type="expression" dxfId="233" priority="180">
      <formula>ISODD(ROW())</formula>
    </cfRule>
  </conditionalFormatting>
  <conditionalFormatting sqref="E155:P164 A153:P154 A155:A164 A165:P179 A180:D180 F180 H180 J180:L180 N180 P180">
    <cfRule type="expression" dxfId="232" priority="141">
      <formula>ISODD(ROW())</formula>
    </cfRule>
  </conditionalFormatting>
  <conditionalFormatting sqref="E185:P194 A183:P184 A185:A194 A195:P209 A210:D210 F210 H210 J210:L210 N210 P210">
    <cfRule type="expression" dxfId="231" priority="103">
      <formula>ISODD(ROW())</formula>
    </cfRule>
  </conditionalFormatting>
  <conditionalFormatting sqref="E215:P224 A213:P214 A215:A224 A225:P239 A240:D240 F240 H240 J240:L240 N240 P240">
    <cfRule type="expression" dxfId="230" priority="65">
      <formula>ISODD(ROW())</formula>
    </cfRule>
  </conditionalFormatting>
  <conditionalFormatting sqref="E245:P254 A243:P244 A245:A254 A255:P269 A270:D270 F270 H270 J270:L270 N270 P270">
    <cfRule type="expression" dxfId="229" priority="27">
      <formula>ISODD(ROW())</formula>
    </cfRule>
  </conditionalFormatting>
  <conditionalFormatting sqref="I14">
    <cfRule type="expression" dxfId="228" priority="367">
      <formula>ISODD(ROW())</formula>
    </cfRule>
  </conditionalFormatting>
  <conditionalFormatting sqref="I44">
    <cfRule type="expression" dxfId="227" priority="302">
      <formula>ISODD(ROW())</formula>
    </cfRule>
  </conditionalFormatting>
  <conditionalFormatting sqref="I74">
    <cfRule type="expression" dxfId="226" priority="255">
      <formula>ISODD(ROW())</formula>
    </cfRule>
  </conditionalFormatting>
  <conditionalFormatting sqref="I104">
    <cfRule type="expression" dxfId="225" priority="217">
      <formula>ISODD(ROW())</formula>
    </cfRule>
  </conditionalFormatting>
  <conditionalFormatting sqref="I134">
    <cfRule type="expression" dxfId="224" priority="179">
      <formula>ISODD(ROW())</formula>
    </cfRule>
  </conditionalFormatting>
  <conditionalFormatting sqref="I164">
    <cfRule type="expression" dxfId="223" priority="140">
      <formula>ISODD(ROW())</formula>
    </cfRule>
  </conditionalFormatting>
  <conditionalFormatting sqref="I194">
    <cfRule type="expression" dxfId="222" priority="102">
      <formula>ISODD(ROW())</formula>
    </cfRule>
  </conditionalFormatting>
  <conditionalFormatting sqref="I224">
    <cfRule type="expression" dxfId="221" priority="64">
      <formula>ISODD(ROW())</formula>
    </cfRule>
  </conditionalFormatting>
  <conditionalFormatting sqref="I254">
    <cfRule type="expression" dxfId="220" priority="26">
      <formula>ISODD(ROW())</formula>
    </cfRule>
  </conditionalFormatting>
  <conditionalFormatting sqref="R15:X16 R17 T17:X17">
    <cfRule type="expression" priority="153">
      <formula>"ISODD(RƠ())"</formula>
    </cfRule>
  </conditionalFormatting>
  <conditionalFormatting sqref="R1:AC1">
    <cfRule type="expression" dxfId="219" priority="318">
      <formula>ISODD(ROW())</formula>
    </cfRule>
    <cfRule type="expression" dxfId="218" priority="317">
      <formula>ISOODD(ROW())</formula>
    </cfRule>
    <cfRule type="expression" dxfId="217" priority="316">
      <formula>-ISODD(ROW())</formula>
    </cfRule>
    <cfRule type="expression" dxfId="216" priority="315">
      <formula>ISODD(ROW())</formula>
    </cfRule>
    <cfRule type="expression" dxfId="215" priority="319">
      <formula>MOD(ROW(),2)=1</formula>
    </cfRule>
  </conditionalFormatting>
  <conditionalFormatting sqref="T2 V2 X2 Z2 R2:R3">
    <cfRule type="expression" dxfId="214" priority="270">
      <formula>ISODD(ROW())</formula>
    </cfRule>
    <cfRule type="expression" dxfId="213" priority="268">
      <formula>"IF(A4:A299);ISODD(ROW()))"</formula>
    </cfRule>
    <cfRule type="expression" priority="272">
      <formula>is(ROW())</formula>
    </cfRule>
    <cfRule type="expression" priority="274">
      <formula>"ISODD(ROW())"</formula>
    </cfRule>
    <cfRule type="expression" priority="275">
      <formula>ISODD(ROW())</formula>
    </cfRule>
    <cfRule type="expression" dxfId="212" priority="276">
      <formula>ISODD(RƠ())</formula>
    </cfRule>
    <cfRule type="expression" dxfId="211" priority="271">
      <formula>ISODD(ROW())</formula>
    </cfRule>
    <cfRule type="expression" dxfId="210" priority="273">
      <formula>ISODD(ROW())</formula>
    </cfRule>
    <cfRule type="expression" dxfId="209" priority="269">
      <formula>ISODD(ROW())</formula>
    </cfRule>
  </conditionalFormatting>
  <pageMargins left="0.45" right="0" top="0" bottom="0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A926-56AC-4D9A-80AD-1BA504B49495}">
  <sheetPr filterMode="1"/>
  <dimension ref="A1:AB979"/>
  <sheetViews>
    <sheetView workbookViewId="0">
      <selection activeCell="M13" sqref="M13"/>
    </sheetView>
  </sheetViews>
  <sheetFormatPr defaultRowHeight="14.25" x14ac:dyDescent="0.2"/>
  <cols>
    <col min="2" max="2" width="19.875" customWidth="1"/>
    <col min="3" max="3" width="8.5" customWidth="1"/>
    <col min="4" max="4" width="12.75" customWidth="1"/>
    <col min="5" max="5" width="7.125" style="91" customWidth="1"/>
    <col min="6" max="6" width="6.25" customWidth="1"/>
    <col min="8" max="8" width="7.375" customWidth="1"/>
    <col min="9" max="9" width="7.125" customWidth="1"/>
    <col min="10" max="10" width="6.125" customWidth="1"/>
  </cols>
  <sheetData>
    <row r="1" spans="1:28" ht="21.95" customHeight="1" thickBot="1" x14ac:dyDescent="0.35">
      <c r="A1" s="460" t="s">
        <v>749</v>
      </c>
      <c r="B1" s="461"/>
      <c r="C1" s="461"/>
      <c r="D1" s="461"/>
      <c r="E1" s="462"/>
      <c r="F1" s="461"/>
      <c r="G1" s="461"/>
      <c r="H1" s="461"/>
      <c r="I1" s="461"/>
      <c r="J1" s="463"/>
      <c r="K1" s="94"/>
      <c r="L1" s="464" t="s">
        <v>750</v>
      </c>
      <c r="M1" s="465"/>
      <c r="N1" s="465"/>
      <c r="O1" s="465"/>
      <c r="P1" s="466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</row>
    <row r="2" spans="1:28" ht="12" customHeight="1" thickBot="1" x14ac:dyDescent="0.35">
      <c r="A2" s="95"/>
      <c r="B2" s="95"/>
      <c r="C2" s="95"/>
      <c r="D2" s="95"/>
      <c r="E2" s="134"/>
      <c r="F2" s="95"/>
      <c r="G2" s="95"/>
      <c r="H2" s="95"/>
      <c r="I2" s="95"/>
      <c r="J2" s="95"/>
      <c r="K2" s="94"/>
      <c r="L2" s="95"/>
      <c r="M2" s="95"/>
      <c r="N2" s="95"/>
      <c r="O2" s="95"/>
      <c r="P2" s="95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</row>
    <row r="3" spans="1:28" ht="18" customHeight="1" thickBot="1" x14ac:dyDescent="0.35">
      <c r="A3" s="96" t="s">
        <v>374</v>
      </c>
      <c r="B3" s="97" t="s">
        <v>375</v>
      </c>
      <c r="C3" s="97" t="s">
        <v>376</v>
      </c>
      <c r="D3" s="98" t="s">
        <v>377</v>
      </c>
      <c r="E3" s="135" t="s">
        <v>378</v>
      </c>
      <c r="F3" s="99" t="s">
        <v>620</v>
      </c>
      <c r="G3" s="99" t="s">
        <v>621</v>
      </c>
      <c r="H3" s="99" t="s">
        <v>622</v>
      </c>
      <c r="I3" s="99" t="s">
        <v>751</v>
      </c>
      <c r="J3" s="99" t="s">
        <v>752</v>
      </c>
      <c r="K3" s="100"/>
      <c r="L3" s="101" t="s">
        <v>375</v>
      </c>
      <c r="M3" s="102" t="s">
        <v>376</v>
      </c>
      <c r="N3" s="102" t="s">
        <v>378</v>
      </c>
      <c r="O3" s="467" t="s">
        <v>753</v>
      </c>
      <c r="P3" s="468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</row>
    <row r="4" spans="1:28" ht="18" customHeight="1" thickBot="1" x14ac:dyDescent="0.35">
      <c r="A4" s="119"/>
      <c r="B4" s="120"/>
      <c r="C4" s="120"/>
      <c r="D4" s="121"/>
      <c r="E4" s="136"/>
      <c r="F4" s="122"/>
      <c r="G4" s="122"/>
      <c r="H4" s="122"/>
      <c r="I4" s="122"/>
      <c r="J4" s="122"/>
      <c r="K4" s="100"/>
      <c r="L4" s="123"/>
      <c r="M4" s="124"/>
      <c r="N4" s="124"/>
      <c r="O4" s="125"/>
      <c r="P4" s="126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</row>
    <row r="5" spans="1:28" ht="18" customHeight="1" thickBot="1" x14ac:dyDescent="0.35">
      <c r="A5" s="108">
        <f>A4+1</f>
        <v>1</v>
      </c>
      <c r="B5" s="103" t="s">
        <v>835</v>
      </c>
      <c r="C5" s="103" t="s">
        <v>10</v>
      </c>
      <c r="D5" s="109">
        <v>356568249</v>
      </c>
      <c r="E5" s="137">
        <v>5</v>
      </c>
      <c r="F5" s="104" t="s">
        <v>756</v>
      </c>
      <c r="G5" s="103"/>
      <c r="H5" s="103"/>
      <c r="I5" s="103"/>
      <c r="J5" s="159" t="s">
        <v>721</v>
      </c>
      <c r="K5" s="100"/>
      <c r="L5" s="105" t="s">
        <v>177</v>
      </c>
      <c r="M5" s="106" t="s">
        <v>37</v>
      </c>
      <c r="N5" s="107">
        <v>7</v>
      </c>
      <c r="O5" s="469" t="s">
        <v>754</v>
      </c>
      <c r="P5" s="470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</row>
    <row r="6" spans="1:28" ht="18" customHeight="1" thickBot="1" x14ac:dyDescent="0.35">
      <c r="A6" s="108">
        <f>A5+1</f>
        <v>2</v>
      </c>
      <c r="B6" s="103" t="s">
        <v>823</v>
      </c>
      <c r="C6" s="103" t="s">
        <v>14</v>
      </c>
      <c r="D6" s="109">
        <v>914886617</v>
      </c>
      <c r="E6" s="137">
        <v>2</v>
      </c>
      <c r="F6" s="104" t="s">
        <v>826</v>
      </c>
      <c r="G6" s="104"/>
      <c r="H6" s="104"/>
      <c r="I6" s="103"/>
      <c r="J6" s="159" t="s">
        <v>721</v>
      </c>
      <c r="K6" s="100"/>
      <c r="L6" s="105" t="s">
        <v>757</v>
      </c>
      <c r="M6" s="106" t="s">
        <v>74</v>
      </c>
      <c r="N6" s="107">
        <v>8</v>
      </c>
      <c r="O6" s="458" t="s">
        <v>758</v>
      </c>
      <c r="P6" s="459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</row>
    <row r="7" spans="1:28" ht="18" customHeight="1" thickBot="1" x14ac:dyDescent="0.35">
      <c r="A7" s="108">
        <f t="shared" ref="A7:A20" si="0">A6+1</f>
        <v>3</v>
      </c>
      <c r="B7" s="103" t="s">
        <v>825</v>
      </c>
      <c r="C7" s="103" t="s">
        <v>14</v>
      </c>
      <c r="D7" s="109">
        <v>969937517</v>
      </c>
      <c r="E7" s="137">
        <v>2</v>
      </c>
      <c r="F7" s="104" t="s">
        <v>826</v>
      </c>
      <c r="G7" s="103"/>
      <c r="H7" s="103"/>
      <c r="I7" s="103"/>
      <c r="J7" s="159" t="s">
        <v>721</v>
      </c>
      <c r="K7" s="100"/>
      <c r="L7" s="105" t="s">
        <v>759</v>
      </c>
      <c r="M7" s="106" t="s">
        <v>26</v>
      </c>
      <c r="N7" s="107">
        <v>8</v>
      </c>
      <c r="O7" s="458" t="s">
        <v>760</v>
      </c>
      <c r="P7" s="459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</row>
    <row r="8" spans="1:28" ht="18" customHeight="1" thickBot="1" x14ac:dyDescent="0.35">
      <c r="A8" s="108">
        <f t="shared" si="0"/>
        <v>4</v>
      </c>
      <c r="B8" s="103" t="s">
        <v>836</v>
      </c>
      <c r="C8" s="103" t="s">
        <v>14</v>
      </c>
      <c r="D8" s="103"/>
      <c r="E8" s="137">
        <v>5</v>
      </c>
      <c r="F8" s="104" t="s">
        <v>756</v>
      </c>
      <c r="G8" s="103"/>
      <c r="H8" s="103"/>
      <c r="I8" s="103"/>
      <c r="J8" s="159" t="s">
        <v>721</v>
      </c>
      <c r="K8" s="100"/>
      <c r="L8" s="105" t="s">
        <v>763</v>
      </c>
      <c r="M8" s="106" t="s">
        <v>74</v>
      </c>
      <c r="N8" s="107">
        <v>8</v>
      </c>
      <c r="O8" s="458" t="s">
        <v>764</v>
      </c>
      <c r="P8" s="459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</row>
    <row r="9" spans="1:28" ht="18" customHeight="1" thickBot="1" x14ac:dyDescent="0.35">
      <c r="A9" s="108">
        <f t="shared" si="0"/>
        <v>5</v>
      </c>
      <c r="B9" s="103" t="s">
        <v>816</v>
      </c>
      <c r="C9" s="103" t="s">
        <v>12</v>
      </c>
      <c r="D9" s="109">
        <v>912128972</v>
      </c>
      <c r="E9" s="137">
        <v>6</v>
      </c>
      <c r="F9" s="104" t="s">
        <v>415</v>
      </c>
      <c r="G9" s="104" t="s">
        <v>756</v>
      </c>
      <c r="H9" s="104" t="s">
        <v>756</v>
      </c>
      <c r="I9" s="103"/>
      <c r="J9" s="159" t="s">
        <v>721</v>
      </c>
      <c r="K9" s="100"/>
      <c r="L9" s="106"/>
      <c r="M9" s="106"/>
      <c r="N9" s="106"/>
      <c r="O9" s="458" t="s">
        <v>754</v>
      </c>
      <c r="P9" s="459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</row>
    <row r="10" spans="1:28" ht="18" customHeight="1" thickBot="1" x14ac:dyDescent="0.35">
      <c r="A10" s="108">
        <f t="shared" si="0"/>
        <v>6</v>
      </c>
      <c r="B10" s="103" t="s">
        <v>148</v>
      </c>
      <c r="C10" s="103" t="s">
        <v>829</v>
      </c>
      <c r="D10" s="109">
        <v>377249647</v>
      </c>
      <c r="E10" s="137">
        <v>9</v>
      </c>
      <c r="F10" s="104" t="s">
        <v>756</v>
      </c>
      <c r="G10" s="103"/>
      <c r="H10" s="103"/>
      <c r="I10" s="103"/>
      <c r="J10" s="159" t="s">
        <v>721</v>
      </c>
      <c r="K10" s="100"/>
      <c r="L10" s="106"/>
      <c r="M10" s="106"/>
      <c r="N10" s="106"/>
      <c r="O10" s="458" t="s">
        <v>754</v>
      </c>
      <c r="P10" s="459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</row>
    <row r="11" spans="1:28" ht="18" customHeight="1" thickBot="1" x14ac:dyDescent="0.35">
      <c r="A11" s="108">
        <f t="shared" si="0"/>
        <v>7</v>
      </c>
      <c r="B11" s="103" t="s">
        <v>27</v>
      </c>
      <c r="C11" s="103" t="s">
        <v>100</v>
      </c>
      <c r="D11" s="109">
        <v>837126005</v>
      </c>
      <c r="E11" s="137">
        <v>1</v>
      </c>
      <c r="F11" s="103"/>
      <c r="G11" s="104" t="s">
        <v>634</v>
      </c>
      <c r="H11" s="104" t="s">
        <v>634</v>
      </c>
      <c r="I11" s="103"/>
      <c r="J11" s="159" t="s">
        <v>721</v>
      </c>
      <c r="K11" s="100"/>
      <c r="L11" s="106"/>
      <c r="M11" s="106"/>
      <c r="N11" s="106"/>
      <c r="O11" s="458" t="s">
        <v>754</v>
      </c>
      <c r="P11" s="459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</row>
    <row r="12" spans="1:28" ht="18" customHeight="1" thickBot="1" x14ac:dyDescent="0.35">
      <c r="A12" s="108">
        <f t="shared" si="0"/>
        <v>8</v>
      </c>
      <c r="B12" s="103" t="s">
        <v>466</v>
      </c>
      <c r="C12" s="103" t="s">
        <v>95</v>
      </c>
      <c r="D12" s="103"/>
      <c r="E12" s="104">
        <v>6</v>
      </c>
      <c r="F12" s="104" t="s">
        <v>756</v>
      </c>
      <c r="G12" s="104" t="s">
        <v>756</v>
      </c>
      <c r="H12" s="104"/>
      <c r="I12" s="103"/>
      <c r="J12" s="159" t="s">
        <v>721</v>
      </c>
      <c r="K12" s="100"/>
      <c r="L12" s="106"/>
      <c r="M12" s="106"/>
      <c r="N12" s="106"/>
      <c r="O12" s="458" t="s">
        <v>754</v>
      </c>
      <c r="P12" s="459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</row>
    <row r="13" spans="1:28" ht="18" customHeight="1" thickBot="1" x14ac:dyDescent="0.35">
      <c r="A13" s="108">
        <f t="shared" si="0"/>
        <v>9</v>
      </c>
      <c r="B13" s="103" t="s">
        <v>477</v>
      </c>
      <c r="C13" s="103" t="s">
        <v>4</v>
      </c>
      <c r="D13" s="103"/>
      <c r="E13" s="137">
        <v>3</v>
      </c>
      <c r="F13" s="104" t="s">
        <v>722</v>
      </c>
      <c r="G13" s="104" t="s">
        <v>634</v>
      </c>
      <c r="H13" s="104" t="s">
        <v>634</v>
      </c>
      <c r="I13" s="103"/>
      <c r="J13" s="159" t="s">
        <v>721</v>
      </c>
      <c r="K13" s="100"/>
      <c r="L13" s="106"/>
      <c r="M13" s="106"/>
      <c r="N13" s="106"/>
      <c r="O13" s="458"/>
      <c r="P13" s="459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</row>
    <row r="14" spans="1:28" ht="18" customHeight="1" thickBot="1" x14ac:dyDescent="0.35">
      <c r="A14" s="108">
        <f t="shared" si="0"/>
        <v>10</v>
      </c>
      <c r="B14" s="103" t="s">
        <v>837</v>
      </c>
      <c r="C14" s="103" t="s">
        <v>4</v>
      </c>
      <c r="D14" s="103"/>
      <c r="E14" s="104">
        <v>6</v>
      </c>
      <c r="F14" s="104" t="s">
        <v>756</v>
      </c>
      <c r="G14" s="104" t="s">
        <v>756</v>
      </c>
      <c r="H14" s="104" t="s">
        <v>756</v>
      </c>
      <c r="I14" s="103"/>
      <c r="J14" s="159" t="s">
        <v>721</v>
      </c>
      <c r="K14" s="100"/>
      <c r="L14" s="106"/>
      <c r="M14" s="106"/>
      <c r="N14" s="106"/>
      <c r="O14" s="458"/>
      <c r="P14" s="459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</row>
    <row r="15" spans="1:28" ht="18" customHeight="1" thickBot="1" x14ac:dyDescent="0.35">
      <c r="A15" s="108">
        <f t="shared" si="0"/>
        <v>11</v>
      </c>
      <c r="B15" s="103" t="s">
        <v>784</v>
      </c>
      <c r="C15" s="103" t="s">
        <v>785</v>
      </c>
      <c r="D15" s="109">
        <v>353307061</v>
      </c>
      <c r="E15" s="137">
        <v>2</v>
      </c>
      <c r="F15" s="104" t="s">
        <v>826</v>
      </c>
      <c r="G15" s="103"/>
      <c r="H15" s="103"/>
      <c r="I15" s="103"/>
      <c r="J15" s="159" t="s">
        <v>721</v>
      </c>
      <c r="K15" s="100"/>
      <c r="L15" s="106"/>
      <c r="M15" s="106"/>
      <c r="N15" s="106"/>
      <c r="O15" s="458"/>
      <c r="P15" s="459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</row>
    <row r="16" spans="1:28" ht="18" customHeight="1" thickBot="1" x14ac:dyDescent="0.35">
      <c r="A16" s="108">
        <f t="shared" si="0"/>
        <v>12</v>
      </c>
      <c r="B16" s="103" t="s">
        <v>266</v>
      </c>
      <c r="C16" s="103" t="s">
        <v>21</v>
      </c>
      <c r="D16" s="103"/>
      <c r="E16" s="137">
        <v>9</v>
      </c>
      <c r="F16" s="104" t="s">
        <v>415</v>
      </c>
      <c r="G16" s="103"/>
      <c r="H16" s="103"/>
      <c r="I16" s="103"/>
      <c r="J16" s="159" t="s">
        <v>721</v>
      </c>
      <c r="K16" s="100"/>
      <c r="L16" s="106"/>
      <c r="M16" s="106"/>
      <c r="N16" s="106"/>
      <c r="O16" s="458"/>
      <c r="P16" s="459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</row>
    <row r="17" spans="1:28" ht="18" customHeight="1" thickBot="1" x14ac:dyDescent="0.35">
      <c r="A17" s="108">
        <f t="shared" si="0"/>
        <v>13</v>
      </c>
      <c r="B17" s="103" t="s">
        <v>834</v>
      </c>
      <c r="C17" s="103" t="s">
        <v>6</v>
      </c>
      <c r="D17" s="109">
        <v>979242060</v>
      </c>
      <c r="E17" s="137">
        <v>6</v>
      </c>
      <c r="F17" s="104" t="s">
        <v>756</v>
      </c>
      <c r="G17" s="104" t="s">
        <v>756</v>
      </c>
      <c r="H17" s="104" t="s">
        <v>756</v>
      </c>
      <c r="I17" s="103"/>
      <c r="J17" s="159" t="s">
        <v>721</v>
      </c>
      <c r="K17" s="100"/>
      <c r="L17" s="106"/>
      <c r="M17" s="106"/>
      <c r="N17" s="106"/>
      <c r="O17" s="458"/>
      <c r="P17" s="459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</row>
    <row r="18" spans="1:28" ht="18" customHeight="1" thickBot="1" x14ac:dyDescent="0.35">
      <c r="A18" s="108">
        <f t="shared" si="0"/>
        <v>14</v>
      </c>
      <c r="B18" s="103" t="s">
        <v>805</v>
      </c>
      <c r="C18" s="103" t="s">
        <v>71</v>
      </c>
      <c r="D18" s="103">
        <v>786762058</v>
      </c>
      <c r="E18" s="137">
        <v>6</v>
      </c>
      <c r="F18" s="104" t="s">
        <v>415</v>
      </c>
      <c r="G18" s="104" t="s">
        <v>756</v>
      </c>
      <c r="H18" s="103"/>
      <c r="I18" s="103"/>
      <c r="J18" s="159" t="s">
        <v>721</v>
      </c>
      <c r="K18" s="100"/>
      <c r="L18" s="106"/>
      <c r="M18" s="106"/>
      <c r="N18" s="106"/>
      <c r="O18" s="458"/>
      <c r="P18" s="459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</row>
    <row r="19" spans="1:28" ht="18" customHeight="1" thickBot="1" x14ac:dyDescent="0.35">
      <c r="A19" s="108">
        <f t="shared" si="0"/>
        <v>15</v>
      </c>
      <c r="B19" s="103" t="s">
        <v>806</v>
      </c>
      <c r="C19" s="103" t="s">
        <v>71</v>
      </c>
      <c r="D19" s="128">
        <v>868063631</v>
      </c>
      <c r="E19" s="137">
        <v>6</v>
      </c>
      <c r="F19" s="104" t="s">
        <v>415</v>
      </c>
      <c r="G19" s="104" t="s">
        <v>756</v>
      </c>
      <c r="H19" s="103"/>
      <c r="I19" s="103"/>
      <c r="J19" s="159" t="s">
        <v>721</v>
      </c>
      <c r="K19" s="100"/>
      <c r="L19" s="106"/>
      <c r="M19" s="106"/>
      <c r="N19" s="106"/>
      <c r="O19" s="458"/>
      <c r="P19" s="459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</row>
    <row r="20" spans="1:28" ht="18" customHeight="1" thickBot="1" x14ac:dyDescent="0.35">
      <c r="A20" s="108">
        <f t="shared" si="0"/>
        <v>16</v>
      </c>
      <c r="B20" s="103" t="s">
        <v>780</v>
      </c>
      <c r="C20" s="103" t="s">
        <v>518</v>
      </c>
      <c r="D20" s="109">
        <v>967482973</v>
      </c>
      <c r="E20" s="137">
        <v>6</v>
      </c>
      <c r="F20" s="104" t="s">
        <v>415</v>
      </c>
      <c r="G20" s="104" t="s">
        <v>756</v>
      </c>
      <c r="H20" s="104" t="s">
        <v>756</v>
      </c>
      <c r="I20" s="103"/>
      <c r="J20" s="159" t="s">
        <v>721</v>
      </c>
      <c r="K20" s="100"/>
      <c r="L20" s="106"/>
      <c r="M20" s="106"/>
      <c r="N20" s="106"/>
      <c r="O20" s="458"/>
      <c r="P20" s="459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</row>
    <row r="21" spans="1:28" ht="18" hidden="1" customHeight="1" thickBot="1" x14ac:dyDescent="0.35">
      <c r="A21" s="108">
        <f t="shared" ref="A21:A84" si="1">A20+1</f>
        <v>17</v>
      </c>
      <c r="B21" s="103" t="s">
        <v>783</v>
      </c>
      <c r="C21" s="103" t="s">
        <v>49</v>
      </c>
      <c r="D21" s="109">
        <v>399136517</v>
      </c>
      <c r="E21" s="137">
        <v>2</v>
      </c>
      <c r="F21" s="104"/>
      <c r="G21" s="103"/>
      <c r="H21" s="103"/>
      <c r="I21" s="103"/>
      <c r="J21" s="104" t="s">
        <v>859</v>
      </c>
      <c r="K21" s="100"/>
      <c r="L21" s="106"/>
      <c r="M21" s="106"/>
      <c r="N21" s="106"/>
      <c r="O21" s="458"/>
      <c r="P21" s="459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</row>
    <row r="22" spans="1:28" ht="18" customHeight="1" thickBot="1" x14ac:dyDescent="0.35">
      <c r="A22" s="108">
        <f>A21+1</f>
        <v>18</v>
      </c>
      <c r="B22" s="103" t="s">
        <v>831</v>
      </c>
      <c r="C22" s="103" t="s">
        <v>49</v>
      </c>
      <c r="D22" s="103"/>
      <c r="E22" s="104">
        <v>2</v>
      </c>
      <c r="F22" s="104" t="s">
        <v>756</v>
      </c>
      <c r="G22" s="103"/>
      <c r="H22" s="103"/>
      <c r="I22" s="103"/>
      <c r="J22" s="159" t="s">
        <v>721</v>
      </c>
      <c r="K22" s="100"/>
      <c r="L22" s="106"/>
      <c r="M22" s="106"/>
      <c r="N22" s="106"/>
      <c r="O22" s="458"/>
      <c r="P22" s="459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</row>
    <row r="23" spans="1:28" ht="18" hidden="1" customHeight="1" thickBot="1" x14ac:dyDescent="0.35">
      <c r="A23" s="108">
        <f t="shared" si="1"/>
        <v>19</v>
      </c>
      <c r="B23" s="103" t="s">
        <v>807</v>
      </c>
      <c r="C23" s="103" t="s">
        <v>49</v>
      </c>
      <c r="D23" s="103"/>
      <c r="E23" s="137">
        <v>3</v>
      </c>
      <c r="F23" s="104"/>
      <c r="G23" s="103"/>
      <c r="H23" s="103"/>
      <c r="I23" s="103"/>
      <c r="J23" s="104" t="s">
        <v>859</v>
      </c>
      <c r="K23" s="100"/>
      <c r="L23" s="106"/>
      <c r="M23" s="106"/>
      <c r="N23" s="106"/>
      <c r="O23" s="458"/>
      <c r="P23" s="459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</row>
    <row r="24" spans="1:28" ht="18" customHeight="1" thickBot="1" x14ac:dyDescent="0.35">
      <c r="A24" s="108">
        <f t="shared" si="1"/>
        <v>20</v>
      </c>
      <c r="B24" s="103" t="s">
        <v>803</v>
      </c>
      <c r="C24" s="103" t="s">
        <v>49</v>
      </c>
      <c r="D24" s="103">
        <v>399180595</v>
      </c>
      <c r="E24" s="137">
        <v>4</v>
      </c>
      <c r="F24" s="104" t="s">
        <v>722</v>
      </c>
      <c r="G24" s="103"/>
      <c r="H24" s="103"/>
      <c r="I24" s="103"/>
      <c r="J24" s="159" t="s">
        <v>721</v>
      </c>
      <c r="K24" s="100"/>
      <c r="L24" s="106"/>
      <c r="M24" s="106"/>
      <c r="N24" s="106"/>
      <c r="O24" s="458"/>
      <c r="P24" s="459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</row>
    <row r="25" spans="1:28" ht="18" customHeight="1" thickBot="1" x14ac:dyDescent="0.35">
      <c r="A25" s="108">
        <f t="shared" si="1"/>
        <v>21</v>
      </c>
      <c r="B25" s="103" t="s">
        <v>439</v>
      </c>
      <c r="C25" s="103" t="s">
        <v>49</v>
      </c>
      <c r="D25" s="109">
        <v>932979096</v>
      </c>
      <c r="E25" s="137" t="s">
        <v>828</v>
      </c>
      <c r="F25" s="104" t="s">
        <v>756</v>
      </c>
      <c r="G25" s="103"/>
      <c r="H25" s="103"/>
      <c r="I25" s="103"/>
      <c r="J25" s="159" t="s">
        <v>721</v>
      </c>
      <c r="K25" s="100"/>
      <c r="L25" s="106"/>
      <c r="M25" s="106"/>
      <c r="N25" s="106"/>
      <c r="O25" s="458"/>
      <c r="P25" s="459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</row>
    <row r="26" spans="1:28" ht="18" customHeight="1" thickBot="1" x14ac:dyDescent="0.35">
      <c r="A26" s="108">
        <f t="shared" si="1"/>
        <v>22</v>
      </c>
      <c r="B26" s="103" t="s">
        <v>211</v>
      </c>
      <c r="C26" s="103" t="s">
        <v>425</v>
      </c>
      <c r="D26" s="109">
        <v>365822159</v>
      </c>
      <c r="E26" s="137">
        <v>5</v>
      </c>
      <c r="F26" s="104" t="s">
        <v>722</v>
      </c>
      <c r="G26" s="103"/>
      <c r="H26" s="103"/>
      <c r="I26" s="103"/>
      <c r="J26" s="159" t="s">
        <v>721</v>
      </c>
      <c r="K26" s="100"/>
      <c r="L26" s="106"/>
      <c r="M26" s="106"/>
      <c r="N26" s="106"/>
      <c r="O26" s="458"/>
      <c r="P26" s="459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</row>
    <row r="27" spans="1:28" ht="18" customHeight="1" thickBot="1" x14ac:dyDescent="0.35">
      <c r="A27" s="108">
        <f t="shared" si="1"/>
        <v>23</v>
      </c>
      <c r="B27" s="103" t="s">
        <v>813</v>
      </c>
      <c r="C27" s="103" t="s">
        <v>814</v>
      </c>
      <c r="D27" s="103">
        <v>962457413</v>
      </c>
      <c r="E27" s="137">
        <v>6</v>
      </c>
      <c r="F27" s="104" t="s">
        <v>415</v>
      </c>
      <c r="G27" s="104" t="s">
        <v>756</v>
      </c>
      <c r="H27" s="104" t="s">
        <v>756</v>
      </c>
      <c r="I27" s="103"/>
      <c r="J27" s="159" t="s">
        <v>721</v>
      </c>
      <c r="K27" s="100"/>
      <c r="L27" s="106"/>
      <c r="M27" s="106"/>
      <c r="N27" s="106"/>
      <c r="O27" s="458"/>
      <c r="P27" s="459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</row>
    <row r="28" spans="1:28" ht="18" customHeight="1" thickBot="1" x14ac:dyDescent="0.35">
      <c r="A28" s="108">
        <f t="shared" si="1"/>
        <v>24</v>
      </c>
      <c r="B28" s="103" t="s">
        <v>137</v>
      </c>
      <c r="C28" s="103" t="s">
        <v>53</v>
      </c>
      <c r="D28" s="103"/>
      <c r="E28" s="137">
        <v>1</v>
      </c>
      <c r="F28" s="104" t="s">
        <v>756</v>
      </c>
      <c r="G28" s="104" t="s">
        <v>634</v>
      </c>
      <c r="H28" s="104" t="s">
        <v>634</v>
      </c>
      <c r="I28" s="103"/>
      <c r="J28" s="159" t="s">
        <v>721</v>
      </c>
      <c r="K28" s="100"/>
      <c r="L28" s="106"/>
      <c r="M28" s="106"/>
      <c r="N28" s="106"/>
      <c r="O28" s="458"/>
      <c r="P28" s="459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</row>
    <row r="29" spans="1:28" ht="18" customHeight="1" thickBot="1" x14ac:dyDescent="0.35">
      <c r="A29" s="108">
        <f t="shared" si="1"/>
        <v>25</v>
      </c>
      <c r="B29" s="103" t="s">
        <v>771</v>
      </c>
      <c r="C29" s="103" t="s">
        <v>530</v>
      </c>
      <c r="D29" s="109">
        <v>348362610</v>
      </c>
      <c r="E29" s="137">
        <v>6</v>
      </c>
      <c r="F29" s="104" t="s">
        <v>415</v>
      </c>
      <c r="G29" s="104" t="s">
        <v>756</v>
      </c>
      <c r="H29" s="103"/>
      <c r="I29" s="103"/>
      <c r="J29" s="159" t="s">
        <v>721</v>
      </c>
      <c r="K29" s="100"/>
      <c r="L29" s="106"/>
      <c r="M29" s="106"/>
      <c r="N29" s="106"/>
      <c r="O29" s="458"/>
      <c r="P29" s="459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</row>
    <row r="30" spans="1:28" ht="18" customHeight="1" thickBot="1" x14ac:dyDescent="0.35">
      <c r="A30" s="108">
        <f t="shared" si="1"/>
        <v>26</v>
      </c>
      <c r="B30" s="103" t="s">
        <v>790</v>
      </c>
      <c r="C30" s="103" t="s">
        <v>68</v>
      </c>
      <c r="D30" s="109">
        <v>939526516</v>
      </c>
      <c r="E30" s="137">
        <v>7</v>
      </c>
      <c r="F30" s="104" t="s">
        <v>415</v>
      </c>
      <c r="G30" s="103"/>
      <c r="H30" s="103"/>
      <c r="I30" s="103"/>
      <c r="J30" s="159" t="s">
        <v>721</v>
      </c>
      <c r="K30" s="100"/>
      <c r="L30" s="106"/>
      <c r="M30" s="106"/>
      <c r="N30" s="106"/>
      <c r="O30" s="458"/>
      <c r="P30" s="459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</row>
    <row r="31" spans="1:28" ht="18" customHeight="1" thickBot="1" x14ac:dyDescent="0.35">
      <c r="A31" s="108">
        <f t="shared" si="1"/>
        <v>27</v>
      </c>
      <c r="B31" s="103" t="s">
        <v>827</v>
      </c>
      <c r="C31" s="103" t="s">
        <v>68</v>
      </c>
      <c r="D31" s="109">
        <v>374052642</v>
      </c>
      <c r="E31" s="137">
        <v>9</v>
      </c>
      <c r="F31" s="104" t="s">
        <v>756</v>
      </c>
      <c r="G31" s="103"/>
      <c r="H31" s="103"/>
      <c r="I31" s="103"/>
      <c r="J31" s="159" t="s">
        <v>721</v>
      </c>
      <c r="K31" s="100"/>
      <c r="L31" s="106"/>
      <c r="M31" s="106"/>
      <c r="N31" s="106"/>
      <c r="O31" s="458"/>
      <c r="P31" s="459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</row>
    <row r="32" spans="1:28" ht="18" customHeight="1" thickBot="1" x14ac:dyDescent="0.35">
      <c r="A32" s="108">
        <f t="shared" si="1"/>
        <v>28</v>
      </c>
      <c r="B32" s="103" t="s">
        <v>171</v>
      </c>
      <c r="C32" s="103" t="s">
        <v>820</v>
      </c>
      <c r="D32" s="109">
        <v>844447752</v>
      </c>
      <c r="E32" s="137">
        <v>2</v>
      </c>
      <c r="F32" s="104" t="s">
        <v>826</v>
      </c>
      <c r="G32" s="104"/>
      <c r="H32" s="104"/>
      <c r="I32" s="103"/>
      <c r="J32" s="159" t="s">
        <v>721</v>
      </c>
      <c r="K32" s="100"/>
      <c r="L32" s="106"/>
      <c r="M32" s="106"/>
      <c r="N32" s="106"/>
      <c r="O32" s="458"/>
      <c r="P32" s="459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</row>
    <row r="33" spans="1:28" ht="18" customHeight="1" thickBot="1" x14ac:dyDescent="0.35">
      <c r="A33" s="108">
        <f t="shared" si="1"/>
        <v>29</v>
      </c>
      <c r="B33" s="103" t="s">
        <v>738</v>
      </c>
      <c r="C33" s="103" t="s">
        <v>64</v>
      </c>
      <c r="D33" s="109">
        <v>382438118</v>
      </c>
      <c r="E33" s="137">
        <v>6</v>
      </c>
      <c r="F33" s="104" t="s">
        <v>415</v>
      </c>
      <c r="G33" s="104" t="s">
        <v>756</v>
      </c>
      <c r="H33" s="104" t="s">
        <v>661</v>
      </c>
      <c r="I33" s="103"/>
      <c r="J33" s="159" t="s">
        <v>721</v>
      </c>
      <c r="K33" s="100"/>
      <c r="L33" s="106"/>
      <c r="M33" s="106"/>
      <c r="N33" s="106"/>
      <c r="O33" s="458"/>
      <c r="P33" s="459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</row>
    <row r="34" spans="1:28" ht="18" customHeight="1" thickBot="1" x14ac:dyDescent="0.35">
      <c r="A34" s="108">
        <f t="shared" si="1"/>
        <v>30</v>
      </c>
      <c r="B34" s="103" t="s">
        <v>782</v>
      </c>
      <c r="C34" s="103" t="s">
        <v>29</v>
      </c>
      <c r="D34" s="109">
        <v>984964443</v>
      </c>
      <c r="E34" s="137">
        <v>4</v>
      </c>
      <c r="F34" s="104" t="s">
        <v>722</v>
      </c>
      <c r="G34" s="103"/>
      <c r="H34" s="103"/>
      <c r="I34" s="103"/>
      <c r="J34" s="159" t="s">
        <v>721</v>
      </c>
      <c r="K34" s="100"/>
      <c r="L34" s="106"/>
      <c r="M34" s="106"/>
      <c r="N34" s="106"/>
      <c r="O34" s="458"/>
      <c r="P34" s="459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</row>
    <row r="35" spans="1:28" ht="18" customHeight="1" thickBot="1" x14ac:dyDescent="0.35">
      <c r="A35" s="108">
        <f t="shared" si="1"/>
        <v>31</v>
      </c>
      <c r="B35" s="103" t="s">
        <v>830</v>
      </c>
      <c r="C35" s="103" t="s">
        <v>590</v>
      </c>
      <c r="D35" s="109">
        <v>912542829</v>
      </c>
      <c r="E35" s="137">
        <v>4</v>
      </c>
      <c r="F35" s="104" t="s">
        <v>756</v>
      </c>
      <c r="G35" s="103"/>
      <c r="H35" s="103"/>
      <c r="I35" s="103"/>
      <c r="J35" s="159" t="s">
        <v>721</v>
      </c>
      <c r="K35" s="100"/>
      <c r="L35" s="106"/>
      <c r="M35" s="106"/>
      <c r="N35" s="106"/>
      <c r="O35" s="458"/>
      <c r="P35" s="459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 spans="1:28" ht="18" customHeight="1" thickBot="1" x14ac:dyDescent="0.35">
      <c r="A36" s="108">
        <f t="shared" si="1"/>
        <v>32</v>
      </c>
      <c r="B36" s="103" t="s">
        <v>830</v>
      </c>
      <c r="C36" s="103" t="s">
        <v>590</v>
      </c>
      <c r="D36" s="109">
        <v>912542829</v>
      </c>
      <c r="E36" s="104">
        <v>4</v>
      </c>
      <c r="F36" s="104" t="s">
        <v>756</v>
      </c>
      <c r="G36" s="103"/>
      <c r="H36" s="103"/>
      <c r="I36" s="103"/>
      <c r="J36" s="159" t="s">
        <v>721</v>
      </c>
      <c r="K36" s="100"/>
      <c r="L36" s="106"/>
      <c r="M36" s="106"/>
      <c r="N36" s="106"/>
      <c r="O36" s="458"/>
      <c r="P36" s="459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</row>
    <row r="37" spans="1:28" ht="18" customHeight="1" thickBot="1" x14ac:dyDescent="0.35">
      <c r="A37" s="108">
        <f t="shared" si="1"/>
        <v>33</v>
      </c>
      <c r="B37" s="103" t="s">
        <v>16</v>
      </c>
      <c r="C37" s="103" t="s">
        <v>704</v>
      </c>
      <c r="D37" s="103"/>
      <c r="E37" s="137">
        <v>4</v>
      </c>
      <c r="F37" s="104" t="s">
        <v>722</v>
      </c>
      <c r="G37" s="103"/>
      <c r="H37" s="103"/>
      <c r="I37" s="103"/>
      <c r="J37" s="159" t="s">
        <v>721</v>
      </c>
      <c r="K37" s="100"/>
      <c r="L37" s="106"/>
      <c r="M37" s="106"/>
      <c r="N37" s="106"/>
      <c r="O37" s="458"/>
      <c r="P37" s="459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</row>
    <row r="38" spans="1:28" ht="18" customHeight="1" thickBot="1" x14ac:dyDescent="0.35">
      <c r="A38" s="108">
        <f t="shared" si="1"/>
        <v>34</v>
      </c>
      <c r="B38" s="103" t="s">
        <v>269</v>
      </c>
      <c r="C38" s="103" t="s">
        <v>463</v>
      </c>
      <c r="D38" s="103">
        <v>333988666</v>
      </c>
      <c r="E38" s="137">
        <v>4</v>
      </c>
      <c r="F38" s="104" t="s">
        <v>722</v>
      </c>
      <c r="G38" s="103"/>
      <c r="H38" s="103"/>
      <c r="I38" s="103"/>
      <c r="J38" s="159" t="s">
        <v>721</v>
      </c>
      <c r="K38" s="100"/>
      <c r="L38" s="106"/>
      <c r="M38" s="106"/>
      <c r="N38" s="106"/>
      <c r="O38" s="458"/>
      <c r="P38" s="459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</row>
    <row r="39" spans="1:28" ht="18" hidden="1" customHeight="1" thickBot="1" x14ac:dyDescent="0.35">
      <c r="A39" s="108">
        <f t="shared" si="1"/>
        <v>35</v>
      </c>
      <c r="B39" s="103" t="s">
        <v>97</v>
      </c>
      <c r="C39" s="103" t="s">
        <v>44</v>
      </c>
      <c r="D39" s="103"/>
      <c r="E39" s="137">
        <v>5</v>
      </c>
      <c r="F39" s="104"/>
      <c r="G39" s="103"/>
      <c r="H39" s="103"/>
      <c r="I39" s="103"/>
      <c r="J39" s="104" t="s">
        <v>859</v>
      </c>
      <c r="K39" s="100"/>
      <c r="L39" s="106"/>
      <c r="M39" s="106"/>
      <c r="N39" s="106"/>
      <c r="O39" s="458"/>
      <c r="P39" s="459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</row>
    <row r="40" spans="1:28" ht="18" hidden="1" customHeight="1" thickBot="1" x14ac:dyDescent="0.35">
      <c r="A40" s="108">
        <f t="shared" si="1"/>
        <v>36</v>
      </c>
      <c r="B40" s="103" t="s">
        <v>824</v>
      </c>
      <c r="C40" s="103" t="s">
        <v>44</v>
      </c>
      <c r="D40" s="103"/>
      <c r="E40" s="137">
        <v>5</v>
      </c>
      <c r="F40" s="104"/>
      <c r="G40" s="103"/>
      <c r="H40" s="103"/>
      <c r="I40" s="103"/>
      <c r="J40" s="104" t="s">
        <v>859</v>
      </c>
      <c r="K40" s="100"/>
      <c r="L40" s="106"/>
      <c r="M40" s="106"/>
      <c r="N40" s="106"/>
      <c r="O40" s="458"/>
      <c r="P40" s="459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</row>
    <row r="41" spans="1:28" ht="18" customHeight="1" thickBot="1" x14ac:dyDescent="0.35">
      <c r="A41" s="108">
        <f t="shared" si="1"/>
        <v>37</v>
      </c>
      <c r="B41" s="103" t="s">
        <v>793</v>
      </c>
      <c r="C41" s="103" t="s">
        <v>469</v>
      </c>
      <c r="D41" s="109">
        <v>938345215</v>
      </c>
      <c r="E41" s="137">
        <v>6</v>
      </c>
      <c r="F41" s="104" t="s">
        <v>415</v>
      </c>
      <c r="G41" s="104" t="s">
        <v>756</v>
      </c>
      <c r="H41" s="104" t="s">
        <v>756</v>
      </c>
      <c r="I41" s="103"/>
      <c r="J41" s="159" t="s">
        <v>721</v>
      </c>
      <c r="K41" s="100"/>
      <c r="L41" s="106"/>
      <c r="M41" s="106"/>
      <c r="N41" s="106"/>
      <c r="O41" s="458"/>
      <c r="P41" s="459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</row>
    <row r="42" spans="1:28" ht="18" customHeight="1" thickBot="1" x14ac:dyDescent="0.35">
      <c r="A42" s="108">
        <f t="shared" si="1"/>
        <v>38</v>
      </c>
      <c r="B42" s="103" t="s">
        <v>801</v>
      </c>
      <c r="C42" s="103" t="s">
        <v>802</v>
      </c>
      <c r="D42" s="103">
        <v>399180595</v>
      </c>
      <c r="E42" s="137">
        <v>3</v>
      </c>
      <c r="F42" s="103"/>
      <c r="G42" s="103"/>
      <c r="H42" s="103"/>
      <c r="I42" s="103"/>
      <c r="J42" s="159" t="s">
        <v>721</v>
      </c>
      <c r="K42" s="100"/>
      <c r="L42" s="106"/>
      <c r="M42" s="106"/>
      <c r="N42" s="106"/>
      <c r="O42" s="458"/>
      <c r="P42" s="459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</row>
    <row r="43" spans="1:28" ht="18" customHeight="1" thickBot="1" x14ac:dyDescent="0.35">
      <c r="A43" s="108">
        <f t="shared" si="1"/>
        <v>39</v>
      </c>
      <c r="B43" s="103" t="s">
        <v>162</v>
      </c>
      <c r="C43" s="103" t="s">
        <v>25</v>
      </c>
      <c r="D43" s="103">
        <v>948178308</v>
      </c>
      <c r="E43" s="137">
        <v>6</v>
      </c>
      <c r="F43" s="104" t="s">
        <v>415</v>
      </c>
      <c r="G43" s="103"/>
      <c r="H43" s="103"/>
      <c r="I43" s="103"/>
      <c r="J43" s="159" t="s">
        <v>721</v>
      </c>
      <c r="K43" s="100"/>
      <c r="L43" s="106"/>
      <c r="M43" s="106"/>
      <c r="N43" s="106"/>
      <c r="O43" s="458"/>
      <c r="P43" s="459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</row>
    <row r="44" spans="1:28" ht="18" customHeight="1" thickBot="1" x14ac:dyDescent="0.35">
      <c r="A44" s="108">
        <f t="shared" si="1"/>
        <v>40</v>
      </c>
      <c r="B44" s="103" t="s">
        <v>765</v>
      </c>
      <c r="C44" s="103" t="s">
        <v>82</v>
      </c>
      <c r="D44" s="109">
        <v>349598291</v>
      </c>
      <c r="E44" s="137">
        <v>9</v>
      </c>
      <c r="F44" s="103"/>
      <c r="G44" s="104" t="s">
        <v>635</v>
      </c>
      <c r="H44" s="103"/>
      <c r="I44" s="103"/>
      <c r="J44" s="159" t="s">
        <v>721</v>
      </c>
      <c r="K44" s="100"/>
      <c r="L44" s="106"/>
      <c r="M44" s="106"/>
      <c r="N44" s="106"/>
      <c r="O44" s="458"/>
      <c r="P44" s="459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</row>
    <row r="45" spans="1:28" ht="18" customHeight="1" thickBot="1" x14ac:dyDescent="0.35">
      <c r="A45" s="108">
        <f t="shared" si="1"/>
        <v>41</v>
      </c>
      <c r="B45" s="103" t="s">
        <v>812</v>
      </c>
      <c r="C45" s="103" t="s">
        <v>133</v>
      </c>
      <c r="D45" s="103">
        <v>775861629</v>
      </c>
      <c r="E45" s="137">
        <v>4</v>
      </c>
      <c r="F45" s="104" t="s">
        <v>722</v>
      </c>
      <c r="G45" s="103"/>
      <c r="H45" s="103"/>
      <c r="I45" s="103"/>
      <c r="J45" s="159" t="s">
        <v>721</v>
      </c>
      <c r="K45" s="100"/>
      <c r="L45" s="106"/>
      <c r="M45" s="106"/>
      <c r="N45" s="106"/>
      <c r="O45" s="458"/>
      <c r="P45" s="459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</row>
    <row r="46" spans="1:28" ht="18" customHeight="1" thickBot="1" x14ac:dyDescent="0.35">
      <c r="A46" s="108">
        <f t="shared" si="1"/>
        <v>42</v>
      </c>
      <c r="B46" s="103" t="s">
        <v>766</v>
      </c>
      <c r="C46" s="103" t="s">
        <v>133</v>
      </c>
      <c r="D46" s="109">
        <v>377446278</v>
      </c>
      <c r="E46" s="137">
        <v>9</v>
      </c>
      <c r="F46" s="104" t="s">
        <v>415</v>
      </c>
      <c r="G46" s="103"/>
      <c r="H46" s="103"/>
      <c r="I46" s="103"/>
      <c r="J46" s="159" t="s">
        <v>721</v>
      </c>
      <c r="K46" s="100"/>
      <c r="L46" s="106"/>
      <c r="M46" s="106"/>
      <c r="N46" s="106"/>
      <c r="O46" s="458"/>
      <c r="P46" s="459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</row>
    <row r="47" spans="1:28" ht="18" customHeight="1" thickBot="1" x14ac:dyDescent="0.35">
      <c r="A47" s="108">
        <f t="shared" si="1"/>
        <v>43</v>
      </c>
      <c r="B47" s="103" t="s">
        <v>510</v>
      </c>
      <c r="C47" s="103" t="s">
        <v>13</v>
      </c>
      <c r="D47" s="109">
        <v>328202289</v>
      </c>
      <c r="E47" s="137">
        <v>6</v>
      </c>
      <c r="F47" s="104" t="s">
        <v>415</v>
      </c>
      <c r="G47" s="104" t="s">
        <v>756</v>
      </c>
      <c r="H47" s="103"/>
      <c r="I47" s="103"/>
      <c r="J47" s="159" t="s">
        <v>721</v>
      </c>
      <c r="K47" s="100"/>
      <c r="L47" s="106"/>
      <c r="M47" s="106"/>
      <c r="N47" s="106"/>
      <c r="O47" s="458"/>
      <c r="P47" s="459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</row>
    <row r="48" spans="1:28" ht="18" customHeight="1" thickBot="1" x14ac:dyDescent="0.35">
      <c r="A48" s="108">
        <f t="shared" si="1"/>
        <v>44</v>
      </c>
      <c r="B48" s="103" t="s">
        <v>774</v>
      </c>
      <c r="C48" s="103" t="s">
        <v>13</v>
      </c>
      <c r="D48" s="153">
        <v>939839925</v>
      </c>
      <c r="E48" s="137">
        <v>7</v>
      </c>
      <c r="F48" s="104" t="s">
        <v>415</v>
      </c>
      <c r="G48" s="103"/>
      <c r="H48" s="103"/>
      <c r="I48" s="103"/>
      <c r="J48" s="159" t="s">
        <v>721</v>
      </c>
      <c r="K48" s="100"/>
      <c r="L48" s="106"/>
      <c r="M48" s="106"/>
      <c r="N48" s="106"/>
      <c r="O48" s="458"/>
      <c r="P48" s="459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</row>
    <row r="49" spans="1:28" ht="18" customHeight="1" thickBot="1" x14ac:dyDescent="0.35">
      <c r="A49" s="108">
        <f t="shared" si="1"/>
        <v>45</v>
      </c>
      <c r="B49" s="103" t="s">
        <v>845</v>
      </c>
      <c r="C49" s="110" t="s">
        <v>126</v>
      </c>
      <c r="D49" s="109">
        <v>932920346</v>
      </c>
      <c r="E49" s="137">
        <v>2</v>
      </c>
      <c r="F49" s="104"/>
      <c r="G49" s="111" t="s">
        <v>634</v>
      </c>
      <c r="H49" s="111" t="s">
        <v>634</v>
      </c>
      <c r="I49" s="103"/>
      <c r="J49" s="159" t="s">
        <v>721</v>
      </c>
      <c r="K49" s="100"/>
      <c r="L49" s="106"/>
      <c r="M49" s="106"/>
      <c r="N49" s="106"/>
      <c r="O49" s="458"/>
      <c r="P49" s="459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</row>
    <row r="50" spans="1:28" ht="18" customHeight="1" thickBot="1" x14ac:dyDescent="0.35">
      <c r="A50" s="108">
        <f t="shared" si="1"/>
        <v>46</v>
      </c>
      <c r="B50" s="103" t="s">
        <v>821</v>
      </c>
      <c r="C50" s="103" t="s">
        <v>126</v>
      </c>
      <c r="D50" s="109">
        <v>981628454</v>
      </c>
      <c r="E50" s="137">
        <v>6</v>
      </c>
      <c r="F50" s="104" t="s">
        <v>415</v>
      </c>
      <c r="G50" s="104" t="s">
        <v>756</v>
      </c>
      <c r="H50" s="104" t="s">
        <v>756</v>
      </c>
      <c r="I50" s="103"/>
      <c r="J50" s="159" t="s">
        <v>721</v>
      </c>
      <c r="K50" s="100"/>
      <c r="L50" s="106"/>
      <c r="M50" s="106"/>
      <c r="N50" s="106"/>
      <c r="O50" s="458"/>
      <c r="P50" s="459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</row>
    <row r="51" spans="1:28" ht="18" customHeight="1" thickBot="1" x14ac:dyDescent="0.35">
      <c r="A51" s="108">
        <f t="shared" si="1"/>
        <v>47</v>
      </c>
      <c r="B51" s="103" t="s">
        <v>858</v>
      </c>
      <c r="C51" s="103" t="s">
        <v>75</v>
      </c>
      <c r="D51" s="103"/>
      <c r="E51" s="104">
        <v>4</v>
      </c>
      <c r="F51" s="104" t="s">
        <v>756</v>
      </c>
      <c r="G51" s="104"/>
      <c r="H51" s="104"/>
      <c r="I51" s="103"/>
      <c r="J51" s="159" t="s">
        <v>721</v>
      </c>
      <c r="K51" s="100"/>
      <c r="L51" s="106"/>
      <c r="M51" s="106"/>
      <c r="N51" s="106"/>
      <c r="O51" s="458"/>
      <c r="P51" s="459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</row>
    <row r="52" spans="1:28" ht="18" customHeight="1" thickBot="1" x14ac:dyDescent="0.35">
      <c r="A52" s="108">
        <f t="shared" si="1"/>
        <v>48</v>
      </c>
      <c r="B52" s="103" t="s">
        <v>808</v>
      </c>
      <c r="C52" s="103" t="s">
        <v>34</v>
      </c>
      <c r="D52" s="103"/>
      <c r="E52" s="137">
        <v>3</v>
      </c>
      <c r="F52" s="104" t="s">
        <v>722</v>
      </c>
      <c r="G52" s="103"/>
      <c r="H52" s="103"/>
      <c r="I52" s="103"/>
      <c r="J52" s="159" t="s">
        <v>721</v>
      </c>
      <c r="K52" s="100"/>
      <c r="L52" s="106"/>
      <c r="M52" s="106"/>
      <c r="N52" s="106"/>
      <c r="O52" s="458"/>
      <c r="P52" s="459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</row>
    <row r="53" spans="1:28" ht="18" customHeight="1" thickBot="1" x14ac:dyDescent="0.35">
      <c r="A53" s="108">
        <f t="shared" si="1"/>
        <v>49</v>
      </c>
      <c r="B53" s="103" t="s">
        <v>769</v>
      </c>
      <c r="C53" s="103" t="s">
        <v>34</v>
      </c>
      <c r="D53" s="109">
        <v>908023263</v>
      </c>
      <c r="E53" s="137">
        <v>6</v>
      </c>
      <c r="F53" s="104" t="s">
        <v>415</v>
      </c>
      <c r="G53" s="104" t="s">
        <v>696</v>
      </c>
      <c r="H53" s="103"/>
      <c r="I53" s="103"/>
      <c r="J53" s="159" t="s">
        <v>721</v>
      </c>
      <c r="K53" s="100"/>
      <c r="L53" s="106"/>
      <c r="M53" s="106"/>
      <c r="N53" s="106"/>
      <c r="O53" s="458"/>
      <c r="P53" s="459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</row>
    <row r="54" spans="1:28" ht="18" customHeight="1" thickBot="1" x14ac:dyDescent="0.35">
      <c r="A54" s="108">
        <f t="shared" si="1"/>
        <v>50</v>
      </c>
      <c r="B54" s="103" t="s">
        <v>13</v>
      </c>
      <c r="C54" s="103" t="s">
        <v>34</v>
      </c>
      <c r="D54" s="109">
        <v>987616217</v>
      </c>
      <c r="E54" s="137">
        <v>6</v>
      </c>
      <c r="F54" s="104" t="s">
        <v>415</v>
      </c>
      <c r="G54" s="104" t="s">
        <v>756</v>
      </c>
      <c r="H54" s="104" t="s">
        <v>756</v>
      </c>
      <c r="I54" s="103"/>
      <c r="J54" s="159" t="s">
        <v>721</v>
      </c>
      <c r="K54" s="100"/>
      <c r="L54" s="106"/>
      <c r="M54" s="106"/>
      <c r="N54" s="106"/>
      <c r="O54" s="458"/>
      <c r="P54" s="459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</row>
    <row r="55" spans="1:28" ht="18" customHeight="1" thickBot="1" x14ac:dyDescent="0.35">
      <c r="A55" s="108">
        <f t="shared" si="1"/>
        <v>51</v>
      </c>
      <c r="B55" s="103" t="s">
        <v>306</v>
      </c>
      <c r="C55" s="103" t="s">
        <v>34</v>
      </c>
      <c r="D55" s="109">
        <v>767486526</v>
      </c>
      <c r="E55" s="137">
        <v>6</v>
      </c>
      <c r="F55" s="104" t="s">
        <v>415</v>
      </c>
      <c r="G55" s="104" t="s">
        <v>756</v>
      </c>
      <c r="H55" s="104"/>
      <c r="I55" s="103"/>
      <c r="J55" s="159" t="s">
        <v>721</v>
      </c>
      <c r="K55" s="100"/>
      <c r="L55" s="106"/>
      <c r="M55" s="106"/>
      <c r="N55" s="106"/>
      <c r="O55" s="458"/>
      <c r="P55" s="459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</row>
    <row r="56" spans="1:28" ht="18" customHeight="1" thickBot="1" x14ac:dyDescent="0.35">
      <c r="A56" s="108">
        <f t="shared" si="1"/>
        <v>52</v>
      </c>
      <c r="B56" s="103" t="s">
        <v>280</v>
      </c>
      <c r="C56" s="103" t="s">
        <v>26</v>
      </c>
      <c r="D56" s="109">
        <v>939458461</v>
      </c>
      <c r="E56" s="137">
        <v>1</v>
      </c>
      <c r="F56" s="103"/>
      <c r="G56" s="104" t="s">
        <v>634</v>
      </c>
      <c r="H56" s="104" t="s">
        <v>634</v>
      </c>
      <c r="I56" s="103"/>
      <c r="J56" s="159" t="s">
        <v>721</v>
      </c>
      <c r="K56" s="100"/>
      <c r="L56" s="106"/>
      <c r="M56" s="106"/>
      <c r="N56" s="106"/>
      <c r="O56" s="458"/>
      <c r="P56" s="459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</row>
    <row r="57" spans="1:28" ht="18" customHeight="1" thickBot="1" x14ac:dyDescent="0.35">
      <c r="A57" s="108">
        <f t="shared" si="1"/>
        <v>53</v>
      </c>
      <c r="B57" s="103" t="s">
        <v>739</v>
      </c>
      <c r="C57" s="103" t="s">
        <v>19</v>
      </c>
      <c r="D57" s="109">
        <v>369298992</v>
      </c>
      <c r="E57" s="137">
        <v>6</v>
      </c>
      <c r="F57" s="104" t="s">
        <v>415</v>
      </c>
      <c r="G57" s="104" t="s">
        <v>696</v>
      </c>
      <c r="H57" s="104" t="s">
        <v>634</v>
      </c>
      <c r="I57" s="103"/>
      <c r="J57" s="159" t="s">
        <v>721</v>
      </c>
      <c r="K57" s="100"/>
      <c r="L57" s="106"/>
      <c r="M57" s="106"/>
      <c r="N57" s="106"/>
      <c r="O57" s="458"/>
      <c r="P57" s="459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</row>
    <row r="58" spans="1:28" ht="18" customHeight="1" thickBot="1" x14ac:dyDescent="0.35">
      <c r="A58" s="108">
        <f t="shared" si="1"/>
        <v>54</v>
      </c>
      <c r="B58" s="103" t="s">
        <v>258</v>
      </c>
      <c r="C58" s="103" t="s">
        <v>19</v>
      </c>
      <c r="D58" s="103"/>
      <c r="E58" s="137">
        <v>8</v>
      </c>
      <c r="F58" s="103"/>
      <c r="G58" s="103"/>
      <c r="H58" s="103"/>
      <c r="I58" s="104" t="s">
        <v>661</v>
      </c>
      <c r="J58" s="159" t="s">
        <v>721</v>
      </c>
      <c r="K58" s="100"/>
      <c r="L58" s="106"/>
      <c r="M58" s="106"/>
      <c r="N58" s="106"/>
      <c r="O58" s="458"/>
      <c r="P58" s="459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</row>
    <row r="59" spans="1:28" ht="18" customHeight="1" thickBot="1" x14ac:dyDescent="0.35">
      <c r="A59" s="108">
        <f t="shared" si="1"/>
        <v>55</v>
      </c>
      <c r="B59" s="103" t="s">
        <v>818</v>
      </c>
      <c r="C59" s="103" t="s">
        <v>19</v>
      </c>
      <c r="D59" s="109">
        <v>344818159</v>
      </c>
      <c r="E59" s="137">
        <v>9</v>
      </c>
      <c r="F59" s="104" t="s">
        <v>415</v>
      </c>
      <c r="G59" s="104" t="s">
        <v>756</v>
      </c>
      <c r="H59" s="104"/>
      <c r="I59" s="103"/>
      <c r="J59" s="159" t="s">
        <v>721</v>
      </c>
      <c r="K59" s="100"/>
      <c r="L59" s="106"/>
      <c r="M59" s="106"/>
      <c r="N59" s="106"/>
      <c r="O59" s="458"/>
      <c r="P59" s="459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</row>
    <row r="60" spans="1:28" ht="18" customHeight="1" thickBot="1" x14ac:dyDescent="0.35">
      <c r="A60" s="108">
        <f t="shared" si="1"/>
        <v>56</v>
      </c>
      <c r="B60" s="103" t="s">
        <v>795</v>
      </c>
      <c r="C60" s="103" t="s">
        <v>62</v>
      </c>
      <c r="D60" s="109">
        <v>978323737</v>
      </c>
      <c r="E60" s="137">
        <v>6</v>
      </c>
      <c r="F60" s="104" t="s">
        <v>415</v>
      </c>
      <c r="G60" s="104" t="s">
        <v>756</v>
      </c>
      <c r="H60" s="103"/>
      <c r="I60" s="103"/>
      <c r="J60" s="159" t="s">
        <v>721</v>
      </c>
      <c r="K60" s="100"/>
      <c r="L60" s="106"/>
      <c r="M60" s="106"/>
      <c r="N60" s="106"/>
      <c r="O60" s="458"/>
      <c r="P60" s="459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</row>
    <row r="61" spans="1:28" ht="18" customHeight="1" thickBot="1" x14ac:dyDescent="0.35">
      <c r="A61" s="108">
        <f t="shared" si="1"/>
        <v>57</v>
      </c>
      <c r="B61" s="103" t="s">
        <v>844</v>
      </c>
      <c r="C61" s="103" t="s">
        <v>56</v>
      </c>
      <c r="D61" s="109">
        <v>947999822</v>
      </c>
      <c r="E61" s="137">
        <v>2</v>
      </c>
      <c r="F61" s="104" t="s">
        <v>826</v>
      </c>
      <c r="G61" s="103"/>
      <c r="H61" s="103"/>
      <c r="I61" s="103"/>
      <c r="J61" s="159" t="s">
        <v>721</v>
      </c>
      <c r="K61" s="100"/>
      <c r="L61" s="106"/>
      <c r="M61" s="106"/>
      <c r="N61" s="106"/>
      <c r="O61" s="458"/>
      <c r="P61" s="459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</row>
    <row r="62" spans="1:28" ht="18" customHeight="1" thickBot="1" x14ac:dyDescent="0.35">
      <c r="A62" s="108">
        <f t="shared" si="1"/>
        <v>58</v>
      </c>
      <c r="B62" s="103" t="s">
        <v>796</v>
      </c>
      <c r="C62" s="103" t="s">
        <v>56</v>
      </c>
      <c r="D62" s="109">
        <v>932955580</v>
      </c>
      <c r="E62" s="137">
        <v>6</v>
      </c>
      <c r="F62" s="104" t="s">
        <v>415</v>
      </c>
      <c r="G62" s="104" t="s">
        <v>756</v>
      </c>
      <c r="H62" s="104" t="s">
        <v>756</v>
      </c>
      <c r="I62" s="103"/>
      <c r="J62" s="159" t="s">
        <v>721</v>
      </c>
      <c r="K62" s="100"/>
      <c r="L62" s="106"/>
      <c r="M62" s="106"/>
      <c r="N62" s="106"/>
      <c r="O62" s="458"/>
      <c r="P62" s="459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</row>
    <row r="63" spans="1:28" ht="18" customHeight="1" thickBot="1" x14ac:dyDescent="0.35">
      <c r="A63" s="108">
        <f t="shared" si="1"/>
        <v>59</v>
      </c>
      <c r="B63" s="103" t="s">
        <v>787</v>
      </c>
      <c r="C63" s="103" t="s">
        <v>788</v>
      </c>
      <c r="D63" s="103"/>
      <c r="E63" s="137">
        <v>6</v>
      </c>
      <c r="F63" s="104" t="s">
        <v>415</v>
      </c>
      <c r="G63" s="104" t="s">
        <v>756</v>
      </c>
      <c r="H63" s="103"/>
      <c r="I63" s="103"/>
      <c r="J63" s="159" t="s">
        <v>721</v>
      </c>
      <c r="K63" s="100"/>
      <c r="L63" s="106"/>
      <c r="M63" s="106"/>
      <c r="N63" s="106"/>
      <c r="O63" s="458"/>
      <c r="P63" s="459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</row>
    <row r="64" spans="1:28" ht="18" customHeight="1" thickBot="1" x14ac:dyDescent="0.35">
      <c r="A64" s="108">
        <f t="shared" si="1"/>
        <v>60</v>
      </c>
      <c r="B64" s="103" t="s">
        <v>817</v>
      </c>
      <c r="C64" s="103" t="s">
        <v>92</v>
      </c>
      <c r="D64" s="109">
        <v>964074945</v>
      </c>
      <c r="E64" s="137">
        <v>3</v>
      </c>
      <c r="F64" s="104" t="s">
        <v>722</v>
      </c>
      <c r="G64" s="103"/>
      <c r="H64" s="103"/>
      <c r="I64" s="103"/>
      <c r="J64" s="159" t="s">
        <v>721</v>
      </c>
      <c r="K64" s="100"/>
      <c r="L64" s="106"/>
      <c r="M64" s="106"/>
      <c r="N64" s="106"/>
      <c r="O64" s="458"/>
      <c r="P64" s="459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</row>
    <row r="65" spans="1:28" ht="18" customHeight="1" thickBot="1" x14ac:dyDescent="0.35">
      <c r="A65" s="108">
        <f t="shared" si="1"/>
        <v>61</v>
      </c>
      <c r="B65" s="103" t="s">
        <v>833</v>
      </c>
      <c r="C65" s="103" t="s">
        <v>92</v>
      </c>
      <c r="D65" s="109">
        <v>349579589</v>
      </c>
      <c r="E65" s="137">
        <v>6</v>
      </c>
      <c r="F65" s="104" t="s">
        <v>756</v>
      </c>
      <c r="G65" s="104" t="s">
        <v>756</v>
      </c>
      <c r="H65" s="103"/>
      <c r="I65" s="103"/>
      <c r="J65" s="159" t="s">
        <v>721</v>
      </c>
      <c r="K65" s="100"/>
      <c r="L65" s="106"/>
      <c r="M65" s="106"/>
      <c r="N65" s="106"/>
      <c r="O65" s="458"/>
      <c r="P65" s="459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</row>
    <row r="66" spans="1:28" ht="18" customHeight="1" thickBot="1" x14ac:dyDescent="0.35">
      <c r="A66" s="108">
        <f t="shared" si="1"/>
        <v>62</v>
      </c>
      <c r="B66" s="103" t="s">
        <v>833</v>
      </c>
      <c r="C66" s="103" t="s">
        <v>92</v>
      </c>
      <c r="D66" s="109">
        <v>349579589</v>
      </c>
      <c r="E66" s="104">
        <v>6</v>
      </c>
      <c r="F66" s="104" t="s">
        <v>756</v>
      </c>
      <c r="G66" s="104" t="s">
        <v>756</v>
      </c>
      <c r="H66" s="103"/>
      <c r="I66" s="103"/>
      <c r="J66" s="159" t="s">
        <v>721</v>
      </c>
      <c r="K66" s="100"/>
      <c r="L66" s="106"/>
      <c r="M66" s="106"/>
      <c r="N66" s="106"/>
      <c r="O66" s="458"/>
      <c r="P66" s="459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</row>
    <row r="67" spans="1:28" ht="18" customHeight="1" thickBot="1" x14ac:dyDescent="0.35">
      <c r="A67" s="108">
        <f t="shared" si="1"/>
        <v>63</v>
      </c>
      <c r="B67" s="103" t="s">
        <v>781</v>
      </c>
      <c r="C67" s="103" t="s">
        <v>35</v>
      </c>
      <c r="D67" s="109">
        <v>397284811</v>
      </c>
      <c r="E67" s="137">
        <v>6</v>
      </c>
      <c r="F67" s="104" t="s">
        <v>415</v>
      </c>
      <c r="G67" s="104" t="s">
        <v>756</v>
      </c>
      <c r="H67" s="103"/>
      <c r="I67" s="103"/>
      <c r="J67" s="159" t="s">
        <v>721</v>
      </c>
      <c r="K67" s="100"/>
      <c r="L67" s="106"/>
      <c r="M67" s="106"/>
      <c r="N67" s="106"/>
      <c r="O67" s="458"/>
      <c r="P67" s="459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</row>
    <row r="68" spans="1:28" ht="18" customHeight="1" thickBot="1" x14ac:dyDescent="0.35">
      <c r="A68" s="108">
        <f t="shared" si="1"/>
        <v>64</v>
      </c>
      <c r="B68" s="106" t="s">
        <v>819</v>
      </c>
      <c r="C68" s="106" t="s">
        <v>35</v>
      </c>
      <c r="D68" s="115">
        <v>344818159</v>
      </c>
      <c r="E68" s="139">
        <v>6</v>
      </c>
      <c r="F68" s="103"/>
      <c r="G68" s="107"/>
      <c r="H68" s="107" t="s">
        <v>756</v>
      </c>
      <c r="I68" s="103"/>
      <c r="J68" s="159" t="s">
        <v>721</v>
      </c>
      <c r="K68" s="100"/>
      <c r="L68" s="106"/>
      <c r="M68" s="106"/>
      <c r="N68" s="106"/>
      <c r="O68" s="458"/>
      <c r="P68" s="459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</row>
    <row r="69" spans="1:28" ht="18" customHeight="1" thickBot="1" x14ac:dyDescent="0.35">
      <c r="A69" s="108">
        <f t="shared" si="1"/>
        <v>65</v>
      </c>
      <c r="B69" s="106" t="s">
        <v>755</v>
      </c>
      <c r="C69" s="106" t="s">
        <v>35</v>
      </c>
      <c r="D69" s="106"/>
      <c r="E69" s="139">
        <v>8</v>
      </c>
      <c r="F69" s="103"/>
      <c r="G69" s="107" t="s">
        <v>756</v>
      </c>
      <c r="H69" s="106"/>
      <c r="I69" s="104" t="s">
        <v>661</v>
      </c>
      <c r="J69" s="159" t="s">
        <v>721</v>
      </c>
      <c r="K69" s="100"/>
      <c r="L69" s="106"/>
      <c r="M69" s="106"/>
      <c r="N69" s="106"/>
      <c r="O69" s="458"/>
      <c r="P69" s="459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</row>
    <row r="70" spans="1:28" ht="18" customHeight="1" thickBot="1" x14ac:dyDescent="0.35">
      <c r="A70" s="108">
        <f t="shared" si="1"/>
        <v>66</v>
      </c>
      <c r="B70" s="103" t="s">
        <v>840</v>
      </c>
      <c r="C70" s="103" t="s">
        <v>832</v>
      </c>
      <c r="D70" s="109" t="s">
        <v>841</v>
      </c>
      <c r="E70" s="104">
        <v>2</v>
      </c>
      <c r="F70" s="104" t="s">
        <v>756</v>
      </c>
      <c r="G70" s="103"/>
      <c r="H70" s="103"/>
      <c r="I70" s="103"/>
      <c r="J70" s="159" t="s">
        <v>721</v>
      </c>
      <c r="K70" s="100"/>
      <c r="L70" s="106"/>
      <c r="M70" s="106"/>
      <c r="N70" s="106"/>
      <c r="O70" s="458"/>
      <c r="P70" s="459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</row>
    <row r="71" spans="1:28" ht="18" customHeight="1" thickBot="1" x14ac:dyDescent="0.35">
      <c r="A71" s="108">
        <f t="shared" si="1"/>
        <v>67</v>
      </c>
      <c r="B71" s="103" t="s">
        <v>761</v>
      </c>
      <c r="C71" s="110" t="s">
        <v>762</v>
      </c>
      <c r="D71" s="109">
        <v>336597819</v>
      </c>
      <c r="E71" s="137">
        <v>3</v>
      </c>
      <c r="F71" s="104" t="s">
        <v>722</v>
      </c>
      <c r="G71" s="111" t="s">
        <v>634</v>
      </c>
      <c r="H71" s="111" t="s">
        <v>634</v>
      </c>
      <c r="I71" s="103"/>
      <c r="J71" s="159" t="s">
        <v>721</v>
      </c>
      <c r="K71" s="100"/>
      <c r="L71" s="106"/>
      <c r="M71" s="106"/>
      <c r="N71" s="106"/>
      <c r="O71" s="458"/>
      <c r="P71" s="459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</row>
    <row r="72" spans="1:28" ht="18" customHeight="1" thickBot="1" x14ac:dyDescent="0.35">
      <c r="A72" s="108">
        <f t="shared" si="1"/>
        <v>68</v>
      </c>
      <c r="B72" s="103" t="s">
        <v>843</v>
      </c>
      <c r="C72" s="103" t="s">
        <v>40</v>
      </c>
      <c r="D72" s="109">
        <v>357780110</v>
      </c>
      <c r="E72" s="137">
        <v>1</v>
      </c>
      <c r="F72" s="104"/>
      <c r="G72" s="104" t="s">
        <v>634</v>
      </c>
      <c r="H72" s="104" t="s">
        <v>634</v>
      </c>
      <c r="I72" s="103"/>
      <c r="J72" s="159" t="s">
        <v>721</v>
      </c>
      <c r="K72" s="100"/>
      <c r="L72" s="106"/>
      <c r="M72" s="106"/>
      <c r="N72" s="106"/>
      <c r="O72" s="458"/>
      <c r="P72" s="459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</row>
    <row r="73" spans="1:28" ht="18" customHeight="1" thickBot="1" x14ac:dyDescent="0.35">
      <c r="A73" s="108">
        <f t="shared" si="1"/>
        <v>69</v>
      </c>
      <c r="B73" s="103" t="s">
        <v>857</v>
      </c>
      <c r="C73" s="103" t="s">
        <v>91</v>
      </c>
      <c r="D73" s="103"/>
      <c r="E73" s="104">
        <v>4</v>
      </c>
      <c r="F73" s="104" t="s">
        <v>756</v>
      </c>
      <c r="G73" s="104"/>
      <c r="H73" s="104"/>
      <c r="I73" s="103"/>
      <c r="J73" s="159" t="s">
        <v>721</v>
      </c>
      <c r="K73" s="100"/>
      <c r="L73" s="106"/>
      <c r="M73" s="106"/>
      <c r="N73" s="106"/>
      <c r="O73" s="458"/>
      <c r="P73" s="459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</row>
    <row r="74" spans="1:28" ht="18" customHeight="1" thickBot="1" x14ac:dyDescent="0.35">
      <c r="A74" s="108">
        <f t="shared" si="1"/>
        <v>70</v>
      </c>
      <c r="B74" s="103" t="s">
        <v>822</v>
      </c>
      <c r="C74" s="103" t="s">
        <v>91</v>
      </c>
      <c r="D74" s="109">
        <v>353594619</v>
      </c>
      <c r="E74" s="137">
        <v>6</v>
      </c>
      <c r="F74" s="104" t="s">
        <v>415</v>
      </c>
      <c r="G74" s="104" t="s">
        <v>756</v>
      </c>
      <c r="H74" s="104" t="s">
        <v>756</v>
      </c>
      <c r="I74" s="103"/>
      <c r="J74" s="159" t="s">
        <v>721</v>
      </c>
      <c r="K74" s="100"/>
      <c r="L74" s="106"/>
      <c r="M74" s="106"/>
      <c r="N74" s="106"/>
      <c r="O74" s="458"/>
      <c r="P74" s="459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</row>
    <row r="75" spans="1:28" ht="18" customHeight="1" thickBot="1" x14ac:dyDescent="0.35">
      <c r="A75" s="108">
        <f t="shared" si="1"/>
        <v>71</v>
      </c>
      <c r="B75" s="129" t="s">
        <v>815</v>
      </c>
      <c r="C75" s="130" t="s">
        <v>98</v>
      </c>
      <c r="D75" s="130">
        <v>368359496</v>
      </c>
      <c r="E75" s="140">
        <v>2</v>
      </c>
      <c r="F75" s="132"/>
      <c r="G75" s="132" t="s">
        <v>634</v>
      </c>
      <c r="H75" s="132" t="s">
        <v>634</v>
      </c>
      <c r="I75" s="130"/>
      <c r="J75" s="159" t="s">
        <v>721</v>
      </c>
      <c r="K75" s="100"/>
      <c r="L75" s="106"/>
      <c r="M75" s="106"/>
      <c r="N75" s="106"/>
      <c r="O75" s="458"/>
      <c r="P75" s="459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</row>
    <row r="76" spans="1:28" ht="18" customHeight="1" thickBot="1" x14ac:dyDescent="0.35">
      <c r="A76" s="108">
        <f t="shared" si="1"/>
        <v>72</v>
      </c>
      <c r="B76" s="133" t="s">
        <v>838</v>
      </c>
      <c r="C76" s="103" t="s">
        <v>115</v>
      </c>
      <c r="D76" s="109" t="s">
        <v>839</v>
      </c>
      <c r="E76" s="137">
        <v>2</v>
      </c>
      <c r="F76" s="104" t="s">
        <v>756</v>
      </c>
      <c r="G76" s="103"/>
      <c r="H76" s="103"/>
      <c r="I76" s="103"/>
      <c r="J76" s="159" t="s">
        <v>721</v>
      </c>
      <c r="K76" s="100"/>
      <c r="L76" s="106"/>
      <c r="M76" s="106"/>
      <c r="N76" s="106"/>
      <c r="O76" s="458"/>
      <c r="P76" s="459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</row>
    <row r="77" spans="1:28" ht="19.5" thickBot="1" x14ac:dyDescent="0.35">
      <c r="A77" s="108">
        <f t="shared" si="1"/>
        <v>73</v>
      </c>
      <c r="B77" s="133" t="s">
        <v>798</v>
      </c>
      <c r="C77" s="103" t="s">
        <v>799</v>
      </c>
      <c r="D77" s="103">
        <v>377007479</v>
      </c>
      <c r="E77" s="137">
        <v>2</v>
      </c>
      <c r="F77" s="103"/>
      <c r="G77" s="103"/>
      <c r="H77" s="103"/>
      <c r="I77" s="103"/>
      <c r="J77" s="159" t="s">
        <v>721</v>
      </c>
      <c r="K77" s="100"/>
      <c r="L77" s="106"/>
      <c r="M77" s="106"/>
      <c r="N77" s="106"/>
      <c r="O77" s="458"/>
      <c r="P77" s="459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</row>
    <row r="78" spans="1:28" ht="19.5" thickBot="1" x14ac:dyDescent="0.35">
      <c r="A78" s="108">
        <f t="shared" si="1"/>
        <v>74</v>
      </c>
      <c r="B78" s="133" t="s">
        <v>809</v>
      </c>
      <c r="C78" s="103" t="s">
        <v>104</v>
      </c>
      <c r="D78" s="103">
        <v>333988666</v>
      </c>
      <c r="E78" s="137">
        <v>2</v>
      </c>
      <c r="F78" s="104" t="s">
        <v>826</v>
      </c>
      <c r="G78" s="103"/>
      <c r="H78" s="103"/>
      <c r="I78" s="103"/>
      <c r="J78" s="159" t="s">
        <v>721</v>
      </c>
      <c r="K78" s="100"/>
      <c r="L78" s="106"/>
      <c r="M78" s="106"/>
      <c r="N78" s="106"/>
      <c r="O78" s="458"/>
      <c r="P78" s="459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</row>
    <row r="79" spans="1:28" ht="19.5" thickBot="1" x14ac:dyDescent="0.35">
      <c r="A79" s="108">
        <f t="shared" si="1"/>
        <v>75</v>
      </c>
      <c r="B79" s="133" t="s">
        <v>779</v>
      </c>
      <c r="C79" s="103" t="s">
        <v>104</v>
      </c>
      <c r="D79" s="109">
        <v>972576593</v>
      </c>
      <c r="E79" s="137">
        <v>6</v>
      </c>
      <c r="F79" s="104" t="s">
        <v>415</v>
      </c>
      <c r="G79" s="104" t="s">
        <v>635</v>
      </c>
      <c r="H79" s="103"/>
      <c r="I79" s="103"/>
      <c r="J79" s="159" t="s">
        <v>721</v>
      </c>
      <c r="K79" s="100"/>
      <c r="L79" s="106"/>
      <c r="M79" s="106"/>
      <c r="N79" s="106"/>
      <c r="O79" s="458"/>
      <c r="P79" s="459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</row>
    <row r="80" spans="1:28" ht="19.5" thickBot="1" x14ac:dyDescent="0.35">
      <c r="A80" s="108">
        <f t="shared" si="1"/>
        <v>76</v>
      </c>
      <c r="B80" s="133" t="s">
        <v>259</v>
      </c>
      <c r="C80" s="103" t="s">
        <v>27</v>
      </c>
      <c r="D80" s="109">
        <v>795467948</v>
      </c>
      <c r="E80" s="137">
        <v>8</v>
      </c>
      <c r="F80" s="104" t="s">
        <v>415</v>
      </c>
      <c r="G80" s="104" t="s">
        <v>635</v>
      </c>
      <c r="H80" s="103"/>
      <c r="I80" s="103"/>
      <c r="J80" s="159" t="s">
        <v>721</v>
      </c>
      <c r="K80" s="100"/>
      <c r="L80" s="106"/>
      <c r="M80" s="106"/>
      <c r="N80" s="106"/>
      <c r="O80" s="458"/>
      <c r="P80" s="459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</row>
    <row r="81" spans="1:28" ht="19.5" thickBot="1" x14ac:dyDescent="0.35">
      <c r="A81" s="108">
        <f t="shared" si="1"/>
        <v>77</v>
      </c>
      <c r="B81" s="133" t="s">
        <v>810</v>
      </c>
      <c r="C81" s="103" t="s">
        <v>110</v>
      </c>
      <c r="D81" s="103">
        <v>365937119</v>
      </c>
      <c r="E81" s="137">
        <v>6</v>
      </c>
      <c r="F81" s="104" t="s">
        <v>415</v>
      </c>
      <c r="G81" s="103"/>
      <c r="H81" s="103"/>
      <c r="I81" s="103"/>
      <c r="J81" s="159" t="s">
        <v>721</v>
      </c>
      <c r="K81" s="100"/>
      <c r="L81" s="106"/>
      <c r="M81" s="106"/>
      <c r="N81" s="106"/>
      <c r="O81" s="458"/>
      <c r="P81" s="459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</row>
    <row r="82" spans="1:28" ht="19.5" thickBot="1" x14ac:dyDescent="0.35">
      <c r="A82" s="108">
        <f t="shared" si="1"/>
        <v>78</v>
      </c>
      <c r="B82" s="133" t="s">
        <v>842</v>
      </c>
      <c r="C82" s="103" t="s">
        <v>5</v>
      </c>
      <c r="D82" s="109">
        <v>915390014</v>
      </c>
      <c r="E82" s="104">
        <v>3</v>
      </c>
      <c r="F82" s="104" t="s">
        <v>756</v>
      </c>
      <c r="G82" s="103"/>
      <c r="H82" s="103"/>
      <c r="I82" s="103"/>
      <c r="J82" s="159" t="s">
        <v>721</v>
      </c>
      <c r="K82" s="100"/>
      <c r="L82" s="106"/>
      <c r="M82" s="106"/>
      <c r="N82" s="106"/>
      <c r="O82" s="458"/>
      <c r="P82" s="459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</row>
    <row r="83" spans="1:28" ht="19.5" thickBot="1" x14ac:dyDescent="0.35">
      <c r="A83" s="108">
        <f t="shared" si="1"/>
        <v>79</v>
      </c>
      <c r="B83" s="133" t="s">
        <v>846</v>
      </c>
      <c r="C83" s="103" t="s">
        <v>127</v>
      </c>
      <c r="D83" s="103">
        <v>347778424</v>
      </c>
      <c r="E83" s="104">
        <v>4</v>
      </c>
      <c r="F83" s="104" t="s">
        <v>756</v>
      </c>
      <c r="G83" s="104"/>
      <c r="H83" s="104"/>
      <c r="I83" s="103"/>
      <c r="J83" s="159" t="s">
        <v>721</v>
      </c>
      <c r="K83" s="100"/>
      <c r="L83" s="106"/>
      <c r="M83" s="106"/>
      <c r="N83" s="106"/>
      <c r="O83" s="458"/>
      <c r="P83" s="459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</row>
    <row r="84" spans="1:28" ht="19.5" thickBot="1" x14ac:dyDescent="0.35">
      <c r="A84" s="108">
        <f t="shared" si="1"/>
        <v>80</v>
      </c>
      <c r="B84" s="133" t="s">
        <v>674</v>
      </c>
      <c r="C84" s="103" t="s">
        <v>109</v>
      </c>
      <c r="D84" s="109">
        <v>988556504</v>
      </c>
      <c r="E84" s="137">
        <v>9</v>
      </c>
      <c r="F84" s="104" t="s">
        <v>415</v>
      </c>
      <c r="G84" s="103"/>
      <c r="H84" s="103"/>
      <c r="I84" s="103"/>
      <c r="J84" s="159" t="s">
        <v>721</v>
      </c>
      <c r="K84" s="100"/>
      <c r="L84" s="106"/>
      <c r="M84" s="106"/>
      <c r="N84" s="106"/>
      <c r="O84" s="458"/>
      <c r="P84" s="459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</row>
    <row r="85" spans="1:28" ht="19.5" thickBot="1" x14ac:dyDescent="0.35">
      <c r="A85" s="108">
        <f t="shared" ref="A85:A114" si="2">A84+1</f>
        <v>81</v>
      </c>
      <c r="B85" s="133" t="s">
        <v>767</v>
      </c>
      <c r="C85" s="103" t="s">
        <v>768</v>
      </c>
      <c r="D85" s="109">
        <v>865534755</v>
      </c>
      <c r="E85" s="137">
        <v>9</v>
      </c>
      <c r="F85" s="104" t="s">
        <v>415</v>
      </c>
      <c r="G85" s="103"/>
      <c r="H85" s="103"/>
      <c r="I85" s="103"/>
      <c r="J85" s="159" t="s">
        <v>721</v>
      </c>
      <c r="K85" s="100"/>
      <c r="L85" s="106"/>
      <c r="M85" s="106"/>
      <c r="N85" s="106"/>
      <c r="O85" s="458"/>
      <c r="P85" s="459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</row>
    <row r="86" spans="1:28" ht="19.5" thickBot="1" x14ac:dyDescent="0.35">
      <c r="A86" s="108">
        <f t="shared" si="2"/>
        <v>82</v>
      </c>
      <c r="B86" s="129" t="s">
        <v>775</v>
      </c>
      <c r="C86" s="157" t="s">
        <v>11</v>
      </c>
      <c r="D86" s="131">
        <v>858778474</v>
      </c>
      <c r="E86" s="140">
        <v>4</v>
      </c>
      <c r="F86" s="130"/>
      <c r="G86" s="158" t="s">
        <v>776</v>
      </c>
      <c r="H86" s="158" t="s">
        <v>634</v>
      </c>
      <c r="I86" s="130"/>
      <c r="J86" s="159" t="s">
        <v>721</v>
      </c>
      <c r="K86" s="100"/>
      <c r="L86" s="106"/>
      <c r="M86" s="106"/>
      <c r="N86" s="106"/>
      <c r="O86" s="458"/>
      <c r="P86" s="459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</row>
    <row r="87" spans="1:28" ht="19.5" thickBot="1" x14ac:dyDescent="0.35">
      <c r="A87" s="108">
        <f t="shared" si="2"/>
        <v>83</v>
      </c>
      <c r="B87" s="133" t="s">
        <v>332</v>
      </c>
      <c r="C87" s="103" t="s">
        <v>11</v>
      </c>
      <c r="D87" s="103">
        <v>335603773</v>
      </c>
      <c r="E87" s="137">
        <v>6</v>
      </c>
      <c r="F87" s="103"/>
      <c r="G87" s="104" t="s">
        <v>2</v>
      </c>
      <c r="H87" s="103"/>
      <c r="I87" s="103"/>
      <c r="J87" s="159" t="s">
        <v>721</v>
      </c>
      <c r="K87" s="100"/>
      <c r="L87" s="106"/>
      <c r="M87" s="106"/>
      <c r="N87" s="106"/>
      <c r="O87" s="458"/>
      <c r="P87" s="459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</row>
    <row r="88" spans="1:28" ht="19.5" thickBot="1" x14ac:dyDescent="0.35">
      <c r="A88" s="108">
        <f t="shared" si="2"/>
        <v>84</v>
      </c>
      <c r="B88" s="133" t="s">
        <v>777</v>
      </c>
      <c r="C88" s="103" t="s">
        <v>778</v>
      </c>
      <c r="D88" s="109">
        <v>862809453</v>
      </c>
      <c r="E88" s="137">
        <v>9</v>
      </c>
      <c r="F88" s="104" t="s">
        <v>415</v>
      </c>
      <c r="G88" s="104" t="s">
        <v>635</v>
      </c>
      <c r="H88" s="103"/>
      <c r="I88" s="103"/>
      <c r="J88" s="159" t="s">
        <v>721</v>
      </c>
      <c r="K88" s="100"/>
      <c r="L88" s="106"/>
      <c r="M88" s="106"/>
      <c r="N88" s="106"/>
      <c r="O88" s="458"/>
      <c r="P88" s="459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</row>
    <row r="89" spans="1:28" ht="19.5" thickBot="1" x14ac:dyDescent="0.35">
      <c r="A89" s="108">
        <f t="shared" si="2"/>
        <v>85</v>
      </c>
      <c r="B89" s="156" t="s">
        <v>797</v>
      </c>
      <c r="C89" s="112" t="s">
        <v>93</v>
      </c>
      <c r="D89" s="113">
        <v>898026107</v>
      </c>
      <c r="E89" s="138">
        <v>3</v>
      </c>
      <c r="F89" s="103"/>
      <c r="G89" s="114" t="s">
        <v>634</v>
      </c>
      <c r="H89" s="114" t="s">
        <v>634</v>
      </c>
      <c r="I89" s="103"/>
      <c r="J89" s="159" t="s">
        <v>721</v>
      </c>
      <c r="K89" s="100"/>
      <c r="L89" s="106"/>
      <c r="M89" s="106"/>
      <c r="N89" s="106"/>
      <c r="O89" s="458"/>
      <c r="P89" s="459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</row>
    <row r="90" spans="1:28" ht="19.5" thickBot="1" x14ac:dyDescent="0.35">
      <c r="A90" s="108">
        <f t="shared" si="2"/>
        <v>86</v>
      </c>
      <c r="B90" s="133" t="s">
        <v>794</v>
      </c>
      <c r="C90" s="103" t="s">
        <v>47</v>
      </c>
      <c r="D90" s="109">
        <v>917113749</v>
      </c>
      <c r="E90" s="137">
        <v>9</v>
      </c>
      <c r="F90" s="104" t="s">
        <v>415</v>
      </c>
      <c r="G90" s="103"/>
      <c r="H90" s="103"/>
      <c r="I90" s="103"/>
      <c r="J90" s="159" t="s">
        <v>721</v>
      </c>
      <c r="K90" s="100"/>
      <c r="L90" s="106"/>
      <c r="M90" s="106"/>
      <c r="N90" s="106"/>
      <c r="O90" s="458"/>
      <c r="P90" s="459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</row>
    <row r="91" spans="1:28" ht="19.5" thickBot="1" x14ac:dyDescent="0.35">
      <c r="A91" s="108">
        <f t="shared" si="2"/>
        <v>87</v>
      </c>
      <c r="B91" s="133" t="s">
        <v>171</v>
      </c>
      <c r="C91" s="103" t="s">
        <v>33</v>
      </c>
      <c r="D91" s="109">
        <v>978366026</v>
      </c>
      <c r="E91" s="137">
        <v>6</v>
      </c>
      <c r="F91" s="104" t="s">
        <v>415</v>
      </c>
      <c r="G91" s="103"/>
      <c r="H91" s="103"/>
      <c r="I91" s="103"/>
      <c r="J91" s="159" t="s">
        <v>721</v>
      </c>
      <c r="K91" s="100"/>
      <c r="L91" s="106"/>
      <c r="M91" s="106"/>
      <c r="N91" s="106"/>
      <c r="O91" s="458"/>
      <c r="P91" s="459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</row>
    <row r="92" spans="1:28" ht="19.5" thickBot="1" x14ac:dyDescent="0.35">
      <c r="A92" s="108">
        <f t="shared" si="2"/>
        <v>88</v>
      </c>
      <c r="B92" s="133" t="s">
        <v>266</v>
      </c>
      <c r="C92" s="103" t="s">
        <v>101</v>
      </c>
      <c r="D92" s="103">
        <v>386082211</v>
      </c>
      <c r="E92" s="104">
        <v>3</v>
      </c>
      <c r="F92" s="104" t="s">
        <v>756</v>
      </c>
      <c r="G92" s="104" t="s">
        <v>756</v>
      </c>
      <c r="H92" s="104" t="s">
        <v>756</v>
      </c>
      <c r="I92" s="103"/>
      <c r="J92" s="159" t="s">
        <v>721</v>
      </c>
      <c r="K92" s="100"/>
      <c r="L92" s="106"/>
      <c r="M92" s="106"/>
      <c r="N92" s="106"/>
      <c r="O92" s="458"/>
      <c r="P92" s="459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</row>
    <row r="93" spans="1:28" ht="19.5" thickBot="1" x14ac:dyDescent="0.35">
      <c r="A93" s="108">
        <f t="shared" si="2"/>
        <v>89</v>
      </c>
      <c r="B93" s="133" t="s">
        <v>772</v>
      </c>
      <c r="C93" s="103" t="s">
        <v>773</v>
      </c>
      <c r="D93" s="109">
        <v>398001415</v>
      </c>
      <c r="E93" s="137">
        <v>5</v>
      </c>
      <c r="F93" s="104" t="s">
        <v>722</v>
      </c>
      <c r="G93" s="103"/>
      <c r="H93" s="103"/>
      <c r="I93" s="103"/>
      <c r="J93" s="159" t="s">
        <v>721</v>
      </c>
      <c r="K93" s="100"/>
      <c r="L93" s="106"/>
      <c r="M93" s="106"/>
      <c r="N93" s="106"/>
      <c r="O93" s="458"/>
      <c r="P93" s="459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</row>
    <row r="94" spans="1:28" ht="19.5" thickBot="1" x14ac:dyDescent="0.35">
      <c r="A94" s="108">
        <f t="shared" si="2"/>
        <v>90</v>
      </c>
      <c r="B94" s="133" t="s">
        <v>238</v>
      </c>
      <c r="C94" s="103" t="s">
        <v>131</v>
      </c>
      <c r="D94" s="109">
        <v>373314577</v>
      </c>
      <c r="E94" s="137">
        <v>8</v>
      </c>
      <c r="F94" s="104" t="s">
        <v>415</v>
      </c>
      <c r="G94" s="104"/>
      <c r="H94" s="104"/>
      <c r="I94" s="103"/>
      <c r="J94" s="159" t="s">
        <v>721</v>
      </c>
      <c r="K94" s="100"/>
      <c r="L94" s="106"/>
      <c r="M94" s="106"/>
      <c r="N94" s="106"/>
      <c r="O94" s="458"/>
      <c r="P94" s="459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</row>
    <row r="95" spans="1:28" ht="19.5" thickBot="1" x14ac:dyDescent="0.35">
      <c r="A95" s="108">
        <f t="shared" si="2"/>
        <v>91</v>
      </c>
      <c r="B95" s="133" t="s">
        <v>789</v>
      </c>
      <c r="C95" s="103" t="s">
        <v>16</v>
      </c>
      <c r="D95" s="103"/>
      <c r="E95" s="137">
        <v>7</v>
      </c>
      <c r="F95" s="104" t="s">
        <v>415</v>
      </c>
      <c r="G95" s="103"/>
      <c r="H95" s="103"/>
      <c r="I95" s="103"/>
      <c r="J95" s="159" t="s">
        <v>721</v>
      </c>
      <c r="K95" s="100"/>
      <c r="L95" s="106"/>
      <c r="M95" s="106"/>
      <c r="N95" s="106"/>
      <c r="O95" s="458"/>
      <c r="P95" s="459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</row>
    <row r="96" spans="1:28" ht="19.5" thickBot="1" x14ac:dyDescent="0.35">
      <c r="A96" s="108">
        <f t="shared" si="2"/>
        <v>92</v>
      </c>
      <c r="B96" s="133" t="s">
        <v>252</v>
      </c>
      <c r="C96" s="103" t="s">
        <v>16</v>
      </c>
      <c r="D96" s="103"/>
      <c r="E96" s="137">
        <v>7</v>
      </c>
      <c r="F96" s="104" t="s">
        <v>415</v>
      </c>
      <c r="G96" s="104" t="s">
        <v>756</v>
      </c>
      <c r="H96" s="103"/>
      <c r="I96" s="103"/>
      <c r="J96" s="159" t="s">
        <v>721</v>
      </c>
      <c r="K96" s="100"/>
      <c r="L96" s="106"/>
      <c r="M96" s="106"/>
      <c r="N96" s="106"/>
      <c r="O96" s="458"/>
      <c r="P96" s="459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</row>
    <row r="97" spans="1:28" ht="19.5" thickBot="1" x14ac:dyDescent="0.35">
      <c r="A97" s="108">
        <f t="shared" si="2"/>
        <v>93</v>
      </c>
      <c r="B97" s="103" t="s">
        <v>804</v>
      </c>
      <c r="C97" s="103" t="s">
        <v>69</v>
      </c>
      <c r="D97" s="103">
        <v>333978559</v>
      </c>
      <c r="E97" s="137">
        <v>6</v>
      </c>
      <c r="F97" s="104" t="s">
        <v>415</v>
      </c>
      <c r="G97" s="103"/>
      <c r="H97" s="103"/>
      <c r="I97" s="103"/>
      <c r="J97" s="159" t="s">
        <v>721</v>
      </c>
      <c r="K97" s="100"/>
      <c r="L97" s="106"/>
      <c r="M97" s="106"/>
      <c r="N97" s="106"/>
      <c r="O97" s="458"/>
      <c r="P97" s="459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</row>
    <row r="98" spans="1:28" ht="19.5" thickBot="1" x14ac:dyDescent="0.35">
      <c r="A98" s="108">
        <f t="shared" si="2"/>
        <v>94</v>
      </c>
      <c r="B98" s="103" t="s">
        <v>800</v>
      </c>
      <c r="C98" s="103" t="s">
        <v>499</v>
      </c>
      <c r="D98" s="103">
        <v>338072410</v>
      </c>
      <c r="E98" s="137">
        <v>2</v>
      </c>
      <c r="F98" s="103"/>
      <c r="G98" s="104" t="s">
        <v>634</v>
      </c>
      <c r="H98" s="104" t="s">
        <v>634</v>
      </c>
      <c r="I98" s="103"/>
      <c r="J98" s="159" t="s">
        <v>721</v>
      </c>
      <c r="K98" s="100"/>
      <c r="L98" s="106"/>
      <c r="M98" s="106"/>
      <c r="N98" s="106"/>
      <c r="O98" s="458"/>
      <c r="P98" s="459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</row>
    <row r="99" spans="1:28" ht="19.5" thickBot="1" x14ac:dyDescent="0.35">
      <c r="A99" s="108">
        <f t="shared" si="2"/>
        <v>95</v>
      </c>
      <c r="B99" s="103" t="s">
        <v>786</v>
      </c>
      <c r="C99" s="103" t="s">
        <v>677</v>
      </c>
      <c r="D99" s="109">
        <v>967873720</v>
      </c>
      <c r="E99" s="137">
        <v>9</v>
      </c>
      <c r="F99" s="104" t="s">
        <v>415</v>
      </c>
      <c r="G99" s="104" t="s">
        <v>756</v>
      </c>
      <c r="H99" s="103"/>
      <c r="I99" s="103"/>
      <c r="J99" s="159" t="s">
        <v>721</v>
      </c>
      <c r="K99" s="100"/>
      <c r="L99" s="106"/>
      <c r="M99" s="106"/>
      <c r="N99" s="106"/>
      <c r="O99" s="458"/>
      <c r="P99" s="459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</row>
    <row r="100" spans="1:28" ht="19.5" thickBot="1" x14ac:dyDescent="0.35">
      <c r="A100" s="108">
        <f t="shared" si="2"/>
        <v>96</v>
      </c>
      <c r="B100" s="103" t="s">
        <v>770</v>
      </c>
      <c r="C100" s="110" t="s">
        <v>20</v>
      </c>
      <c r="D100" s="109">
        <v>944502030</v>
      </c>
      <c r="E100" s="137">
        <v>4</v>
      </c>
      <c r="F100" s="104" t="s">
        <v>722</v>
      </c>
      <c r="G100" s="111" t="s">
        <v>634</v>
      </c>
      <c r="H100" s="111" t="s">
        <v>634</v>
      </c>
      <c r="I100" s="103"/>
      <c r="J100" s="159" t="s">
        <v>721</v>
      </c>
      <c r="K100" s="100"/>
      <c r="L100" s="106"/>
      <c r="M100" s="106"/>
      <c r="N100" s="106"/>
      <c r="O100" s="458"/>
      <c r="P100" s="459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</row>
    <row r="101" spans="1:28" ht="19.5" thickBot="1" x14ac:dyDescent="0.35">
      <c r="A101" s="108">
        <f t="shared" si="2"/>
        <v>97</v>
      </c>
      <c r="B101" s="103" t="s">
        <v>705</v>
      </c>
      <c r="C101" s="103" t="s">
        <v>20</v>
      </c>
      <c r="D101" s="103"/>
      <c r="E101" s="104">
        <v>6</v>
      </c>
      <c r="F101" s="104" t="s">
        <v>756</v>
      </c>
      <c r="G101" s="104" t="s">
        <v>756</v>
      </c>
      <c r="H101" s="104"/>
      <c r="I101" s="103"/>
      <c r="J101" s="159" t="s">
        <v>721</v>
      </c>
      <c r="K101" s="100"/>
      <c r="L101" s="106"/>
      <c r="M101" s="106"/>
      <c r="N101" s="106"/>
      <c r="O101" s="458"/>
      <c r="P101" s="459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</row>
    <row r="102" spans="1:28" ht="19.5" thickBot="1" x14ac:dyDescent="0.35">
      <c r="A102" s="108">
        <f t="shared" si="2"/>
        <v>98</v>
      </c>
      <c r="B102" s="103" t="s">
        <v>791</v>
      </c>
      <c r="C102" s="103" t="s">
        <v>20</v>
      </c>
      <c r="D102" s="109">
        <v>866699720</v>
      </c>
      <c r="E102" s="137">
        <v>9</v>
      </c>
      <c r="F102" s="104" t="s">
        <v>415</v>
      </c>
      <c r="G102" s="104" t="s">
        <v>696</v>
      </c>
      <c r="H102" s="103"/>
      <c r="I102" s="103"/>
      <c r="J102" s="159" t="s">
        <v>721</v>
      </c>
      <c r="K102" s="100"/>
      <c r="L102" s="106"/>
      <c r="M102" s="106"/>
      <c r="N102" s="106"/>
      <c r="O102" s="458"/>
      <c r="P102" s="459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</row>
    <row r="103" spans="1:28" ht="19.5" thickBot="1" x14ac:dyDescent="0.35">
      <c r="A103" s="108">
        <f t="shared" si="2"/>
        <v>99</v>
      </c>
      <c r="B103" s="103" t="s">
        <v>792</v>
      </c>
      <c r="C103" s="103" t="s">
        <v>20</v>
      </c>
      <c r="D103" s="109">
        <v>358949462</v>
      </c>
      <c r="E103" s="137">
        <v>9</v>
      </c>
      <c r="F103" s="104" t="s">
        <v>415</v>
      </c>
      <c r="G103" s="104" t="s">
        <v>696</v>
      </c>
      <c r="H103" s="103"/>
      <c r="I103" s="103"/>
      <c r="J103" s="159" t="s">
        <v>721</v>
      </c>
      <c r="K103" s="100"/>
      <c r="L103" s="106"/>
      <c r="M103" s="106"/>
      <c r="N103" s="106"/>
      <c r="O103" s="458"/>
      <c r="P103" s="459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</row>
    <row r="104" spans="1:28" ht="19.5" thickBot="1" x14ac:dyDescent="0.35">
      <c r="A104" s="108">
        <f t="shared" si="2"/>
        <v>100</v>
      </c>
      <c r="B104" s="103" t="s">
        <v>267</v>
      </c>
      <c r="C104" s="103" t="s">
        <v>79</v>
      </c>
      <c r="D104" s="109">
        <v>352819874</v>
      </c>
      <c r="E104" s="137">
        <v>4</v>
      </c>
      <c r="F104" s="104" t="s">
        <v>722</v>
      </c>
      <c r="G104" s="103"/>
      <c r="H104" s="103"/>
      <c r="I104" s="103"/>
      <c r="J104" s="159" t="s">
        <v>721</v>
      </c>
      <c r="K104" s="100"/>
      <c r="L104" s="106"/>
      <c r="M104" s="106"/>
      <c r="N104" s="106"/>
      <c r="O104" s="458"/>
      <c r="P104" s="459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</row>
    <row r="105" spans="1:28" ht="19.5" thickBot="1" x14ac:dyDescent="0.35">
      <c r="A105" s="108">
        <f t="shared" si="2"/>
        <v>101</v>
      </c>
      <c r="B105" s="103" t="s">
        <v>811</v>
      </c>
      <c r="C105" s="103" t="s">
        <v>79</v>
      </c>
      <c r="D105" s="103">
        <v>862627913</v>
      </c>
      <c r="E105" s="137">
        <v>9</v>
      </c>
      <c r="F105" s="104" t="s">
        <v>415</v>
      </c>
      <c r="G105" s="103"/>
      <c r="H105" s="103"/>
      <c r="I105" s="103"/>
      <c r="J105" s="159" t="s">
        <v>721</v>
      </c>
      <c r="K105" s="100"/>
      <c r="L105" s="106"/>
      <c r="M105" s="106"/>
      <c r="N105" s="106"/>
      <c r="O105" s="458"/>
      <c r="P105" s="459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</row>
    <row r="106" spans="1:28" ht="19.5" thickBot="1" x14ac:dyDescent="0.35">
      <c r="A106" s="108">
        <f t="shared" si="2"/>
        <v>102</v>
      </c>
      <c r="B106" s="103"/>
      <c r="C106" s="103"/>
      <c r="D106" s="103"/>
      <c r="E106" s="103"/>
      <c r="F106" s="103"/>
      <c r="G106" s="103"/>
      <c r="H106" s="103"/>
      <c r="I106" s="103"/>
      <c r="J106" s="104" t="s">
        <v>721</v>
      </c>
      <c r="K106" s="100"/>
      <c r="L106" s="106"/>
      <c r="M106" s="106"/>
      <c r="N106" s="106"/>
      <c r="O106" s="458"/>
      <c r="P106" s="459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</row>
    <row r="107" spans="1:28" ht="19.5" thickBot="1" x14ac:dyDescent="0.35">
      <c r="A107" s="108">
        <f t="shared" si="2"/>
        <v>103</v>
      </c>
      <c r="B107" s="103"/>
      <c r="C107" s="103"/>
      <c r="D107" s="103"/>
      <c r="E107" s="103"/>
      <c r="F107" s="103"/>
      <c r="G107" s="103"/>
      <c r="H107" s="103"/>
      <c r="I107" s="103"/>
      <c r="J107" s="104" t="s">
        <v>721</v>
      </c>
      <c r="K107" s="100"/>
      <c r="L107" s="106"/>
      <c r="M107" s="106"/>
      <c r="N107" s="106"/>
      <c r="O107" s="458"/>
      <c r="P107" s="459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</row>
    <row r="108" spans="1:28" ht="19.5" thickBot="1" x14ac:dyDescent="0.35">
      <c r="A108" s="108">
        <f t="shared" si="2"/>
        <v>104</v>
      </c>
      <c r="B108" s="103"/>
      <c r="C108" s="103"/>
      <c r="D108" s="103"/>
      <c r="E108" s="103"/>
      <c r="F108" s="103"/>
      <c r="G108" s="103"/>
      <c r="H108" s="103"/>
      <c r="I108" s="103"/>
      <c r="J108" s="104" t="s">
        <v>721</v>
      </c>
      <c r="K108" s="100"/>
      <c r="L108" s="106"/>
      <c r="M108" s="106"/>
      <c r="N108" s="106"/>
      <c r="O108" s="458"/>
      <c r="P108" s="459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</row>
    <row r="109" spans="1:28" ht="19.5" thickBot="1" x14ac:dyDescent="0.35">
      <c r="A109" s="108">
        <f t="shared" si="2"/>
        <v>105</v>
      </c>
      <c r="B109" s="103"/>
      <c r="C109" s="103"/>
      <c r="D109" s="103"/>
      <c r="E109" s="103"/>
      <c r="F109" s="103"/>
      <c r="G109" s="103"/>
      <c r="H109" s="103"/>
      <c r="I109" s="103"/>
      <c r="J109" s="104" t="s">
        <v>721</v>
      </c>
      <c r="K109" s="100"/>
      <c r="L109" s="106"/>
      <c r="M109" s="106"/>
      <c r="N109" s="106"/>
      <c r="O109" s="458"/>
      <c r="P109" s="459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</row>
    <row r="110" spans="1:28" ht="19.5" thickBot="1" x14ac:dyDescent="0.35">
      <c r="A110" s="108">
        <f t="shared" si="2"/>
        <v>106</v>
      </c>
      <c r="B110" s="103"/>
      <c r="C110" s="103"/>
      <c r="D110" s="103"/>
      <c r="E110" s="103"/>
      <c r="F110" s="103"/>
      <c r="G110" s="103"/>
      <c r="H110" s="103"/>
      <c r="I110" s="103"/>
      <c r="J110" s="104" t="s">
        <v>721</v>
      </c>
      <c r="K110" s="100"/>
      <c r="L110" s="106"/>
      <c r="M110" s="106"/>
      <c r="N110" s="106"/>
      <c r="O110" s="458"/>
      <c r="P110" s="459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</row>
    <row r="111" spans="1:28" ht="19.5" thickBot="1" x14ac:dyDescent="0.35">
      <c r="A111" s="108">
        <f t="shared" si="2"/>
        <v>107</v>
      </c>
      <c r="B111" s="103"/>
      <c r="C111" s="103"/>
      <c r="D111" s="103"/>
      <c r="E111" s="103"/>
      <c r="F111" s="103"/>
      <c r="G111" s="103"/>
      <c r="H111" s="103"/>
      <c r="I111" s="103"/>
      <c r="J111" s="104" t="s">
        <v>721</v>
      </c>
      <c r="K111" s="100"/>
      <c r="L111" s="106"/>
      <c r="M111" s="106"/>
      <c r="N111" s="106"/>
      <c r="O111" s="458"/>
      <c r="P111" s="459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</row>
    <row r="112" spans="1:28" ht="19.5" thickBot="1" x14ac:dyDescent="0.35">
      <c r="A112" s="108">
        <f t="shared" si="2"/>
        <v>108</v>
      </c>
      <c r="B112" s="103"/>
      <c r="C112" s="103"/>
      <c r="D112" s="103"/>
      <c r="E112" s="103"/>
      <c r="F112" s="103"/>
      <c r="G112" s="103"/>
      <c r="H112" s="103"/>
      <c r="I112" s="103"/>
      <c r="J112" s="104" t="s">
        <v>721</v>
      </c>
      <c r="K112" s="100"/>
      <c r="L112" s="106"/>
      <c r="M112" s="106"/>
      <c r="N112" s="106"/>
      <c r="O112" s="458"/>
      <c r="P112" s="459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</row>
    <row r="113" spans="1:28" ht="19.5" thickBot="1" x14ac:dyDescent="0.35">
      <c r="A113" s="108">
        <f t="shared" si="2"/>
        <v>109</v>
      </c>
      <c r="B113" s="103"/>
      <c r="C113" s="103"/>
      <c r="D113" s="103"/>
      <c r="E113" s="103"/>
      <c r="F113" s="103"/>
      <c r="G113" s="103"/>
      <c r="H113" s="103"/>
      <c r="I113" s="103"/>
      <c r="J113" s="104" t="s">
        <v>721</v>
      </c>
      <c r="K113" s="100"/>
      <c r="L113" s="106"/>
      <c r="M113" s="106"/>
      <c r="N113" s="106"/>
      <c r="O113" s="458"/>
      <c r="P113" s="459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</row>
    <row r="114" spans="1:28" ht="19.5" thickBot="1" x14ac:dyDescent="0.35">
      <c r="A114" s="108">
        <f t="shared" si="2"/>
        <v>110</v>
      </c>
      <c r="B114" s="103"/>
      <c r="C114" s="103"/>
      <c r="D114" s="103"/>
      <c r="E114" s="103"/>
      <c r="F114" s="103"/>
      <c r="G114" s="103"/>
      <c r="H114" s="103"/>
      <c r="I114" s="103"/>
      <c r="J114" s="104" t="s">
        <v>721</v>
      </c>
      <c r="K114" s="100"/>
      <c r="L114" s="106"/>
      <c r="M114" s="106"/>
      <c r="N114" s="106"/>
      <c r="O114" s="458"/>
      <c r="P114" s="459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</row>
    <row r="115" spans="1:28" ht="19.5" hidden="1" thickBot="1" x14ac:dyDescent="0.35">
      <c r="A115" s="117"/>
      <c r="B115" s="103"/>
      <c r="C115" s="103"/>
      <c r="D115" s="103"/>
      <c r="E115" s="103"/>
      <c r="F115" s="103"/>
      <c r="G115" s="103"/>
      <c r="H115" s="103"/>
      <c r="I115" s="103"/>
      <c r="J115" s="103"/>
      <c r="K115" s="100"/>
      <c r="L115" s="106"/>
      <c r="M115" s="106"/>
      <c r="N115" s="106"/>
      <c r="O115" s="458"/>
      <c r="P115" s="459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</row>
    <row r="116" spans="1:28" ht="19.5" hidden="1" thickBot="1" x14ac:dyDescent="0.35">
      <c r="A116" s="116"/>
      <c r="B116" s="103"/>
      <c r="C116" s="103"/>
      <c r="D116" s="103"/>
      <c r="E116" s="103"/>
      <c r="F116" s="103"/>
      <c r="G116" s="103"/>
      <c r="H116" s="103"/>
      <c r="I116" s="103"/>
      <c r="J116" s="103"/>
      <c r="K116" s="100"/>
      <c r="L116" s="106"/>
      <c r="M116" s="106"/>
      <c r="N116" s="106"/>
      <c r="O116" s="458"/>
      <c r="P116" s="459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</row>
    <row r="117" spans="1:28" ht="19.5" hidden="1" thickBot="1" x14ac:dyDescent="0.35">
      <c r="A117" s="117"/>
      <c r="B117" s="103"/>
      <c r="C117" s="103"/>
      <c r="D117" s="103"/>
      <c r="E117" s="103"/>
      <c r="F117" s="103"/>
      <c r="G117" s="103"/>
      <c r="H117" s="103"/>
      <c r="I117" s="103"/>
      <c r="J117" s="103"/>
      <c r="K117" s="100"/>
      <c r="L117" s="106"/>
      <c r="M117" s="106"/>
      <c r="N117" s="106"/>
      <c r="O117" s="458"/>
      <c r="P117" s="459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</row>
    <row r="118" spans="1:28" ht="19.5" hidden="1" thickBot="1" x14ac:dyDescent="0.35">
      <c r="A118" s="116"/>
      <c r="B118" s="103"/>
      <c r="C118" s="103"/>
      <c r="D118" s="103"/>
      <c r="E118" s="103"/>
      <c r="F118" s="103"/>
      <c r="G118" s="103"/>
      <c r="H118" s="103"/>
      <c r="I118" s="103"/>
      <c r="J118" s="103"/>
      <c r="K118" s="100"/>
      <c r="L118" s="106"/>
      <c r="M118" s="106"/>
      <c r="N118" s="106"/>
      <c r="O118" s="458"/>
      <c r="P118" s="459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</row>
    <row r="119" spans="1:28" ht="19.5" hidden="1" thickBot="1" x14ac:dyDescent="0.35">
      <c r="A119" s="117"/>
      <c r="B119" s="103"/>
      <c r="C119" s="103"/>
      <c r="D119" s="103"/>
      <c r="E119" s="103"/>
      <c r="F119" s="103"/>
      <c r="G119" s="103"/>
      <c r="H119" s="103"/>
      <c r="I119" s="103"/>
      <c r="J119" s="103"/>
      <c r="K119" s="100"/>
      <c r="L119" s="106"/>
      <c r="M119" s="106"/>
      <c r="N119" s="106"/>
      <c r="O119" s="458"/>
      <c r="P119" s="459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</row>
    <row r="120" spans="1:28" ht="19.5" hidden="1" thickBot="1" x14ac:dyDescent="0.35">
      <c r="A120" s="116"/>
      <c r="B120" s="103"/>
      <c r="C120" s="103"/>
      <c r="D120" s="103"/>
      <c r="E120" s="103"/>
      <c r="F120" s="103"/>
      <c r="G120" s="103"/>
      <c r="H120" s="103"/>
      <c r="I120" s="103"/>
      <c r="J120" s="103"/>
      <c r="K120" s="100"/>
      <c r="L120" s="106"/>
      <c r="M120" s="106"/>
      <c r="N120" s="106"/>
      <c r="O120" s="458"/>
      <c r="P120" s="459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</row>
    <row r="121" spans="1:28" ht="19.5" hidden="1" thickBot="1" x14ac:dyDescent="0.35">
      <c r="A121" s="117"/>
      <c r="B121" s="103"/>
      <c r="C121" s="103"/>
      <c r="D121" s="103"/>
      <c r="E121" s="103"/>
      <c r="F121" s="103"/>
      <c r="G121" s="103"/>
      <c r="H121" s="103"/>
      <c r="I121" s="103"/>
      <c r="J121" s="103"/>
      <c r="K121" s="100"/>
      <c r="L121" s="106"/>
      <c r="M121" s="106"/>
      <c r="N121" s="106"/>
      <c r="O121" s="458"/>
      <c r="P121" s="459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</row>
    <row r="122" spans="1:28" ht="19.5" hidden="1" thickBot="1" x14ac:dyDescent="0.35">
      <c r="A122" s="116"/>
      <c r="B122" s="103"/>
      <c r="C122" s="103"/>
      <c r="D122" s="103"/>
      <c r="E122" s="103"/>
      <c r="F122" s="103"/>
      <c r="G122" s="103"/>
      <c r="H122" s="103"/>
      <c r="I122" s="103"/>
      <c r="J122" s="103"/>
      <c r="K122" s="100"/>
      <c r="L122" s="106"/>
      <c r="M122" s="106"/>
      <c r="N122" s="106"/>
      <c r="O122" s="458"/>
      <c r="P122" s="459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</row>
    <row r="123" spans="1:28" ht="19.5" hidden="1" thickBot="1" x14ac:dyDescent="0.35">
      <c r="A123" s="117"/>
      <c r="B123" s="103"/>
      <c r="C123" s="103"/>
      <c r="D123" s="103"/>
      <c r="E123" s="103"/>
      <c r="F123" s="103"/>
      <c r="G123" s="103"/>
      <c r="H123" s="103"/>
      <c r="I123" s="103"/>
      <c r="J123" s="103"/>
      <c r="K123" s="100"/>
      <c r="L123" s="106"/>
      <c r="M123" s="106"/>
      <c r="N123" s="106"/>
      <c r="O123" s="458"/>
      <c r="P123" s="459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</row>
    <row r="124" spans="1:28" ht="19.5" hidden="1" thickBot="1" x14ac:dyDescent="0.35">
      <c r="A124" s="116"/>
      <c r="B124" s="103"/>
      <c r="C124" s="103"/>
      <c r="D124" s="103"/>
      <c r="E124" s="103"/>
      <c r="F124" s="103"/>
      <c r="G124" s="103"/>
      <c r="H124" s="103"/>
      <c r="I124" s="103"/>
      <c r="J124" s="103"/>
      <c r="K124" s="100"/>
      <c r="L124" s="106"/>
      <c r="M124" s="106"/>
      <c r="N124" s="106"/>
      <c r="O124" s="458"/>
      <c r="P124" s="459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</row>
    <row r="125" spans="1:28" ht="19.5" hidden="1" thickBot="1" x14ac:dyDescent="0.35">
      <c r="A125" s="117"/>
      <c r="B125" s="103"/>
      <c r="C125" s="103"/>
      <c r="D125" s="103"/>
      <c r="E125" s="103"/>
      <c r="F125" s="103"/>
      <c r="G125" s="103"/>
      <c r="H125" s="103"/>
      <c r="I125" s="103"/>
      <c r="J125" s="103"/>
      <c r="K125" s="100"/>
      <c r="L125" s="106"/>
      <c r="M125" s="106"/>
      <c r="N125" s="106"/>
      <c r="O125" s="458"/>
      <c r="P125" s="459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</row>
    <row r="126" spans="1:28" ht="19.5" hidden="1" thickBot="1" x14ac:dyDescent="0.35">
      <c r="A126" s="116"/>
      <c r="B126" s="103"/>
      <c r="C126" s="103"/>
      <c r="D126" s="103"/>
      <c r="E126" s="103"/>
      <c r="F126" s="103"/>
      <c r="G126" s="103"/>
      <c r="H126" s="103"/>
      <c r="I126" s="103"/>
      <c r="J126" s="103"/>
      <c r="K126" s="100"/>
      <c r="L126" s="106"/>
      <c r="M126" s="106"/>
      <c r="N126" s="106"/>
      <c r="O126" s="458"/>
      <c r="P126" s="459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</row>
    <row r="127" spans="1:28" ht="19.5" hidden="1" thickBot="1" x14ac:dyDescent="0.35">
      <c r="A127" s="117"/>
      <c r="B127" s="103"/>
      <c r="C127" s="103"/>
      <c r="D127" s="103"/>
      <c r="E127" s="103"/>
      <c r="F127" s="103"/>
      <c r="G127" s="103"/>
      <c r="H127" s="103"/>
      <c r="I127" s="103"/>
      <c r="J127" s="103"/>
      <c r="K127" s="100"/>
      <c r="L127" s="106"/>
      <c r="M127" s="106"/>
      <c r="N127" s="106"/>
      <c r="O127" s="458"/>
      <c r="P127" s="459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</row>
    <row r="128" spans="1:28" ht="19.5" hidden="1" thickBot="1" x14ac:dyDescent="0.35">
      <c r="A128" s="116"/>
      <c r="B128" s="103"/>
      <c r="C128" s="103"/>
      <c r="D128" s="103"/>
      <c r="E128" s="103"/>
      <c r="F128" s="103"/>
      <c r="G128" s="103"/>
      <c r="H128" s="103"/>
      <c r="I128" s="103"/>
      <c r="J128" s="103"/>
      <c r="K128" s="100"/>
      <c r="L128" s="106"/>
      <c r="M128" s="106"/>
      <c r="N128" s="106"/>
      <c r="O128" s="458"/>
      <c r="P128" s="459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</row>
    <row r="129" spans="1:28" ht="19.5" hidden="1" thickBot="1" x14ac:dyDescent="0.35">
      <c r="A129" s="117"/>
      <c r="B129" s="103"/>
      <c r="C129" s="103"/>
      <c r="D129" s="103"/>
      <c r="E129" s="103"/>
      <c r="F129" s="103"/>
      <c r="G129" s="103"/>
      <c r="H129" s="103"/>
      <c r="I129" s="103"/>
      <c r="J129" s="103"/>
      <c r="K129" s="100"/>
      <c r="L129" s="106"/>
      <c r="M129" s="106"/>
      <c r="N129" s="106"/>
      <c r="O129" s="458"/>
      <c r="P129" s="459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</row>
    <row r="130" spans="1:28" ht="19.5" hidden="1" thickBot="1" x14ac:dyDescent="0.35">
      <c r="A130" s="116"/>
      <c r="B130" s="103"/>
      <c r="C130" s="103"/>
      <c r="D130" s="103"/>
      <c r="E130" s="103"/>
      <c r="F130" s="103"/>
      <c r="G130" s="103"/>
      <c r="H130" s="103"/>
      <c r="I130" s="103"/>
      <c r="J130" s="103"/>
      <c r="K130" s="100"/>
      <c r="L130" s="106"/>
      <c r="M130" s="106"/>
      <c r="N130" s="106"/>
      <c r="O130" s="458"/>
      <c r="P130" s="459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</row>
    <row r="131" spans="1:28" ht="19.5" hidden="1" thickBot="1" x14ac:dyDescent="0.35">
      <c r="A131" s="117"/>
      <c r="B131" s="103"/>
      <c r="C131" s="103"/>
      <c r="D131" s="103"/>
      <c r="E131" s="103"/>
      <c r="F131" s="103"/>
      <c r="G131" s="103"/>
      <c r="H131" s="103"/>
      <c r="I131" s="103"/>
      <c r="J131" s="103"/>
      <c r="K131" s="100"/>
      <c r="L131" s="106"/>
      <c r="M131" s="106"/>
      <c r="N131" s="106"/>
      <c r="O131" s="458"/>
      <c r="P131" s="459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</row>
    <row r="132" spans="1:28" ht="19.5" hidden="1" thickBot="1" x14ac:dyDescent="0.35">
      <c r="A132" s="116"/>
      <c r="B132" s="103"/>
      <c r="C132" s="103"/>
      <c r="D132" s="103"/>
      <c r="E132" s="103"/>
      <c r="F132" s="103"/>
      <c r="G132" s="103"/>
      <c r="H132" s="103"/>
      <c r="I132" s="103"/>
      <c r="J132" s="103"/>
      <c r="K132" s="100"/>
      <c r="L132" s="106"/>
      <c r="M132" s="106"/>
      <c r="N132" s="106"/>
      <c r="O132" s="458"/>
      <c r="P132" s="459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</row>
    <row r="133" spans="1:28" ht="19.5" hidden="1" thickBot="1" x14ac:dyDescent="0.35">
      <c r="A133" s="117"/>
      <c r="B133" s="103"/>
      <c r="C133" s="103"/>
      <c r="D133" s="103"/>
      <c r="E133" s="103"/>
      <c r="F133" s="103"/>
      <c r="G133" s="103"/>
      <c r="H133" s="103"/>
      <c r="I133" s="103"/>
      <c r="J133" s="103"/>
      <c r="K133" s="100"/>
      <c r="L133" s="106"/>
      <c r="M133" s="106"/>
      <c r="N133" s="106"/>
      <c r="O133" s="458"/>
      <c r="P133" s="459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</row>
    <row r="134" spans="1:28" ht="19.5" hidden="1" thickBot="1" x14ac:dyDescent="0.35">
      <c r="A134" s="116"/>
      <c r="B134" s="103"/>
      <c r="C134" s="103"/>
      <c r="D134" s="103"/>
      <c r="E134" s="103"/>
      <c r="F134" s="103"/>
      <c r="G134" s="103"/>
      <c r="H134" s="103"/>
      <c r="I134" s="103"/>
      <c r="J134" s="103"/>
      <c r="K134" s="100"/>
      <c r="L134" s="106"/>
      <c r="M134" s="106"/>
      <c r="N134" s="106"/>
      <c r="O134" s="458"/>
      <c r="P134" s="459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</row>
    <row r="135" spans="1:28" ht="19.5" hidden="1" thickBot="1" x14ac:dyDescent="0.35">
      <c r="A135" s="117"/>
      <c r="B135" s="103"/>
      <c r="C135" s="103"/>
      <c r="D135" s="103"/>
      <c r="E135" s="103"/>
      <c r="F135" s="103"/>
      <c r="G135" s="103"/>
      <c r="H135" s="103"/>
      <c r="I135" s="103"/>
      <c r="J135" s="103"/>
      <c r="K135" s="100"/>
      <c r="L135" s="106"/>
      <c r="M135" s="106"/>
      <c r="N135" s="106"/>
      <c r="O135" s="458"/>
      <c r="P135" s="459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</row>
    <row r="136" spans="1:28" ht="19.5" hidden="1" thickBot="1" x14ac:dyDescent="0.35">
      <c r="A136" s="116"/>
      <c r="B136" s="103"/>
      <c r="C136" s="103"/>
      <c r="D136" s="103"/>
      <c r="E136" s="103"/>
      <c r="F136" s="103"/>
      <c r="G136" s="103"/>
      <c r="H136" s="103"/>
      <c r="I136" s="103"/>
      <c r="J136" s="103"/>
      <c r="K136" s="100"/>
      <c r="L136" s="106"/>
      <c r="M136" s="106"/>
      <c r="N136" s="106"/>
      <c r="O136" s="458"/>
      <c r="P136" s="459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</row>
    <row r="137" spans="1:28" ht="19.5" hidden="1" thickBot="1" x14ac:dyDescent="0.35">
      <c r="A137" s="117"/>
      <c r="B137" s="103"/>
      <c r="C137" s="103"/>
      <c r="D137" s="103"/>
      <c r="E137" s="103"/>
      <c r="F137" s="103"/>
      <c r="G137" s="103"/>
      <c r="H137" s="103"/>
      <c r="I137" s="103"/>
      <c r="J137" s="103"/>
      <c r="K137" s="100"/>
      <c r="L137" s="106"/>
      <c r="M137" s="106"/>
      <c r="N137" s="106"/>
      <c r="O137" s="458"/>
      <c r="P137" s="459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</row>
    <row r="138" spans="1:28" ht="19.5" hidden="1" thickBot="1" x14ac:dyDescent="0.35">
      <c r="A138" s="116"/>
      <c r="B138" s="103"/>
      <c r="C138" s="103"/>
      <c r="D138" s="103"/>
      <c r="E138" s="103"/>
      <c r="F138" s="103"/>
      <c r="G138" s="103"/>
      <c r="H138" s="103"/>
      <c r="I138" s="103"/>
      <c r="J138" s="103"/>
      <c r="K138" s="100"/>
      <c r="L138" s="106"/>
      <c r="M138" s="106"/>
      <c r="N138" s="106"/>
      <c r="O138" s="458"/>
      <c r="P138" s="459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</row>
    <row r="139" spans="1:28" ht="19.5" hidden="1" thickBot="1" x14ac:dyDescent="0.35">
      <c r="A139" s="117"/>
      <c r="B139" s="103"/>
      <c r="C139" s="103"/>
      <c r="D139" s="103"/>
      <c r="E139" s="103"/>
      <c r="F139" s="103"/>
      <c r="G139" s="103"/>
      <c r="H139" s="103"/>
      <c r="I139" s="103"/>
      <c r="J139" s="103"/>
      <c r="K139" s="100"/>
      <c r="L139" s="106"/>
      <c r="M139" s="106"/>
      <c r="N139" s="106"/>
      <c r="O139" s="458"/>
      <c r="P139" s="459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</row>
    <row r="140" spans="1:28" ht="19.5" hidden="1" thickBot="1" x14ac:dyDescent="0.35">
      <c r="A140" s="116"/>
      <c r="B140" s="103"/>
      <c r="C140" s="103"/>
      <c r="D140" s="103"/>
      <c r="E140" s="103"/>
      <c r="F140" s="103"/>
      <c r="G140" s="103"/>
      <c r="H140" s="103"/>
      <c r="I140" s="103"/>
      <c r="J140" s="103"/>
      <c r="K140" s="100"/>
      <c r="L140" s="106"/>
      <c r="M140" s="106"/>
      <c r="N140" s="106"/>
      <c r="O140" s="458"/>
      <c r="P140" s="459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</row>
    <row r="141" spans="1:28" ht="19.5" hidden="1" thickBot="1" x14ac:dyDescent="0.35">
      <c r="A141" s="117"/>
      <c r="B141" s="103"/>
      <c r="C141" s="103"/>
      <c r="D141" s="103"/>
      <c r="E141" s="103"/>
      <c r="F141" s="103"/>
      <c r="G141" s="103"/>
      <c r="H141" s="103"/>
      <c r="I141" s="103"/>
      <c r="J141" s="103"/>
      <c r="K141" s="100"/>
      <c r="L141" s="106"/>
      <c r="M141" s="106"/>
      <c r="N141" s="106"/>
      <c r="O141" s="458"/>
      <c r="P141" s="459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</row>
    <row r="142" spans="1:28" ht="19.5" hidden="1" thickBot="1" x14ac:dyDescent="0.35">
      <c r="A142" s="116"/>
      <c r="B142" s="103"/>
      <c r="C142" s="103"/>
      <c r="D142" s="103"/>
      <c r="E142" s="103"/>
      <c r="F142" s="103"/>
      <c r="G142" s="103"/>
      <c r="H142" s="103"/>
      <c r="I142" s="103"/>
      <c r="J142" s="103"/>
      <c r="K142" s="100"/>
      <c r="L142" s="106"/>
      <c r="M142" s="106"/>
      <c r="N142" s="106"/>
      <c r="O142" s="458"/>
      <c r="P142" s="459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</row>
    <row r="143" spans="1:28" ht="19.5" hidden="1" thickBot="1" x14ac:dyDescent="0.35">
      <c r="A143" s="117"/>
      <c r="B143" s="103"/>
      <c r="C143" s="103"/>
      <c r="D143" s="103"/>
      <c r="E143" s="103"/>
      <c r="F143" s="103"/>
      <c r="G143" s="103"/>
      <c r="H143" s="103"/>
      <c r="I143" s="103"/>
      <c r="J143" s="103"/>
      <c r="K143" s="100"/>
      <c r="L143" s="106"/>
      <c r="M143" s="106"/>
      <c r="N143" s="106"/>
      <c r="O143" s="458"/>
      <c r="P143" s="459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</row>
    <row r="144" spans="1:28" ht="19.5" hidden="1" thickBot="1" x14ac:dyDescent="0.35">
      <c r="A144" s="116"/>
      <c r="B144" s="103"/>
      <c r="C144" s="103"/>
      <c r="D144" s="103"/>
      <c r="E144" s="103"/>
      <c r="F144" s="103"/>
      <c r="G144" s="103"/>
      <c r="H144" s="103"/>
      <c r="I144" s="103"/>
      <c r="J144" s="103"/>
      <c r="K144" s="100"/>
      <c r="L144" s="106"/>
      <c r="M144" s="106"/>
      <c r="N144" s="106"/>
      <c r="O144" s="458"/>
      <c r="P144" s="459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</row>
    <row r="145" spans="1:28" ht="19.5" hidden="1" thickBot="1" x14ac:dyDescent="0.35">
      <c r="A145" s="117"/>
      <c r="B145" s="103"/>
      <c r="C145" s="103"/>
      <c r="D145" s="103"/>
      <c r="E145" s="103"/>
      <c r="F145" s="103"/>
      <c r="G145" s="103"/>
      <c r="H145" s="103"/>
      <c r="I145" s="103"/>
      <c r="J145" s="103"/>
      <c r="K145" s="100"/>
      <c r="L145" s="106"/>
      <c r="M145" s="106"/>
      <c r="N145" s="106"/>
      <c r="O145" s="458"/>
      <c r="P145" s="459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</row>
    <row r="146" spans="1:28" ht="19.5" hidden="1" thickBot="1" x14ac:dyDescent="0.35">
      <c r="A146" s="116"/>
      <c r="B146" s="103"/>
      <c r="C146" s="103"/>
      <c r="D146" s="103"/>
      <c r="E146" s="103"/>
      <c r="F146" s="103"/>
      <c r="G146" s="103"/>
      <c r="H146" s="103"/>
      <c r="I146" s="103"/>
      <c r="J146" s="103"/>
      <c r="K146" s="100"/>
      <c r="L146" s="106"/>
      <c r="M146" s="106"/>
      <c r="N146" s="106"/>
      <c r="O146" s="458"/>
      <c r="P146" s="459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</row>
    <row r="147" spans="1:28" ht="19.5" hidden="1" thickBot="1" x14ac:dyDescent="0.35">
      <c r="A147" s="117"/>
      <c r="B147" s="103"/>
      <c r="C147" s="103"/>
      <c r="D147" s="103"/>
      <c r="E147" s="103"/>
      <c r="F147" s="103"/>
      <c r="G147" s="103"/>
      <c r="H147" s="103"/>
      <c r="I147" s="103"/>
      <c r="J147" s="103"/>
      <c r="K147" s="100"/>
      <c r="L147" s="106"/>
      <c r="M147" s="106"/>
      <c r="N147" s="106"/>
      <c r="O147" s="458"/>
      <c r="P147" s="459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</row>
    <row r="148" spans="1:28" ht="19.5" hidden="1" thickBot="1" x14ac:dyDescent="0.35">
      <c r="A148" s="116"/>
      <c r="B148" s="103"/>
      <c r="C148" s="103"/>
      <c r="D148" s="103"/>
      <c r="E148" s="103"/>
      <c r="F148" s="103"/>
      <c r="G148" s="103"/>
      <c r="H148" s="103"/>
      <c r="I148" s="103"/>
      <c r="J148" s="103"/>
      <c r="K148" s="100"/>
      <c r="L148" s="106"/>
      <c r="M148" s="106"/>
      <c r="N148" s="106"/>
      <c r="O148" s="458"/>
      <c r="P148" s="459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</row>
    <row r="149" spans="1:28" ht="19.5" hidden="1" thickBot="1" x14ac:dyDescent="0.35">
      <c r="A149" s="117"/>
      <c r="B149" s="103"/>
      <c r="C149" s="103"/>
      <c r="D149" s="103"/>
      <c r="E149" s="103"/>
      <c r="F149" s="103"/>
      <c r="G149" s="103"/>
      <c r="H149" s="103"/>
      <c r="I149" s="103"/>
      <c r="J149" s="103"/>
      <c r="K149" s="100"/>
      <c r="L149" s="106"/>
      <c r="M149" s="106"/>
      <c r="N149" s="106"/>
      <c r="O149" s="458"/>
      <c r="P149" s="459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</row>
    <row r="150" spans="1:28" ht="19.5" hidden="1" thickBot="1" x14ac:dyDescent="0.35">
      <c r="A150" s="116"/>
      <c r="B150" s="103"/>
      <c r="C150" s="103"/>
      <c r="D150" s="103"/>
      <c r="E150" s="103"/>
      <c r="F150" s="103"/>
      <c r="G150" s="103"/>
      <c r="H150" s="103"/>
      <c r="I150" s="103"/>
      <c r="J150" s="103"/>
      <c r="K150" s="100"/>
      <c r="L150" s="106"/>
      <c r="M150" s="106"/>
      <c r="N150" s="106"/>
      <c r="O150" s="458"/>
      <c r="P150" s="459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</row>
    <row r="151" spans="1:28" ht="19.5" hidden="1" thickBot="1" x14ac:dyDescent="0.35">
      <c r="A151" s="117"/>
      <c r="B151" s="103"/>
      <c r="C151" s="103"/>
      <c r="D151" s="103"/>
      <c r="E151" s="103"/>
      <c r="F151" s="103"/>
      <c r="G151" s="103"/>
      <c r="H151" s="103"/>
      <c r="I151" s="103"/>
      <c r="J151" s="103"/>
      <c r="K151" s="100"/>
      <c r="L151" s="106"/>
      <c r="M151" s="106"/>
      <c r="N151" s="106"/>
      <c r="O151" s="458"/>
      <c r="P151" s="459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</row>
    <row r="152" spans="1:28" ht="19.5" hidden="1" thickBot="1" x14ac:dyDescent="0.35">
      <c r="A152" s="116"/>
      <c r="B152" s="103"/>
      <c r="C152" s="103"/>
      <c r="D152" s="103"/>
      <c r="E152" s="103"/>
      <c r="F152" s="103"/>
      <c r="G152" s="103"/>
      <c r="H152" s="103"/>
      <c r="I152" s="103"/>
      <c r="J152" s="103"/>
      <c r="K152" s="100"/>
      <c r="L152" s="106"/>
      <c r="M152" s="106"/>
      <c r="N152" s="106"/>
      <c r="O152" s="458"/>
      <c r="P152" s="459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</row>
    <row r="153" spans="1:28" ht="19.5" hidden="1" thickBot="1" x14ac:dyDescent="0.35">
      <c r="A153" s="117"/>
      <c r="B153" s="103"/>
      <c r="C153" s="103"/>
      <c r="D153" s="103"/>
      <c r="E153" s="103"/>
      <c r="F153" s="103"/>
      <c r="G153" s="103"/>
      <c r="H153" s="103"/>
      <c r="I153" s="103"/>
      <c r="J153" s="103"/>
      <c r="K153" s="100"/>
      <c r="L153" s="106"/>
      <c r="M153" s="106"/>
      <c r="N153" s="106"/>
      <c r="O153" s="458"/>
      <c r="P153" s="459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</row>
    <row r="154" spans="1:28" ht="19.5" hidden="1" thickBot="1" x14ac:dyDescent="0.35">
      <c r="A154" s="116"/>
      <c r="B154" s="103"/>
      <c r="C154" s="103"/>
      <c r="D154" s="103"/>
      <c r="E154" s="103"/>
      <c r="F154" s="103"/>
      <c r="G154" s="103"/>
      <c r="H154" s="103"/>
      <c r="I154" s="103"/>
      <c r="J154" s="103"/>
      <c r="K154" s="100"/>
      <c r="L154" s="106"/>
      <c r="M154" s="106"/>
      <c r="N154" s="106"/>
      <c r="O154" s="458"/>
      <c r="P154" s="459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</row>
    <row r="155" spans="1:28" ht="19.5" hidden="1" thickBot="1" x14ac:dyDescent="0.35">
      <c r="A155" s="117"/>
      <c r="B155" s="103"/>
      <c r="C155" s="103"/>
      <c r="D155" s="103"/>
      <c r="E155" s="103"/>
      <c r="F155" s="103"/>
      <c r="G155" s="103"/>
      <c r="H155" s="103"/>
      <c r="I155" s="103"/>
      <c r="J155" s="103"/>
      <c r="K155" s="100"/>
      <c r="L155" s="106"/>
      <c r="M155" s="106"/>
      <c r="N155" s="106"/>
      <c r="O155" s="458"/>
      <c r="P155" s="459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</row>
    <row r="156" spans="1:28" ht="19.5" hidden="1" thickBot="1" x14ac:dyDescent="0.35">
      <c r="A156" s="116"/>
      <c r="B156" s="103"/>
      <c r="C156" s="103"/>
      <c r="D156" s="103"/>
      <c r="E156" s="103"/>
      <c r="F156" s="103"/>
      <c r="G156" s="103"/>
      <c r="H156" s="103"/>
      <c r="I156" s="103"/>
      <c r="J156" s="103"/>
      <c r="K156" s="100"/>
      <c r="L156" s="106"/>
      <c r="M156" s="106"/>
      <c r="N156" s="106"/>
      <c r="O156" s="458"/>
      <c r="P156" s="459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</row>
    <row r="157" spans="1:28" ht="19.5" hidden="1" thickBot="1" x14ac:dyDescent="0.35">
      <c r="A157" s="117"/>
      <c r="B157" s="103"/>
      <c r="C157" s="103"/>
      <c r="D157" s="103"/>
      <c r="E157" s="103"/>
      <c r="F157" s="103"/>
      <c r="G157" s="103"/>
      <c r="H157" s="103"/>
      <c r="I157" s="103"/>
      <c r="J157" s="103"/>
      <c r="K157" s="100"/>
      <c r="L157" s="106"/>
      <c r="M157" s="106"/>
      <c r="N157" s="106"/>
      <c r="O157" s="458"/>
      <c r="P157" s="459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</row>
    <row r="158" spans="1:28" ht="19.5" hidden="1" thickBot="1" x14ac:dyDescent="0.35">
      <c r="A158" s="116"/>
      <c r="B158" s="103"/>
      <c r="C158" s="103"/>
      <c r="D158" s="103"/>
      <c r="E158" s="103"/>
      <c r="F158" s="103"/>
      <c r="G158" s="103"/>
      <c r="H158" s="103"/>
      <c r="I158" s="103"/>
      <c r="J158" s="103"/>
      <c r="K158" s="100"/>
      <c r="L158" s="106"/>
      <c r="M158" s="106"/>
      <c r="N158" s="106"/>
      <c r="O158" s="458"/>
      <c r="P158" s="459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</row>
    <row r="159" spans="1:28" ht="19.5" hidden="1" thickBot="1" x14ac:dyDescent="0.35">
      <c r="A159" s="117"/>
      <c r="B159" s="103"/>
      <c r="C159" s="103"/>
      <c r="D159" s="103"/>
      <c r="E159" s="103"/>
      <c r="F159" s="103"/>
      <c r="G159" s="103"/>
      <c r="H159" s="103"/>
      <c r="I159" s="103"/>
      <c r="J159" s="103"/>
      <c r="K159" s="100"/>
      <c r="L159" s="106"/>
      <c r="M159" s="106"/>
      <c r="N159" s="106"/>
      <c r="O159" s="458"/>
      <c r="P159" s="459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</row>
    <row r="160" spans="1:28" ht="19.5" hidden="1" thickBot="1" x14ac:dyDescent="0.35">
      <c r="A160" s="116"/>
      <c r="B160" s="103"/>
      <c r="C160" s="103"/>
      <c r="D160" s="103"/>
      <c r="E160" s="103"/>
      <c r="F160" s="103"/>
      <c r="G160" s="103"/>
      <c r="H160" s="103"/>
      <c r="I160" s="103"/>
      <c r="J160" s="103"/>
      <c r="K160" s="100"/>
      <c r="L160" s="106"/>
      <c r="M160" s="106"/>
      <c r="N160" s="106"/>
      <c r="O160" s="458"/>
      <c r="P160" s="459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</row>
    <row r="161" spans="1:28" ht="19.5" hidden="1" thickBot="1" x14ac:dyDescent="0.35">
      <c r="A161" s="117"/>
      <c r="B161" s="103"/>
      <c r="C161" s="103"/>
      <c r="D161" s="103"/>
      <c r="E161" s="103"/>
      <c r="F161" s="103"/>
      <c r="G161" s="103"/>
      <c r="H161" s="103"/>
      <c r="I161" s="103"/>
      <c r="J161" s="103"/>
      <c r="K161" s="100"/>
      <c r="L161" s="106"/>
      <c r="M161" s="106"/>
      <c r="N161" s="106"/>
      <c r="O161" s="458"/>
      <c r="P161" s="459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</row>
    <row r="162" spans="1:28" ht="19.5" hidden="1" thickBot="1" x14ac:dyDescent="0.35">
      <c r="A162" s="116"/>
      <c r="B162" s="103"/>
      <c r="C162" s="103"/>
      <c r="D162" s="103"/>
      <c r="E162" s="103"/>
      <c r="F162" s="103"/>
      <c r="G162" s="103"/>
      <c r="H162" s="103"/>
      <c r="I162" s="103"/>
      <c r="J162" s="103"/>
      <c r="K162" s="100"/>
      <c r="L162" s="106"/>
      <c r="M162" s="106"/>
      <c r="N162" s="106"/>
      <c r="O162" s="458"/>
      <c r="P162" s="459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</row>
    <row r="163" spans="1:28" ht="19.5" hidden="1" thickBot="1" x14ac:dyDescent="0.35">
      <c r="A163" s="117"/>
      <c r="B163" s="103"/>
      <c r="C163" s="103"/>
      <c r="D163" s="103"/>
      <c r="E163" s="103"/>
      <c r="F163" s="103"/>
      <c r="G163" s="103"/>
      <c r="H163" s="103"/>
      <c r="I163" s="103"/>
      <c r="J163" s="103"/>
      <c r="K163" s="100"/>
      <c r="L163" s="106"/>
      <c r="M163" s="106"/>
      <c r="N163" s="106"/>
      <c r="O163" s="458"/>
      <c r="P163" s="459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</row>
    <row r="164" spans="1:28" ht="19.5" hidden="1" thickBot="1" x14ac:dyDescent="0.35">
      <c r="A164" s="116"/>
      <c r="B164" s="103"/>
      <c r="C164" s="103"/>
      <c r="D164" s="103"/>
      <c r="E164" s="103"/>
      <c r="F164" s="103"/>
      <c r="G164" s="103"/>
      <c r="H164" s="103"/>
      <c r="I164" s="103"/>
      <c r="J164" s="103"/>
      <c r="K164" s="100"/>
      <c r="L164" s="106"/>
      <c r="M164" s="106"/>
      <c r="N164" s="106"/>
      <c r="O164" s="458"/>
      <c r="P164" s="459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</row>
    <row r="165" spans="1:28" ht="19.5" hidden="1" thickBot="1" x14ac:dyDescent="0.35">
      <c r="A165" s="117"/>
      <c r="B165" s="103"/>
      <c r="C165" s="103"/>
      <c r="D165" s="103"/>
      <c r="E165" s="103"/>
      <c r="F165" s="103"/>
      <c r="G165" s="103"/>
      <c r="H165" s="103"/>
      <c r="I165" s="103"/>
      <c r="J165" s="103"/>
      <c r="K165" s="100"/>
      <c r="L165" s="106"/>
      <c r="M165" s="106"/>
      <c r="N165" s="106"/>
      <c r="O165" s="458"/>
      <c r="P165" s="459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</row>
    <row r="166" spans="1:28" ht="19.5" hidden="1" thickBot="1" x14ac:dyDescent="0.35">
      <c r="A166" s="116"/>
      <c r="B166" s="103"/>
      <c r="C166" s="103"/>
      <c r="D166" s="103"/>
      <c r="E166" s="103"/>
      <c r="F166" s="103"/>
      <c r="G166" s="103"/>
      <c r="H166" s="103"/>
      <c r="I166" s="103"/>
      <c r="J166" s="103"/>
      <c r="K166" s="100"/>
      <c r="L166" s="106"/>
      <c r="M166" s="106"/>
      <c r="N166" s="106"/>
      <c r="O166" s="458"/>
      <c r="P166" s="459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</row>
    <row r="167" spans="1:28" ht="19.5" hidden="1" thickBot="1" x14ac:dyDescent="0.35">
      <c r="A167" s="117"/>
      <c r="B167" s="103"/>
      <c r="C167" s="103"/>
      <c r="D167" s="103"/>
      <c r="E167" s="103"/>
      <c r="F167" s="103"/>
      <c r="G167" s="103"/>
      <c r="H167" s="103"/>
      <c r="I167" s="103"/>
      <c r="J167" s="103"/>
      <c r="K167" s="100"/>
      <c r="L167" s="106"/>
      <c r="M167" s="106"/>
      <c r="N167" s="106"/>
      <c r="O167" s="458"/>
      <c r="P167" s="459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</row>
    <row r="168" spans="1:28" ht="19.5" hidden="1" thickBot="1" x14ac:dyDescent="0.35">
      <c r="A168" s="116"/>
      <c r="B168" s="103"/>
      <c r="C168" s="103"/>
      <c r="D168" s="103"/>
      <c r="E168" s="103"/>
      <c r="F168" s="103"/>
      <c r="G168" s="103"/>
      <c r="H168" s="103"/>
      <c r="I168" s="103"/>
      <c r="J168" s="103"/>
      <c r="K168" s="100"/>
      <c r="L168" s="106"/>
      <c r="M168" s="106"/>
      <c r="N168" s="106"/>
      <c r="O168" s="458"/>
      <c r="P168" s="459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</row>
    <row r="169" spans="1:28" ht="19.5" hidden="1" thickBot="1" x14ac:dyDescent="0.35">
      <c r="A169" s="117"/>
      <c r="B169" s="103"/>
      <c r="C169" s="103"/>
      <c r="D169" s="103"/>
      <c r="E169" s="103"/>
      <c r="F169" s="103"/>
      <c r="G169" s="103"/>
      <c r="H169" s="103"/>
      <c r="I169" s="103"/>
      <c r="J169" s="103"/>
      <c r="K169" s="100"/>
      <c r="L169" s="106"/>
      <c r="M169" s="106"/>
      <c r="N169" s="106"/>
      <c r="O169" s="458"/>
      <c r="P169" s="459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</row>
    <row r="170" spans="1:28" ht="19.5" hidden="1" thickBot="1" x14ac:dyDescent="0.35">
      <c r="A170" s="116"/>
      <c r="B170" s="103"/>
      <c r="C170" s="103"/>
      <c r="D170" s="103"/>
      <c r="E170" s="103"/>
      <c r="F170" s="103"/>
      <c r="G170" s="103"/>
      <c r="H170" s="103"/>
      <c r="I170" s="103"/>
      <c r="J170" s="103"/>
      <c r="K170" s="100"/>
      <c r="L170" s="106"/>
      <c r="M170" s="106"/>
      <c r="N170" s="106"/>
      <c r="O170" s="458"/>
      <c r="P170" s="459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</row>
    <row r="171" spans="1:28" ht="19.5" hidden="1" thickBot="1" x14ac:dyDescent="0.35">
      <c r="A171" s="117"/>
      <c r="B171" s="103"/>
      <c r="C171" s="103"/>
      <c r="D171" s="103"/>
      <c r="E171" s="103"/>
      <c r="F171" s="103"/>
      <c r="G171" s="103"/>
      <c r="H171" s="103"/>
      <c r="I171" s="103"/>
      <c r="J171" s="103"/>
      <c r="K171" s="100"/>
      <c r="L171" s="106"/>
      <c r="M171" s="106"/>
      <c r="N171" s="106"/>
      <c r="O171" s="458"/>
      <c r="P171" s="459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</row>
    <row r="172" spans="1:28" ht="19.5" hidden="1" thickBot="1" x14ac:dyDescent="0.35">
      <c r="A172" s="116"/>
      <c r="B172" s="103"/>
      <c r="C172" s="103"/>
      <c r="D172" s="103"/>
      <c r="E172" s="103"/>
      <c r="F172" s="103"/>
      <c r="G172" s="103"/>
      <c r="H172" s="103"/>
      <c r="I172" s="103"/>
      <c r="J172" s="103"/>
      <c r="K172" s="100"/>
      <c r="L172" s="106"/>
      <c r="M172" s="106"/>
      <c r="N172" s="106"/>
      <c r="O172" s="458"/>
      <c r="P172" s="459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</row>
    <row r="173" spans="1:28" ht="19.5" hidden="1" thickBot="1" x14ac:dyDescent="0.35">
      <c r="A173" s="117"/>
      <c r="B173" s="103"/>
      <c r="C173" s="103"/>
      <c r="D173" s="103"/>
      <c r="E173" s="103"/>
      <c r="F173" s="103"/>
      <c r="G173" s="103"/>
      <c r="H173" s="103"/>
      <c r="I173" s="103"/>
      <c r="J173" s="103"/>
      <c r="K173" s="100"/>
      <c r="L173" s="106"/>
      <c r="M173" s="106"/>
      <c r="N173" s="106"/>
      <c r="O173" s="458"/>
      <c r="P173" s="459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</row>
    <row r="174" spans="1:28" ht="19.5" hidden="1" thickBot="1" x14ac:dyDescent="0.35">
      <c r="A174" s="116"/>
      <c r="B174" s="103"/>
      <c r="C174" s="103"/>
      <c r="D174" s="103"/>
      <c r="E174" s="103"/>
      <c r="F174" s="103"/>
      <c r="G174" s="103"/>
      <c r="H174" s="103"/>
      <c r="I174" s="103"/>
      <c r="J174" s="103"/>
      <c r="K174" s="100"/>
      <c r="L174" s="106"/>
      <c r="M174" s="106"/>
      <c r="N174" s="106"/>
      <c r="O174" s="458"/>
      <c r="P174" s="459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</row>
    <row r="175" spans="1:28" ht="19.5" hidden="1" thickBot="1" x14ac:dyDescent="0.35">
      <c r="A175" s="117"/>
      <c r="B175" s="103"/>
      <c r="C175" s="103"/>
      <c r="D175" s="103"/>
      <c r="E175" s="103"/>
      <c r="F175" s="103"/>
      <c r="G175" s="103"/>
      <c r="H175" s="103"/>
      <c r="I175" s="103"/>
      <c r="J175" s="103"/>
      <c r="K175" s="100"/>
      <c r="L175" s="106"/>
      <c r="M175" s="106"/>
      <c r="N175" s="106"/>
      <c r="O175" s="458"/>
      <c r="P175" s="459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</row>
    <row r="176" spans="1:28" ht="19.5" hidden="1" thickBot="1" x14ac:dyDescent="0.35">
      <c r="A176" s="116"/>
      <c r="B176" s="103"/>
      <c r="C176" s="103"/>
      <c r="D176" s="103"/>
      <c r="E176" s="103"/>
      <c r="F176" s="103"/>
      <c r="G176" s="103"/>
      <c r="H176" s="103"/>
      <c r="I176" s="103"/>
      <c r="J176" s="103"/>
      <c r="K176" s="100"/>
      <c r="L176" s="106"/>
      <c r="M176" s="106"/>
      <c r="N176" s="106"/>
      <c r="O176" s="458"/>
      <c r="P176" s="459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</row>
    <row r="177" spans="1:28" ht="19.5" hidden="1" thickBot="1" x14ac:dyDescent="0.35">
      <c r="A177" s="117"/>
      <c r="B177" s="103"/>
      <c r="C177" s="103"/>
      <c r="D177" s="103"/>
      <c r="E177" s="103"/>
      <c r="F177" s="103"/>
      <c r="G177" s="103"/>
      <c r="H177" s="103"/>
      <c r="I177" s="103"/>
      <c r="J177" s="103"/>
      <c r="K177" s="100"/>
      <c r="L177" s="106"/>
      <c r="M177" s="106"/>
      <c r="N177" s="106"/>
      <c r="O177" s="458"/>
      <c r="P177" s="459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</row>
    <row r="178" spans="1:28" ht="19.5" hidden="1" thickBot="1" x14ac:dyDescent="0.35">
      <c r="A178" s="116"/>
      <c r="B178" s="103"/>
      <c r="C178" s="103"/>
      <c r="D178" s="103"/>
      <c r="E178" s="103"/>
      <c r="F178" s="103"/>
      <c r="G178" s="103"/>
      <c r="H178" s="103"/>
      <c r="I178" s="103"/>
      <c r="J178" s="103"/>
      <c r="K178" s="100"/>
      <c r="L178" s="106"/>
      <c r="M178" s="106"/>
      <c r="N178" s="106"/>
      <c r="O178" s="458"/>
      <c r="P178" s="459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</row>
    <row r="179" spans="1:28" ht="19.5" hidden="1" thickBot="1" x14ac:dyDescent="0.35">
      <c r="A179" s="117"/>
      <c r="B179" s="103"/>
      <c r="C179" s="103"/>
      <c r="D179" s="103"/>
      <c r="E179" s="103"/>
      <c r="F179" s="103"/>
      <c r="G179" s="103"/>
      <c r="H179" s="103"/>
      <c r="I179" s="103"/>
      <c r="J179" s="103"/>
      <c r="K179" s="100"/>
      <c r="L179" s="106"/>
      <c r="M179" s="106"/>
      <c r="N179" s="106"/>
      <c r="O179" s="458"/>
      <c r="P179" s="459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</row>
    <row r="180" spans="1:28" ht="19.5" hidden="1" thickBot="1" x14ac:dyDescent="0.35">
      <c r="A180" s="116"/>
      <c r="B180" s="103"/>
      <c r="C180" s="103"/>
      <c r="D180" s="103"/>
      <c r="E180" s="103"/>
      <c r="F180" s="103"/>
      <c r="G180" s="103"/>
      <c r="H180" s="103"/>
      <c r="I180" s="103"/>
      <c r="J180" s="103"/>
      <c r="K180" s="100"/>
      <c r="L180" s="106"/>
      <c r="M180" s="106"/>
      <c r="N180" s="106"/>
      <c r="O180" s="458"/>
      <c r="P180" s="459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</row>
    <row r="181" spans="1:28" ht="19.5" hidden="1" thickBot="1" x14ac:dyDescent="0.35">
      <c r="A181" s="117"/>
      <c r="B181" s="103"/>
      <c r="C181" s="103"/>
      <c r="D181" s="103"/>
      <c r="E181" s="103"/>
      <c r="F181" s="103"/>
      <c r="G181" s="103"/>
      <c r="H181" s="103"/>
      <c r="I181" s="103"/>
      <c r="J181" s="103"/>
      <c r="K181" s="100"/>
      <c r="L181" s="106"/>
      <c r="M181" s="106"/>
      <c r="N181" s="106"/>
      <c r="O181" s="458"/>
      <c r="P181" s="459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</row>
    <row r="182" spans="1:28" ht="19.5" hidden="1" thickBot="1" x14ac:dyDescent="0.35">
      <c r="A182" s="116"/>
      <c r="B182" s="103"/>
      <c r="C182" s="103"/>
      <c r="D182" s="103"/>
      <c r="E182" s="103"/>
      <c r="F182" s="103"/>
      <c r="G182" s="103"/>
      <c r="H182" s="103"/>
      <c r="I182" s="103"/>
      <c r="J182" s="103"/>
      <c r="K182" s="100"/>
      <c r="L182" s="106"/>
      <c r="M182" s="106"/>
      <c r="N182" s="106"/>
      <c r="O182" s="458"/>
      <c r="P182" s="459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</row>
    <row r="183" spans="1:28" ht="19.5" hidden="1" thickBot="1" x14ac:dyDescent="0.35">
      <c r="A183" s="117"/>
      <c r="B183" s="103"/>
      <c r="C183" s="103"/>
      <c r="D183" s="103"/>
      <c r="E183" s="103"/>
      <c r="F183" s="103"/>
      <c r="G183" s="103"/>
      <c r="H183" s="103"/>
      <c r="I183" s="103"/>
      <c r="J183" s="103"/>
      <c r="K183" s="100"/>
      <c r="L183" s="106"/>
      <c r="M183" s="106"/>
      <c r="N183" s="106"/>
      <c r="O183" s="458"/>
      <c r="P183" s="459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</row>
    <row r="184" spans="1:28" ht="19.5" hidden="1" thickBot="1" x14ac:dyDescent="0.35">
      <c r="A184" s="116"/>
      <c r="B184" s="103"/>
      <c r="C184" s="103"/>
      <c r="D184" s="103"/>
      <c r="E184" s="103"/>
      <c r="F184" s="103"/>
      <c r="G184" s="103"/>
      <c r="H184" s="103"/>
      <c r="I184" s="103"/>
      <c r="J184" s="103"/>
      <c r="K184" s="100"/>
      <c r="L184" s="106"/>
      <c r="M184" s="106"/>
      <c r="N184" s="106"/>
      <c r="O184" s="458"/>
      <c r="P184" s="459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</row>
    <row r="185" spans="1:28" ht="19.5" hidden="1" thickBot="1" x14ac:dyDescent="0.35">
      <c r="A185" s="117"/>
      <c r="B185" s="103"/>
      <c r="C185" s="103"/>
      <c r="D185" s="103"/>
      <c r="E185" s="103"/>
      <c r="F185" s="103"/>
      <c r="G185" s="103"/>
      <c r="H185" s="103"/>
      <c r="I185" s="103"/>
      <c r="J185" s="103"/>
      <c r="K185" s="100"/>
      <c r="L185" s="106"/>
      <c r="M185" s="106"/>
      <c r="N185" s="106"/>
      <c r="O185" s="458"/>
      <c r="P185" s="459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</row>
    <row r="186" spans="1:28" ht="19.5" hidden="1" thickBot="1" x14ac:dyDescent="0.35">
      <c r="A186" s="116"/>
      <c r="B186" s="103"/>
      <c r="C186" s="103"/>
      <c r="D186" s="103"/>
      <c r="E186" s="103"/>
      <c r="F186" s="103"/>
      <c r="G186" s="103"/>
      <c r="H186" s="103"/>
      <c r="I186" s="103"/>
      <c r="J186" s="103"/>
      <c r="K186" s="100"/>
      <c r="L186" s="106"/>
      <c r="M186" s="106"/>
      <c r="N186" s="106"/>
      <c r="O186" s="458"/>
      <c r="P186" s="459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</row>
    <row r="187" spans="1:28" ht="19.5" hidden="1" thickBot="1" x14ac:dyDescent="0.35">
      <c r="A187" s="117"/>
      <c r="B187" s="103"/>
      <c r="C187" s="103"/>
      <c r="D187" s="103"/>
      <c r="E187" s="103"/>
      <c r="F187" s="103"/>
      <c r="G187" s="103"/>
      <c r="H187" s="103"/>
      <c r="I187" s="103"/>
      <c r="J187" s="103"/>
      <c r="K187" s="100"/>
      <c r="L187" s="106"/>
      <c r="M187" s="106"/>
      <c r="N187" s="106"/>
      <c r="O187" s="458"/>
      <c r="P187" s="459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</row>
    <row r="188" spans="1:28" ht="19.5" hidden="1" thickBot="1" x14ac:dyDescent="0.35">
      <c r="A188" s="116"/>
      <c r="B188" s="103"/>
      <c r="C188" s="103"/>
      <c r="D188" s="103"/>
      <c r="E188" s="103"/>
      <c r="F188" s="103"/>
      <c r="G188" s="103"/>
      <c r="H188" s="103"/>
      <c r="I188" s="103"/>
      <c r="J188" s="103"/>
      <c r="K188" s="100"/>
      <c r="L188" s="106"/>
      <c r="M188" s="106"/>
      <c r="N188" s="106"/>
      <c r="O188" s="458"/>
      <c r="P188" s="459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</row>
    <row r="189" spans="1:28" ht="19.5" hidden="1" thickBot="1" x14ac:dyDescent="0.35">
      <c r="A189" s="117"/>
      <c r="B189" s="103"/>
      <c r="C189" s="103"/>
      <c r="D189" s="103"/>
      <c r="E189" s="103"/>
      <c r="F189" s="103"/>
      <c r="G189" s="103"/>
      <c r="H189" s="103"/>
      <c r="I189" s="103"/>
      <c r="J189" s="103"/>
      <c r="K189" s="100"/>
      <c r="L189" s="106"/>
      <c r="M189" s="106"/>
      <c r="N189" s="106"/>
      <c r="O189" s="458"/>
      <c r="P189" s="459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</row>
    <row r="190" spans="1:28" ht="19.5" hidden="1" thickBot="1" x14ac:dyDescent="0.35">
      <c r="A190" s="116"/>
      <c r="B190" s="103"/>
      <c r="C190" s="103"/>
      <c r="D190" s="103"/>
      <c r="E190" s="103"/>
      <c r="F190" s="103"/>
      <c r="G190" s="103"/>
      <c r="H190" s="103"/>
      <c r="I190" s="103"/>
      <c r="J190" s="103"/>
      <c r="K190" s="100"/>
      <c r="L190" s="106"/>
      <c r="M190" s="106"/>
      <c r="N190" s="106"/>
      <c r="O190" s="458"/>
      <c r="P190" s="459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</row>
    <row r="191" spans="1:28" ht="19.5" hidden="1" thickBot="1" x14ac:dyDescent="0.35">
      <c r="A191" s="117"/>
      <c r="B191" s="103"/>
      <c r="C191" s="103"/>
      <c r="D191" s="103"/>
      <c r="E191" s="103"/>
      <c r="F191" s="103"/>
      <c r="G191" s="103"/>
      <c r="H191" s="103"/>
      <c r="I191" s="103"/>
      <c r="J191" s="103"/>
      <c r="K191" s="100"/>
      <c r="L191" s="106"/>
      <c r="M191" s="106"/>
      <c r="N191" s="106"/>
      <c r="O191" s="458"/>
      <c r="P191" s="459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</row>
    <row r="192" spans="1:28" ht="19.5" hidden="1" thickBot="1" x14ac:dyDescent="0.35">
      <c r="A192" s="116"/>
      <c r="B192" s="103"/>
      <c r="C192" s="103"/>
      <c r="D192" s="103"/>
      <c r="E192" s="103"/>
      <c r="F192" s="103"/>
      <c r="G192" s="103"/>
      <c r="H192" s="103"/>
      <c r="I192" s="103"/>
      <c r="J192" s="103"/>
      <c r="K192" s="100"/>
      <c r="L192" s="106"/>
      <c r="M192" s="106"/>
      <c r="N192" s="106"/>
      <c r="O192" s="458"/>
      <c r="P192" s="459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</row>
    <row r="193" spans="1:28" ht="19.5" hidden="1" thickBot="1" x14ac:dyDescent="0.35">
      <c r="A193" s="117"/>
      <c r="B193" s="103"/>
      <c r="C193" s="103"/>
      <c r="D193" s="103"/>
      <c r="E193" s="103"/>
      <c r="F193" s="103"/>
      <c r="G193" s="103"/>
      <c r="H193" s="103"/>
      <c r="I193" s="103"/>
      <c r="J193" s="103"/>
      <c r="K193" s="100"/>
      <c r="L193" s="106"/>
      <c r="M193" s="106"/>
      <c r="N193" s="106"/>
      <c r="O193" s="458"/>
      <c r="P193" s="459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</row>
    <row r="194" spans="1:28" ht="19.5" hidden="1" thickBot="1" x14ac:dyDescent="0.35">
      <c r="A194" s="116"/>
      <c r="B194" s="103"/>
      <c r="C194" s="103"/>
      <c r="D194" s="103"/>
      <c r="E194" s="103"/>
      <c r="F194" s="103"/>
      <c r="G194" s="103"/>
      <c r="H194" s="103"/>
      <c r="I194" s="103"/>
      <c r="J194" s="103"/>
      <c r="K194" s="100"/>
      <c r="L194" s="106"/>
      <c r="M194" s="106"/>
      <c r="N194" s="106"/>
      <c r="O194" s="458"/>
      <c r="P194" s="459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</row>
    <row r="195" spans="1:28" ht="19.5" hidden="1" thickBot="1" x14ac:dyDescent="0.35">
      <c r="A195" s="117"/>
      <c r="B195" s="103"/>
      <c r="C195" s="103"/>
      <c r="D195" s="103"/>
      <c r="E195" s="103"/>
      <c r="F195" s="103"/>
      <c r="G195" s="103"/>
      <c r="H195" s="103"/>
      <c r="I195" s="103"/>
      <c r="J195" s="103"/>
      <c r="K195" s="100"/>
      <c r="L195" s="106"/>
      <c r="M195" s="106"/>
      <c r="N195" s="106"/>
      <c r="O195" s="458"/>
      <c r="P195" s="459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</row>
    <row r="196" spans="1:28" ht="19.5" hidden="1" thickBot="1" x14ac:dyDescent="0.35">
      <c r="A196" s="116"/>
      <c r="B196" s="103"/>
      <c r="C196" s="103"/>
      <c r="D196" s="103"/>
      <c r="E196" s="103"/>
      <c r="F196" s="103"/>
      <c r="G196" s="103"/>
      <c r="H196" s="103"/>
      <c r="I196" s="103"/>
      <c r="J196" s="103"/>
      <c r="K196" s="100"/>
      <c r="L196" s="106"/>
      <c r="M196" s="106"/>
      <c r="N196" s="106"/>
      <c r="O196" s="458"/>
      <c r="P196" s="459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</row>
    <row r="197" spans="1:28" ht="19.5" hidden="1" thickBot="1" x14ac:dyDescent="0.35">
      <c r="A197" s="117"/>
      <c r="B197" s="103"/>
      <c r="C197" s="103"/>
      <c r="D197" s="103"/>
      <c r="E197" s="103"/>
      <c r="F197" s="103"/>
      <c r="G197" s="103"/>
      <c r="H197" s="103"/>
      <c r="I197" s="103"/>
      <c r="J197" s="103"/>
      <c r="K197" s="100"/>
      <c r="L197" s="106"/>
      <c r="M197" s="106"/>
      <c r="N197" s="106"/>
      <c r="O197" s="458"/>
      <c r="P197" s="459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</row>
    <row r="198" spans="1:28" ht="19.5" hidden="1" thickBot="1" x14ac:dyDescent="0.35">
      <c r="A198" s="116"/>
      <c r="B198" s="103"/>
      <c r="C198" s="103"/>
      <c r="D198" s="103"/>
      <c r="E198" s="103"/>
      <c r="F198" s="103"/>
      <c r="G198" s="103"/>
      <c r="H198" s="103"/>
      <c r="I198" s="103"/>
      <c r="J198" s="103"/>
      <c r="K198" s="100"/>
      <c r="L198" s="106"/>
      <c r="M198" s="106"/>
      <c r="N198" s="106"/>
      <c r="O198" s="458"/>
      <c r="P198" s="459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</row>
    <row r="199" spans="1:28" ht="19.5" hidden="1" thickBot="1" x14ac:dyDescent="0.35">
      <c r="A199" s="117"/>
      <c r="B199" s="103"/>
      <c r="C199" s="103"/>
      <c r="D199" s="103"/>
      <c r="E199" s="103"/>
      <c r="F199" s="103"/>
      <c r="G199" s="103"/>
      <c r="H199" s="103"/>
      <c r="I199" s="103"/>
      <c r="J199" s="103"/>
      <c r="K199" s="100"/>
      <c r="L199" s="106"/>
      <c r="M199" s="106"/>
      <c r="N199" s="106"/>
      <c r="O199" s="458"/>
      <c r="P199" s="459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</row>
    <row r="200" spans="1:28" ht="19.5" hidden="1" thickBot="1" x14ac:dyDescent="0.35">
      <c r="A200" s="116"/>
      <c r="B200" s="103"/>
      <c r="C200" s="103"/>
      <c r="D200" s="103"/>
      <c r="E200" s="103"/>
      <c r="F200" s="103"/>
      <c r="G200" s="103"/>
      <c r="H200" s="103"/>
      <c r="I200" s="103"/>
      <c r="J200" s="103"/>
      <c r="K200" s="100"/>
      <c r="L200" s="106"/>
      <c r="M200" s="106"/>
      <c r="N200" s="106"/>
      <c r="O200" s="458"/>
      <c r="P200" s="459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</row>
    <row r="201" spans="1:28" ht="19.5" hidden="1" thickBot="1" x14ac:dyDescent="0.35">
      <c r="A201" s="117"/>
      <c r="B201" s="103"/>
      <c r="C201" s="103"/>
      <c r="D201" s="103"/>
      <c r="E201" s="103"/>
      <c r="F201" s="103"/>
      <c r="G201" s="103"/>
      <c r="H201" s="103"/>
      <c r="I201" s="103"/>
      <c r="J201" s="103"/>
      <c r="K201" s="100"/>
      <c r="L201" s="106"/>
      <c r="M201" s="106"/>
      <c r="N201" s="106"/>
      <c r="O201" s="458"/>
      <c r="P201" s="459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</row>
    <row r="202" spans="1:28" ht="19.5" hidden="1" thickBot="1" x14ac:dyDescent="0.35">
      <c r="A202" s="116"/>
      <c r="B202" s="103"/>
      <c r="C202" s="103"/>
      <c r="D202" s="103"/>
      <c r="E202" s="103"/>
      <c r="F202" s="103"/>
      <c r="G202" s="103"/>
      <c r="H202" s="103"/>
      <c r="I202" s="103"/>
      <c r="J202" s="103"/>
      <c r="K202" s="100"/>
      <c r="L202" s="106"/>
      <c r="M202" s="106"/>
      <c r="N202" s="106"/>
      <c r="O202" s="458"/>
      <c r="P202" s="459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</row>
    <row r="203" spans="1:28" ht="19.5" hidden="1" thickBot="1" x14ac:dyDescent="0.35">
      <c r="A203" s="117"/>
      <c r="B203" s="103"/>
      <c r="C203" s="103"/>
      <c r="D203" s="103"/>
      <c r="E203" s="103"/>
      <c r="F203" s="103"/>
      <c r="G203" s="103"/>
      <c r="H203" s="103"/>
      <c r="I203" s="103"/>
      <c r="J203" s="103"/>
      <c r="K203" s="100"/>
      <c r="L203" s="106"/>
      <c r="M203" s="106"/>
      <c r="N203" s="106"/>
      <c r="O203" s="458"/>
      <c r="P203" s="459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</row>
    <row r="204" spans="1:28" ht="19.5" hidden="1" thickBot="1" x14ac:dyDescent="0.35">
      <c r="A204" s="116"/>
      <c r="B204" s="103"/>
      <c r="C204" s="103"/>
      <c r="D204" s="103"/>
      <c r="E204" s="103"/>
      <c r="F204" s="103"/>
      <c r="G204" s="103"/>
      <c r="H204" s="103"/>
      <c r="I204" s="103"/>
      <c r="J204" s="103"/>
      <c r="K204" s="100"/>
      <c r="L204" s="106"/>
      <c r="M204" s="106"/>
      <c r="N204" s="106"/>
      <c r="O204" s="458"/>
      <c r="P204" s="459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</row>
    <row r="205" spans="1:28" ht="19.5" hidden="1" thickBot="1" x14ac:dyDescent="0.35">
      <c r="A205" s="117"/>
      <c r="B205" s="103"/>
      <c r="C205" s="103"/>
      <c r="D205" s="103"/>
      <c r="E205" s="103"/>
      <c r="F205" s="103"/>
      <c r="G205" s="103"/>
      <c r="H205" s="103"/>
      <c r="I205" s="103"/>
      <c r="J205" s="103"/>
      <c r="K205" s="100"/>
      <c r="L205" s="106"/>
      <c r="M205" s="106"/>
      <c r="N205" s="106"/>
      <c r="O205" s="458"/>
      <c r="P205" s="459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</row>
    <row r="206" spans="1:28" ht="19.5" hidden="1" thickBot="1" x14ac:dyDescent="0.35">
      <c r="A206" s="116"/>
      <c r="B206" s="103"/>
      <c r="C206" s="103"/>
      <c r="D206" s="103"/>
      <c r="E206" s="103"/>
      <c r="F206" s="103"/>
      <c r="G206" s="103"/>
      <c r="H206" s="103"/>
      <c r="I206" s="103"/>
      <c r="J206" s="103"/>
      <c r="K206" s="100"/>
      <c r="L206" s="106"/>
      <c r="M206" s="106"/>
      <c r="N206" s="106"/>
      <c r="O206" s="458"/>
      <c r="P206" s="459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</row>
    <row r="207" spans="1:28" ht="19.5" hidden="1" thickBot="1" x14ac:dyDescent="0.35">
      <c r="A207" s="117"/>
      <c r="B207" s="103"/>
      <c r="C207" s="103"/>
      <c r="D207" s="103"/>
      <c r="E207" s="103"/>
      <c r="F207" s="103"/>
      <c r="G207" s="103"/>
      <c r="H207" s="103"/>
      <c r="I207" s="103"/>
      <c r="J207" s="103"/>
      <c r="K207" s="100"/>
      <c r="L207" s="106"/>
      <c r="M207" s="106"/>
      <c r="N207" s="106"/>
      <c r="O207" s="458"/>
      <c r="P207" s="459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</row>
    <row r="208" spans="1:28" ht="19.5" hidden="1" thickBot="1" x14ac:dyDescent="0.35">
      <c r="A208" s="116"/>
      <c r="B208" s="103"/>
      <c r="C208" s="103"/>
      <c r="D208" s="103"/>
      <c r="E208" s="103"/>
      <c r="F208" s="103"/>
      <c r="G208" s="103"/>
      <c r="H208" s="103"/>
      <c r="I208" s="103"/>
      <c r="J208" s="103"/>
      <c r="K208" s="100"/>
      <c r="L208" s="106"/>
      <c r="M208" s="106"/>
      <c r="N208" s="106"/>
      <c r="O208" s="458"/>
      <c r="P208" s="459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</row>
    <row r="209" spans="1:28" ht="19.5" hidden="1" thickBot="1" x14ac:dyDescent="0.35">
      <c r="A209" s="117"/>
      <c r="B209" s="103"/>
      <c r="C209" s="103"/>
      <c r="D209" s="103"/>
      <c r="E209" s="103"/>
      <c r="F209" s="103"/>
      <c r="G209" s="103"/>
      <c r="H209" s="103"/>
      <c r="I209" s="103"/>
      <c r="J209" s="103"/>
      <c r="K209" s="100"/>
      <c r="L209" s="106"/>
      <c r="M209" s="106"/>
      <c r="N209" s="106"/>
      <c r="O209" s="458"/>
      <c r="P209" s="459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</row>
    <row r="210" spans="1:28" ht="19.5" hidden="1" thickBot="1" x14ac:dyDescent="0.35">
      <c r="A210" s="116"/>
      <c r="B210" s="103"/>
      <c r="C210" s="103"/>
      <c r="D210" s="103"/>
      <c r="E210" s="103"/>
      <c r="F210" s="103"/>
      <c r="G210" s="103"/>
      <c r="H210" s="103"/>
      <c r="I210" s="103"/>
      <c r="J210" s="103"/>
      <c r="K210" s="100"/>
      <c r="L210" s="106"/>
      <c r="M210" s="106"/>
      <c r="N210" s="106"/>
      <c r="O210" s="458"/>
      <c r="P210" s="459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</row>
    <row r="211" spans="1:28" ht="19.5" hidden="1" thickBot="1" x14ac:dyDescent="0.35">
      <c r="A211" s="117"/>
      <c r="B211" s="103"/>
      <c r="C211" s="103"/>
      <c r="D211" s="103"/>
      <c r="E211" s="103"/>
      <c r="F211" s="103"/>
      <c r="G211" s="103"/>
      <c r="H211" s="103"/>
      <c r="I211" s="103"/>
      <c r="J211" s="103"/>
      <c r="K211" s="100"/>
      <c r="L211" s="106"/>
      <c r="M211" s="106"/>
      <c r="N211" s="106"/>
      <c r="O211" s="458"/>
      <c r="P211" s="459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</row>
    <row r="212" spans="1:28" ht="19.5" hidden="1" thickBot="1" x14ac:dyDescent="0.35">
      <c r="A212" s="116"/>
      <c r="B212" s="103"/>
      <c r="C212" s="103"/>
      <c r="D212" s="103"/>
      <c r="E212" s="103"/>
      <c r="F212" s="103"/>
      <c r="G212" s="103"/>
      <c r="H212" s="103"/>
      <c r="I212" s="103"/>
      <c r="J212" s="103"/>
      <c r="K212" s="100"/>
      <c r="L212" s="106"/>
      <c r="M212" s="106"/>
      <c r="N212" s="106"/>
      <c r="O212" s="458"/>
      <c r="P212" s="459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</row>
    <row r="213" spans="1:28" ht="19.5" hidden="1" thickBot="1" x14ac:dyDescent="0.35">
      <c r="A213" s="117"/>
      <c r="B213" s="103"/>
      <c r="C213" s="103"/>
      <c r="D213" s="103"/>
      <c r="E213" s="103"/>
      <c r="F213" s="103"/>
      <c r="G213" s="103"/>
      <c r="H213" s="103"/>
      <c r="I213" s="103"/>
      <c r="J213" s="103"/>
      <c r="K213" s="100"/>
      <c r="L213" s="106"/>
      <c r="M213" s="106"/>
      <c r="N213" s="106"/>
      <c r="O213" s="458"/>
      <c r="P213" s="459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</row>
    <row r="214" spans="1:28" ht="19.5" hidden="1" thickBot="1" x14ac:dyDescent="0.35">
      <c r="A214" s="116"/>
      <c r="B214" s="103"/>
      <c r="C214" s="103"/>
      <c r="D214" s="103"/>
      <c r="E214" s="103"/>
      <c r="F214" s="103"/>
      <c r="G214" s="103"/>
      <c r="H214" s="103"/>
      <c r="I214" s="103"/>
      <c r="J214" s="103"/>
      <c r="K214" s="100"/>
      <c r="L214" s="106"/>
      <c r="M214" s="106"/>
      <c r="N214" s="106"/>
      <c r="O214" s="458"/>
      <c r="P214" s="459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</row>
    <row r="215" spans="1:28" ht="19.5" hidden="1" thickBot="1" x14ac:dyDescent="0.35">
      <c r="A215" s="117"/>
      <c r="B215" s="103"/>
      <c r="C215" s="103"/>
      <c r="D215" s="103"/>
      <c r="E215" s="103"/>
      <c r="F215" s="103"/>
      <c r="G215" s="103"/>
      <c r="H215" s="103"/>
      <c r="I215" s="103"/>
      <c r="J215" s="103"/>
      <c r="K215" s="100"/>
      <c r="L215" s="106"/>
      <c r="M215" s="106"/>
      <c r="N215" s="106"/>
      <c r="O215" s="458"/>
      <c r="P215" s="459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</row>
    <row r="216" spans="1:28" ht="19.5" hidden="1" thickBot="1" x14ac:dyDescent="0.35">
      <c r="A216" s="116"/>
      <c r="B216" s="103"/>
      <c r="C216" s="103"/>
      <c r="D216" s="103"/>
      <c r="E216" s="103"/>
      <c r="F216" s="103"/>
      <c r="G216" s="103"/>
      <c r="H216" s="103"/>
      <c r="I216" s="103"/>
      <c r="J216" s="103"/>
      <c r="K216" s="100"/>
      <c r="L216" s="106"/>
      <c r="M216" s="106"/>
      <c r="N216" s="106"/>
      <c r="O216" s="458"/>
      <c r="P216" s="459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</row>
    <row r="217" spans="1:28" ht="19.5" hidden="1" thickBot="1" x14ac:dyDescent="0.35">
      <c r="A217" s="117"/>
      <c r="B217" s="103"/>
      <c r="C217" s="103"/>
      <c r="D217" s="103"/>
      <c r="E217" s="103"/>
      <c r="F217" s="103"/>
      <c r="G217" s="103"/>
      <c r="H217" s="103"/>
      <c r="I217" s="103"/>
      <c r="J217" s="103"/>
      <c r="K217" s="100"/>
      <c r="L217" s="106"/>
      <c r="M217" s="106"/>
      <c r="N217" s="106"/>
      <c r="O217" s="458"/>
      <c r="P217" s="459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</row>
    <row r="218" spans="1:28" ht="19.5" hidden="1" thickBot="1" x14ac:dyDescent="0.35">
      <c r="A218" s="116"/>
      <c r="B218" s="103"/>
      <c r="C218" s="103"/>
      <c r="D218" s="103"/>
      <c r="E218" s="103"/>
      <c r="F218" s="103"/>
      <c r="G218" s="103"/>
      <c r="H218" s="103"/>
      <c r="I218" s="103"/>
      <c r="J218" s="103"/>
      <c r="K218" s="100"/>
      <c r="L218" s="106"/>
      <c r="M218" s="106"/>
      <c r="N218" s="106"/>
      <c r="O218" s="458"/>
      <c r="P218" s="459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</row>
    <row r="219" spans="1:28" ht="19.5" hidden="1" thickBot="1" x14ac:dyDescent="0.35">
      <c r="A219" s="117"/>
      <c r="B219" s="103"/>
      <c r="C219" s="103"/>
      <c r="D219" s="103"/>
      <c r="E219" s="103"/>
      <c r="F219" s="103"/>
      <c r="G219" s="103"/>
      <c r="H219" s="103"/>
      <c r="I219" s="103"/>
      <c r="J219" s="103"/>
      <c r="K219" s="100"/>
      <c r="L219" s="106"/>
      <c r="M219" s="106"/>
      <c r="N219" s="106"/>
      <c r="O219" s="458"/>
      <c r="P219" s="459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</row>
    <row r="220" spans="1:28" ht="19.5" hidden="1" thickBot="1" x14ac:dyDescent="0.35">
      <c r="A220" s="116"/>
      <c r="B220" s="103"/>
      <c r="C220" s="103"/>
      <c r="D220" s="103"/>
      <c r="E220" s="103"/>
      <c r="F220" s="103"/>
      <c r="G220" s="103"/>
      <c r="H220" s="103"/>
      <c r="I220" s="103"/>
      <c r="J220" s="103"/>
      <c r="K220" s="100"/>
      <c r="L220" s="106"/>
      <c r="M220" s="106"/>
      <c r="N220" s="106"/>
      <c r="O220" s="458"/>
      <c r="P220" s="459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</row>
    <row r="221" spans="1:28" ht="19.5" hidden="1" thickBot="1" x14ac:dyDescent="0.35">
      <c r="A221" s="117"/>
      <c r="B221" s="103"/>
      <c r="C221" s="103"/>
      <c r="D221" s="103"/>
      <c r="E221" s="103"/>
      <c r="F221" s="103"/>
      <c r="G221" s="103"/>
      <c r="H221" s="103"/>
      <c r="I221" s="103"/>
      <c r="J221" s="103"/>
      <c r="K221" s="100"/>
      <c r="L221" s="106"/>
      <c r="M221" s="106"/>
      <c r="N221" s="106"/>
      <c r="O221" s="458"/>
      <c r="P221" s="459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</row>
    <row r="222" spans="1:28" ht="19.5" hidden="1" thickBot="1" x14ac:dyDescent="0.35">
      <c r="A222" s="116"/>
      <c r="B222" s="103"/>
      <c r="C222" s="103"/>
      <c r="D222" s="103"/>
      <c r="E222" s="103"/>
      <c r="F222" s="103"/>
      <c r="G222" s="103"/>
      <c r="H222" s="103"/>
      <c r="I222" s="103"/>
      <c r="J222" s="103"/>
      <c r="K222" s="100"/>
      <c r="L222" s="106"/>
      <c r="M222" s="106"/>
      <c r="N222" s="106"/>
      <c r="O222" s="458"/>
      <c r="P222" s="459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</row>
    <row r="223" spans="1:28" ht="19.5" hidden="1" thickBot="1" x14ac:dyDescent="0.35">
      <c r="A223" s="117"/>
      <c r="B223" s="103"/>
      <c r="C223" s="103"/>
      <c r="D223" s="103"/>
      <c r="E223" s="103"/>
      <c r="F223" s="103"/>
      <c r="G223" s="103"/>
      <c r="H223" s="103"/>
      <c r="I223" s="103"/>
      <c r="J223" s="103"/>
      <c r="K223" s="100"/>
      <c r="L223" s="106"/>
      <c r="M223" s="106"/>
      <c r="N223" s="106"/>
      <c r="O223" s="458"/>
      <c r="P223" s="459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</row>
    <row r="224" spans="1:28" ht="19.5" hidden="1" thickBot="1" x14ac:dyDescent="0.35">
      <c r="A224" s="116"/>
      <c r="B224" s="103"/>
      <c r="C224" s="103"/>
      <c r="D224" s="103"/>
      <c r="E224" s="103"/>
      <c r="F224" s="103"/>
      <c r="G224" s="103"/>
      <c r="H224" s="103"/>
      <c r="I224" s="103"/>
      <c r="J224" s="103"/>
      <c r="K224" s="100"/>
      <c r="L224" s="106"/>
      <c r="M224" s="106"/>
      <c r="N224" s="106"/>
      <c r="O224" s="458"/>
      <c r="P224" s="459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</row>
    <row r="225" spans="1:28" ht="19.5" hidden="1" thickBot="1" x14ac:dyDescent="0.35">
      <c r="A225" s="117"/>
      <c r="B225" s="103"/>
      <c r="C225" s="103"/>
      <c r="D225" s="103"/>
      <c r="E225" s="103"/>
      <c r="F225" s="103"/>
      <c r="G225" s="103"/>
      <c r="H225" s="103"/>
      <c r="I225" s="103"/>
      <c r="J225" s="103"/>
      <c r="K225" s="100"/>
      <c r="L225" s="106"/>
      <c r="M225" s="106"/>
      <c r="N225" s="106"/>
      <c r="O225" s="458"/>
      <c r="P225" s="459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</row>
    <row r="226" spans="1:28" ht="19.5" hidden="1" thickBot="1" x14ac:dyDescent="0.35">
      <c r="A226" s="116"/>
      <c r="B226" s="103"/>
      <c r="C226" s="103"/>
      <c r="D226" s="103"/>
      <c r="E226" s="103"/>
      <c r="F226" s="103"/>
      <c r="G226" s="103"/>
      <c r="H226" s="103"/>
      <c r="I226" s="103"/>
      <c r="J226" s="103"/>
      <c r="K226" s="100"/>
      <c r="L226" s="106"/>
      <c r="M226" s="106"/>
      <c r="N226" s="106"/>
      <c r="O226" s="458"/>
      <c r="P226" s="459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</row>
    <row r="227" spans="1:28" ht="19.5" hidden="1" thickBot="1" x14ac:dyDescent="0.35">
      <c r="A227" s="117"/>
      <c r="B227" s="103"/>
      <c r="C227" s="103"/>
      <c r="D227" s="103"/>
      <c r="E227" s="103"/>
      <c r="F227" s="103"/>
      <c r="G227" s="103"/>
      <c r="H227" s="103"/>
      <c r="I227" s="103"/>
      <c r="J227" s="103"/>
      <c r="K227" s="100"/>
      <c r="L227" s="106"/>
      <c r="M227" s="106"/>
      <c r="N227" s="106"/>
      <c r="O227" s="458"/>
      <c r="P227" s="459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</row>
    <row r="228" spans="1:28" ht="19.5" hidden="1" thickBot="1" x14ac:dyDescent="0.35">
      <c r="A228" s="116"/>
      <c r="B228" s="103"/>
      <c r="C228" s="103"/>
      <c r="D228" s="103"/>
      <c r="E228" s="103"/>
      <c r="F228" s="103"/>
      <c r="G228" s="103"/>
      <c r="H228" s="103"/>
      <c r="I228" s="103"/>
      <c r="J228" s="103"/>
      <c r="K228" s="100"/>
      <c r="L228" s="106"/>
      <c r="M228" s="106"/>
      <c r="N228" s="106"/>
      <c r="O228" s="458"/>
      <c r="P228" s="459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</row>
    <row r="229" spans="1:28" ht="19.5" hidden="1" thickBot="1" x14ac:dyDescent="0.35">
      <c r="A229" s="117"/>
      <c r="B229" s="103"/>
      <c r="C229" s="103"/>
      <c r="D229" s="103"/>
      <c r="E229" s="103"/>
      <c r="F229" s="103"/>
      <c r="G229" s="103"/>
      <c r="H229" s="103"/>
      <c r="I229" s="103"/>
      <c r="J229" s="103"/>
      <c r="K229" s="100"/>
      <c r="L229" s="106"/>
      <c r="M229" s="106"/>
      <c r="N229" s="106"/>
      <c r="O229" s="458"/>
      <c r="P229" s="459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</row>
    <row r="230" spans="1:28" ht="19.5" hidden="1" thickBot="1" x14ac:dyDescent="0.35">
      <c r="A230" s="116"/>
      <c r="B230" s="103"/>
      <c r="C230" s="103"/>
      <c r="D230" s="103"/>
      <c r="E230" s="103"/>
      <c r="F230" s="103"/>
      <c r="G230" s="103"/>
      <c r="H230" s="103"/>
      <c r="I230" s="103"/>
      <c r="J230" s="103"/>
      <c r="K230" s="100"/>
      <c r="L230" s="106"/>
      <c r="M230" s="106"/>
      <c r="N230" s="106"/>
      <c r="O230" s="458"/>
      <c r="P230" s="459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</row>
    <row r="231" spans="1:28" ht="19.5" hidden="1" thickBot="1" x14ac:dyDescent="0.35">
      <c r="A231" s="117"/>
      <c r="B231" s="103"/>
      <c r="C231" s="103"/>
      <c r="D231" s="103"/>
      <c r="E231" s="103"/>
      <c r="F231" s="103"/>
      <c r="G231" s="103"/>
      <c r="H231" s="103"/>
      <c r="I231" s="103"/>
      <c r="J231" s="103"/>
      <c r="K231" s="100"/>
      <c r="L231" s="106"/>
      <c r="M231" s="106"/>
      <c r="N231" s="106"/>
      <c r="O231" s="458"/>
      <c r="P231" s="459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</row>
    <row r="232" spans="1:28" ht="19.5" hidden="1" thickBot="1" x14ac:dyDescent="0.35">
      <c r="A232" s="116"/>
      <c r="B232" s="103"/>
      <c r="C232" s="103"/>
      <c r="D232" s="103"/>
      <c r="E232" s="103"/>
      <c r="F232" s="103"/>
      <c r="G232" s="103"/>
      <c r="H232" s="103"/>
      <c r="I232" s="103"/>
      <c r="J232" s="103"/>
      <c r="K232" s="100"/>
      <c r="L232" s="106"/>
      <c r="M232" s="106"/>
      <c r="N232" s="106"/>
      <c r="O232" s="458"/>
      <c r="P232" s="459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</row>
    <row r="233" spans="1:28" ht="19.5" hidden="1" thickBot="1" x14ac:dyDescent="0.35">
      <c r="A233" s="117"/>
      <c r="B233" s="103"/>
      <c r="C233" s="103"/>
      <c r="D233" s="103"/>
      <c r="E233" s="103"/>
      <c r="F233" s="103"/>
      <c r="G233" s="103"/>
      <c r="H233" s="103"/>
      <c r="I233" s="103"/>
      <c r="J233" s="103"/>
      <c r="K233" s="100"/>
      <c r="L233" s="106"/>
      <c r="M233" s="106"/>
      <c r="N233" s="106"/>
      <c r="O233" s="458"/>
      <c r="P233" s="459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</row>
    <row r="234" spans="1:28" ht="19.5" hidden="1" thickBot="1" x14ac:dyDescent="0.35">
      <c r="A234" s="116"/>
      <c r="B234" s="103"/>
      <c r="C234" s="103"/>
      <c r="D234" s="103"/>
      <c r="E234" s="103"/>
      <c r="F234" s="103"/>
      <c r="G234" s="103"/>
      <c r="H234" s="103"/>
      <c r="I234" s="103"/>
      <c r="J234" s="103"/>
      <c r="K234" s="100"/>
      <c r="L234" s="106"/>
      <c r="M234" s="106"/>
      <c r="N234" s="106"/>
      <c r="O234" s="458"/>
      <c r="P234" s="459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</row>
    <row r="235" spans="1:28" ht="19.5" hidden="1" thickBot="1" x14ac:dyDescent="0.35">
      <c r="A235" s="117"/>
      <c r="B235" s="103"/>
      <c r="C235" s="103"/>
      <c r="D235" s="103"/>
      <c r="E235" s="103"/>
      <c r="F235" s="103"/>
      <c r="G235" s="103"/>
      <c r="H235" s="103"/>
      <c r="I235" s="103"/>
      <c r="J235" s="103"/>
      <c r="K235" s="100"/>
      <c r="L235" s="106"/>
      <c r="M235" s="106"/>
      <c r="N235" s="106"/>
      <c r="O235" s="458"/>
      <c r="P235" s="459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</row>
    <row r="236" spans="1:28" ht="19.5" hidden="1" thickBot="1" x14ac:dyDescent="0.35">
      <c r="A236" s="116"/>
      <c r="B236" s="103"/>
      <c r="C236" s="103"/>
      <c r="D236" s="103"/>
      <c r="E236" s="103"/>
      <c r="F236" s="103"/>
      <c r="G236" s="103"/>
      <c r="H236" s="103"/>
      <c r="I236" s="103"/>
      <c r="J236" s="103"/>
      <c r="K236" s="100"/>
      <c r="L236" s="106"/>
      <c r="M236" s="106"/>
      <c r="N236" s="106"/>
      <c r="O236" s="458"/>
      <c r="P236" s="459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</row>
    <row r="237" spans="1:28" ht="19.5" hidden="1" thickBot="1" x14ac:dyDescent="0.35">
      <c r="A237" s="117"/>
      <c r="B237" s="103"/>
      <c r="C237" s="103"/>
      <c r="D237" s="103"/>
      <c r="E237" s="103"/>
      <c r="F237" s="103"/>
      <c r="G237" s="103"/>
      <c r="H237" s="103"/>
      <c r="I237" s="103"/>
      <c r="J237" s="103"/>
      <c r="K237" s="100"/>
      <c r="L237" s="106"/>
      <c r="M237" s="106"/>
      <c r="N237" s="106"/>
      <c r="O237" s="458"/>
      <c r="P237" s="459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</row>
    <row r="238" spans="1:28" ht="19.5" hidden="1" thickBot="1" x14ac:dyDescent="0.35">
      <c r="A238" s="116"/>
      <c r="B238" s="103"/>
      <c r="C238" s="103"/>
      <c r="D238" s="103"/>
      <c r="E238" s="103"/>
      <c r="F238" s="103"/>
      <c r="G238" s="103"/>
      <c r="H238" s="103"/>
      <c r="I238" s="103"/>
      <c r="J238" s="103"/>
      <c r="K238" s="100"/>
      <c r="L238" s="106"/>
      <c r="M238" s="106"/>
      <c r="N238" s="106"/>
      <c r="O238" s="458"/>
      <c r="P238" s="459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</row>
    <row r="239" spans="1:28" ht="19.5" hidden="1" thickBot="1" x14ac:dyDescent="0.35">
      <c r="A239" s="117"/>
      <c r="B239" s="103"/>
      <c r="C239" s="103"/>
      <c r="D239" s="103"/>
      <c r="E239" s="103"/>
      <c r="F239" s="103"/>
      <c r="G239" s="103"/>
      <c r="H239" s="103"/>
      <c r="I239" s="103"/>
      <c r="J239" s="103"/>
      <c r="K239" s="100"/>
      <c r="L239" s="106"/>
      <c r="M239" s="106"/>
      <c r="N239" s="106"/>
      <c r="O239" s="458"/>
      <c r="P239" s="459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</row>
    <row r="240" spans="1:28" ht="19.5" hidden="1" thickBot="1" x14ac:dyDescent="0.35">
      <c r="A240" s="116"/>
      <c r="B240" s="103"/>
      <c r="C240" s="103"/>
      <c r="D240" s="103"/>
      <c r="E240" s="103"/>
      <c r="F240" s="103"/>
      <c r="G240" s="103"/>
      <c r="H240" s="103"/>
      <c r="I240" s="103"/>
      <c r="J240" s="103"/>
      <c r="K240" s="100"/>
      <c r="L240" s="106"/>
      <c r="M240" s="106"/>
      <c r="N240" s="106"/>
      <c r="O240" s="458"/>
      <c r="P240" s="459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</row>
    <row r="241" spans="1:28" ht="19.5" hidden="1" thickBot="1" x14ac:dyDescent="0.35">
      <c r="A241" s="117"/>
      <c r="B241" s="103"/>
      <c r="C241" s="103"/>
      <c r="D241" s="103"/>
      <c r="E241" s="103"/>
      <c r="F241" s="103"/>
      <c r="G241" s="103"/>
      <c r="H241" s="103"/>
      <c r="I241" s="103"/>
      <c r="J241" s="103"/>
      <c r="K241" s="100"/>
      <c r="L241" s="106"/>
      <c r="M241" s="106"/>
      <c r="N241" s="106"/>
      <c r="O241" s="458"/>
      <c r="P241" s="459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</row>
    <row r="242" spans="1:28" ht="19.5" hidden="1" thickBot="1" x14ac:dyDescent="0.35">
      <c r="A242" s="116"/>
      <c r="B242" s="103"/>
      <c r="C242" s="103"/>
      <c r="D242" s="103"/>
      <c r="E242" s="103"/>
      <c r="F242" s="103"/>
      <c r="G242" s="103"/>
      <c r="H242" s="103"/>
      <c r="I242" s="103"/>
      <c r="J242" s="103"/>
      <c r="K242" s="100"/>
      <c r="L242" s="106"/>
      <c r="M242" s="106"/>
      <c r="N242" s="106"/>
      <c r="O242" s="458"/>
      <c r="P242" s="459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</row>
    <row r="243" spans="1:28" ht="19.5" hidden="1" thickBot="1" x14ac:dyDescent="0.35">
      <c r="A243" s="117"/>
      <c r="B243" s="103"/>
      <c r="C243" s="103"/>
      <c r="D243" s="103"/>
      <c r="E243" s="103"/>
      <c r="F243" s="103"/>
      <c r="G243" s="103"/>
      <c r="H243" s="103"/>
      <c r="I243" s="103"/>
      <c r="J243" s="103"/>
      <c r="K243" s="100"/>
      <c r="L243" s="106"/>
      <c r="M243" s="106"/>
      <c r="N243" s="106"/>
      <c r="O243" s="458"/>
      <c r="P243" s="459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</row>
    <row r="244" spans="1:28" ht="19.5" hidden="1" thickBot="1" x14ac:dyDescent="0.35">
      <c r="A244" s="116"/>
      <c r="B244" s="103"/>
      <c r="C244" s="103"/>
      <c r="D244" s="103"/>
      <c r="E244" s="103"/>
      <c r="F244" s="103"/>
      <c r="G244" s="103"/>
      <c r="H244" s="103"/>
      <c r="I244" s="103"/>
      <c r="J244" s="103"/>
      <c r="K244" s="100"/>
      <c r="L244" s="106"/>
      <c r="M244" s="106"/>
      <c r="N244" s="106"/>
      <c r="O244" s="458"/>
      <c r="P244" s="459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</row>
    <row r="245" spans="1:28" ht="19.5" hidden="1" thickBot="1" x14ac:dyDescent="0.35">
      <c r="A245" s="117"/>
      <c r="B245" s="103"/>
      <c r="C245" s="103"/>
      <c r="D245" s="103"/>
      <c r="E245" s="103"/>
      <c r="F245" s="103"/>
      <c r="G245" s="103"/>
      <c r="H245" s="103"/>
      <c r="I245" s="103"/>
      <c r="J245" s="103"/>
      <c r="K245" s="100"/>
      <c r="L245" s="106"/>
      <c r="M245" s="106"/>
      <c r="N245" s="106"/>
      <c r="O245" s="458"/>
      <c r="P245" s="459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</row>
    <row r="246" spans="1:28" ht="19.5" hidden="1" thickBot="1" x14ac:dyDescent="0.35">
      <c r="A246" s="116"/>
      <c r="B246" s="103"/>
      <c r="C246" s="103"/>
      <c r="D246" s="103"/>
      <c r="E246" s="103"/>
      <c r="F246" s="103"/>
      <c r="G246" s="103"/>
      <c r="H246" s="103"/>
      <c r="I246" s="103"/>
      <c r="J246" s="103"/>
      <c r="K246" s="100"/>
      <c r="L246" s="106"/>
      <c r="M246" s="106"/>
      <c r="N246" s="106"/>
      <c r="O246" s="458"/>
      <c r="P246" s="459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</row>
    <row r="247" spans="1:28" ht="19.5" hidden="1" thickBot="1" x14ac:dyDescent="0.35">
      <c r="A247" s="117"/>
      <c r="B247" s="103"/>
      <c r="C247" s="103"/>
      <c r="D247" s="103"/>
      <c r="E247" s="103"/>
      <c r="F247" s="103"/>
      <c r="G247" s="103"/>
      <c r="H247" s="103"/>
      <c r="I247" s="103"/>
      <c r="J247" s="103"/>
      <c r="K247" s="100"/>
      <c r="L247" s="106"/>
      <c r="M247" s="106"/>
      <c r="N247" s="106"/>
      <c r="O247" s="458"/>
      <c r="P247" s="459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</row>
    <row r="248" spans="1:28" ht="19.5" hidden="1" thickBot="1" x14ac:dyDescent="0.35">
      <c r="A248" s="116"/>
      <c r="B248" s="103"/>
      <c r="C248" s="103"/>
      <c r="D248" s="103"/>
      <c r="E248" s="103"/>
      <c r="F248" s="103"/>
      <c r="G248" s="103"/>
      <c r="H248" s="103"/>
      <c r="I248" s="103"/>
      <c r="J248" s="103"/>
      <c r="K248" s="100"/>
      <c r="L248" s="106"/>
      <c r="M248" s="106"/>
      <c r="N248" s="106"/>
      <c r="O248" s="458"/>
      <c r="P248" s="459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</row>
    <row r="249" spans="1:28" ht="19.5" hidden="1" thickBot="1" x14ac:dyDescent="0.35">
      <c r="A249" s="117"/>
      <c r="B249" s="103"/>
      <c r="C249" s="103"/>
      <c r="D249" s="103"/>
      <c r="E249" s="103"/>
      <c r="F249" s="103"/>
      <c r="G249" s="103"/>
      <c r="H249" s="103"/>
      <c r="I249" s="103"/>
      <c r="J249" s="103"/>
      <c r="K249" s="100"/>
      <c r="L249" s="106"/>
      <c r="M249" s="106"/>
      <c r="N249" s="106"/>
      <c r="O249" s="458"/>
      <c r="P249" s="459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</row>
    <row r="250" spans="1:28" ht="19.5" hidden="1" thickBot="1" x14ac:dyDescent="0.35">
      <c r="A250" s="116"/>
      <c r="B250" s="103"/>
      <c r="C250" s="103"/>
      <c r="D250" s="103"/>
      <c r="E250" s="103"/>
      <c r="F250" s="103"/>
      <c r="G250" s="103"/>
      <c r="H250" s="103"/>
      <c r="I250" s="103"/>
      <c r="J250" s="103"/>
      <c r="K250" s="100"/>
      <c r="L250" s="106"/>
      <c r="M250" s="106"/>
      <c r="N250" s="106"/>
      <c r="O250" s="458"/>
      <c r="P250" s="459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</row>
    <row r="251" spans="1:28" ht="19.5" hidden="1" thickBot="1" x14ac:dyDescent="0.35">
      <c r="A251" s="117"/>
      <c r="B251" s="103"/>
      <c r="C251" s="103"/>
      <c r="D251" s="103"/>
      <c r="E251" s="103"/>
      <c r="F251" s="103"/>
      <c r="G251" s="103"/>
      <c r="H251" s="103"/>
      <c r="I251" s="103"/>
      <c r="J251" s="103"/>
      <c r="K251" s="100"/>
      <c r="L251" s="106"/>
      <c r="M251" s="106"/>
      <c r="N251" s="106"/>
      <c r="O251" s="458"/>
      <c r="P251" s="459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</row>
    <row r="252" spans="1:28" ht="19.5" hidden="1" thickBot="1" x14ac:dyDescent="0.35">
      <c r="A252" s="116"/>
      <c r="B252" s="103"/>
      <c r="C252" s="103"/>
      <c r="D252" s="103"/>
      <c r="E252" s="103"/>
      <c r="F252" s="103"/>
      <c r="G252" s="103"/>
      <c r="H252" s="103"/>
      <c r="I252" s="103"/>
      <c r="J252" s="103"/>
      <c r="K252" s="100"/>
      <c r="L252" s="106"/>
      <c r="M252" s="106"/>
      <c r="N252" s="106"/>
      <c r="O252" s="458"/>
      <c r="P252" s="459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</row>
    <row r="253" spans="1:28" ht="19.5" hidden="1" thickBot="1" x14ac:dyDescent="0.35">
      <c r="A253" s="117"/>
      <c r="B253" s="103"/>
      <c r="C253" s="103"/>
      <c r="D253" s="103"/>
      <c r="E253" s="103"/>
      <c r="F253" s="103"/>
      <c r="G253" s="103"/>
      <c r="H253" s="103"/>
      <c r="I253" s="103"/>
      <c r="J253" s="103"/>
      <c r="K253" s="100"/>
      <c r="L253" s="106"/>
      <c r="M253" s="106"/>
      <c r="N253" s="106"/>
      <c r="O253" s="458"/>
      <c r="P253" s="459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</row>
    <row r="254" spans="1:28" ht="19.5" hidden="1" thickBot="1" x14ac:dyDescent="0.35">
      <c r="A254" s="116"/>
      <c r="B254" s="103"/>
      <c r="C254" s="103"/>
      <c r="D254" s="103"/>
      <c r="E254" s="103"/>
      <c r="F254" s="103"/>
      <c r="G254" s="103"/>
      <c r="H254" s="103"/>
      <c r="I254" s="103"/>
      <c r="J254" s="103"/>
      <c r="K254" s="100"/>
      <c r="L254" s="106"/>
      <c r="M254" s="106"/>
      <c r="N254" s="106"/>
      <c r="O254" s="458"/>
      <c r="P254" s="459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</row>
    <row r="255" spans="1:28" ht="19.5" hidden="1" thickBot="1" x14ac:dyDescent="0.35">
      <c r="A255" s="117"/>
      <c r="B255" s="103"/>
      <c r="C255" s="103"/>
      <c r="D255" s="103"/>
      <c r="E255" s="103"/>
      <c r="F255" s="103"/>
      <c r="G255" s="103"/>
      <c r="H255" s="103"/>
      <c r="I255" s="103"/>
      <c r="J255" s="103"/>
      <c r="K255" s="100"/>
      <c r="L255" s="106"/>
      <c r="M255" s="106"/>
      <c r="N255" s="106"/>
      <c r="O255" s="458"/>
      <c r="P255" s="459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</row>
    <row r="256" spans="1:28" ht="19.5" hidden="1" thickBot="1" x14ac:dyDescent="0.35">
      <c r="A256" s="116"/>
      <c r="B256" s="103"/>
      <c r="C256" s="103"/>
      <c r="D256" s="103"/>
      <c r="E256" s="103"/>
      <c r="F256" s="103"/>
      <c r="G256" s="103"/>
      <c r="H256" s="103"/>
      <c r="I256" s="103"/>
      <c r="J256" s="103"/>
      <c r="K256" s="100"/>
      <c r="L256" s="106"/>
      <c r="M256" s="106"/>
      <c r="N256" s="106"/>
      <c r="O256" s="458"/>
      <c r="P256" s="459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</row>
    <row r="257" spans="1:28" ht="19.5" hidden="1" thickBot="1" x14ac:dyDescent="0.35">
      <c r="A257" s="117"/>
      <c r="B257" s="103"/>
      <c r="C257" s="103"/>
      <c r="D257" s="103"/>
      <c r="E257" s="103"/>
      <c r="F257" s="103"/>
      <c r="G257" s="103"/>
      <c r="H257" s="103"/>
      <c r="I257" s="103"/>
      <c r="J257" s="103"/>
      <c r="K257" s="100"/>
      <c r="L257" s="106"/>
      <c r="M257" s="106"/>
      <c r="N257" s="106"/>
      <c r="O257" s="458"/>
      <c r="P257" s="459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</row>
    <row r="258" spans="1:28" ht="19.5" hidden="1" thickBot="1" x14ac:dyDescent="0.35">
      <c r="A258" s="116"/>
      <c r="B258" s="103"/>
      <c r="C258" s="103"/>
      <c r="D258" s="103"/>
      <c r="E258" s="103"/>
      <c r="F258" s="103"/>
      <c r="G258" s="103"/>
      <c r="H258" s="103"/>
      <c r="I258" s="103"/>
      <c r="J258" s="103"/>
      <c r="K258" s="100"/>
      <c r="L258" s="106"/>
      <c r="M258" s="106"/>
      <c r="N258" s="106"/>
      <c r="O258" s="458"/>
      <c r="P258" s="459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</row>
    <row r="259" spans="1:28" ht="19.5" hidden="1" thickBot="1" x14ac:dyDescent="0.35">
      <c r="A259" s="117"/>
      <c r="B259" s="103"/>
      <c r="C259" s="103"/>
      <c r="D259" s="103"/>
      <c r="E259" s="103"/>
      <c r="F259" s="103"/>
      <c r="G259" s="103"/>
      <c r="H259" s="103"/>
      <c r="I259" s="103"/>
      <c r="J259" s="103"/>
      <c r="K259" s="100"/>
      <c r="L259" s="106"/>
      <c r="M259" s="106"/>
      <c r="N259" s="106"/>
      <c r="O259" s="458"/>
      <c r="P259" s="459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</row>
    <row r="260" spans="1:28" ht="19.5" hidden="1" thickBot="1" x14ac:dyDescent="0.35">
      <c r="A260" s="116"/>
      <c r="B260" s="103"/>
      <c r="C260" s="103"/>
      <c r="D260" s="103"/>
      <c r="E260" s="103"/>
      <c r="F260" s="103"/>
      <c r="G260" s="103"/>
      <c r="H260" s="103"/>
      <c r="I260" s="103"/>
      <c r="J260" s="103"/>
      <c r="K260" s="100"/>
      <c r="L260" s="106"/>
      <c r="M260" s="106"/>
      <c r="N260" s="106"/>
      <c r="O260" s="458"/>
      <c r="P260" s="459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</row>
    <row r="261" spans="1:28" ht="19.5" hidden="1" thickBot="1" x14ac:dyDescent="0.35">
      <c r="A261" s="117"/>
      <c r="B261" s="103"/>
      <c r="C261" s="103"/>
      <c r="D261" s="103"/>
      <c r="E261" s="103"/>
      <c r="F261" s="103"/>
      <c r="G261" s="103"/>
      <c r="H261" s="103"/>
      <c r="I261" s="103"/>
      <c r="J261" s="103"/>
      <c r="K261" s="100"/>
      <c r="L261" s="106"/>
      <c r="M261" s="106"/>
      <c r="N261" s="106"/>
      <c r="O261" s="458"/>
      <c r="P261" s="459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</row>
    <row r="262" spans="1:28" ht="19.5" hidden="1" thickBot="1" x14ac:dyDescent="0.35">
      <c r="A262" s="116"/>
      <c r="B262" s="103"/>
      <c r="C262" s="103"/>
      <c r="D262" s="103"/>
      <c r="E262" s="103"/>
      <c r="F262" s="103"/>
      <c r="G262" s="103"/>
      <c r="H262" s="103"/>
      <c r="I262" s="103"/>
      <c r="J262" s="103"/>
      <c r="K262" s="100"/>
      <c r="L262" s="106"/>
      <c r="M262" s="106"/>
      <c r="N262" s="106"/>
      <c r="O262" s="458"/>
      <c r="P262" s="459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</row>
    <row r="263" spans="1:28" ht="19.5" hidden="1" thickBot="1" x14ac:dyDescent="0.35">
      <c r="A263" s="117"/>
      <c r="B263" s="103"/>
      <c r="C263" s="103"/>
      <c r="D263" s="103"/>
      <c r="E263" s="103"/>
      <c r="F263" s="103"/>
      <c r="G263" s="103"/>
      <c r="H263" s="103"/>
      <c r="I263" s="103"/>
      <c r="J263" s="103"/>
      <c r="K263" s="100"/>
      <c r="L263" s="106"/>
      <c r="M263" s="106"/>
      <c r="N263" s="106"/>
      <c r="O263" s="458"/>
      <c r="P263" s="459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</row>
    <row r="264" spans="1:28" ht="19.5" hidden="1" thickBot="1" x14ac:dyDescent="0.35">
      <c r="A264" s="116"/>
      <c r="B264" s="103"/>
      <c r="C264" s="103"/>
      <c r="D264" s="103"/>
      <c r="E264" s="103"/>
      <c r="F264" s="103"/>
      <c r="G264" s="103"/>
      <c r="H264" s="103"/>
      <c r="I264" s="103"/>
      <c r="J264" s="103"/>
      <c r="K264" s="100"/>
      <c r="L264" s="106"/>
      <c r="M264" s="106"/>
      <c r="N264" s="106"/>
      <c r="O264" s="458"/>
      <c r="P264" s="459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</row>
    <row r="265" spans="1:28" ht="19.5" hidden="1" thickBot="1" x14ac:dyDescent="0.35">
      <c r="A265" s="117"/>
      <c r="B265" s="103"/>
      <c r="C265" s="103"/>
      <c r="D265" s="103"/>
      <c r="E265" s="103"/>
      <c r="F265" s="103"/>
      <c r="G265" s="103"/>
      <c r="H265" s="103"/>
      <c r="I265" s="103"/>
      <c r="J265" s="103"/>
      <c r="K265" s="100"/>
      <c r="L265" s="106"/>
      <c r="M265" s="106"/>
      <c r="N265" s="106"/>
      <c r="O265" s="458"/>
      <c r="P265" s="459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</row>
    <row r="266" spans="1:28" ht="19.5" hidden="1" thickBot="1" x14ac:dyDescent="0.35">
      <c r="A266" s="116"/>
      <c r="B266" s="103"/>
      <c r="C266" s="103"/>
      <c r="D266" s="103"/>
      <c r="E266" s="103"/>
      <c r="F266" s="103"/>
      <c r="G266" s="103"/>
      <c r="H266" s="103"/>
      <c r="I266" s="103"/>
      <c r="J266" s="103"/>
      <c r="K266" s="100"/>
      <c r="L266" s="106"/>
      <c r="M266" s="106"/>
      <c r="N266" s="106"/>
      <c r="O266" s="458"/>
      <c r="P266" s="459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</row>
    <row r="267" spans="1:28" ht="19.5" hidden="1" thickBot="1" x14ac:dyDescent="0.35">
      <c r="A267" s="117"/>
      <c r="B267" s="103"/>
      <c r="C267" s="103"/>
      <c r="D267" s="103"/>
      <c r="E267" s="103"/>
      <c r="F267" s="103"/>
      <c r="G267" s="103"/>
      <c r="H267" s="103"/>
      <c r="I267" s="103"/>
      <c r="J267" s="103"/>
      <c r="K267" s="100"/>
      <c r="L267" s="106"/>
      <c r="M267" s="106"/>
      <c r="N267" s="106"/>
      <c r="O267" s="458"/>
      <c r="P267" s="459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</row>
    <row r="268" spans="1:28" ht="19.5" hidden="1" thickBot="1" x14ac:dyDescent="0.35">
      <c r="A268" s="116"/>
      <c r="B268" s="103"/>
      <c r="C268" s="103"/>
      <c r="D268" s="103"/>
      <c r="E268" s="103"/>
      <c r="F268" s="103"/>
      <c r="G268" s="103"/>
      <c r="H268" s="103"/>
      <c r="I268" s="103"/>
      <c r="J268" s="103"/>
      <c r="K268" s="100"/>
      <c r="L268" s="106"/>
      <c r="M268" s="106"/>
      <c r="N268" s="106"/>
      <c r="O268" s="458"/>
      <c r="P268" s="459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</row>
    <row r="269" spans="1:28" ht="19.5" hidden="1" thickBot="1" x14ac:dyDescent="0.35">
      <c r="A269" s="117"/>
      <c r="B269" s="103"/>
      <c r="C269" s="103"/>
      <c r="D269" s="103"/>
      <c r="E269" s="103"/>
      <c r="F269" s="103"/>
      <c r="G269" s="103"/>
      <c r="H269" s="103"/>
      <c r="I269" s="103"/>
      <c r="J269" s="103"/>
      <c r="K269" s="100"/>
      <c r="L269" s="106"/>
      <c r="M269" s="106"/>
      <c r="N269" s="106"/>
      <c r="O269" s="458"/>
      <c r="P269" s="459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</row>
    <row r="270" spans="1:28" ht="19.5" hidden="1" thickBot="1" x14ac:dyDescent="0.35">
      <c r="A270" s="116"/>
      <c r="B270" s="103"/>
      <c r="C270" s="103"/>
      <c r="D270" s="103"/>
      <c r="E270" s="103"/>
      <c r="F270" s="103"/>
      <c r="G270" s="103"/>
      <c r="H270" s="103"/>
      <c r="I270" s="103"/>
      <c r="J270" s="103"/>
      <c r="K270" s="100"/>
      <c r="L270" s="106"/>
      <c r="M270" s="106"/>
      <c r="N270" s="106"/>
      <c r="O270" s="458"/>
      <c r="P270" s="459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</row>
    <row r="271" spans="1:28" ht="19.5" hidden="1" thickBot="1" x14ac:dyDescent="0.35">
      <c r="A271" s="117"/>
      <c r="B271" s="103"/>
      <c r="C271" s="103"/>
      <c r="D271" s="103"/>
      <c r="E271" s="103"/>
      <c r="F271" s="103"/>
      <c r="G271" s="103"/>
      <c r="H271" s="103"/>
      <c r="I271" s="103"/>
      <c r="J271" s="103"/>
      <c r="K271" s="100"/>
      <c r="L271" s="106"/>
      <c r="M271" s="106"/>
      <c r="N271" s="106"/>
      <c r="O271" s="458"/>
      <c r="P271" s="459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</row>
    <row r="272" spans="1:28" ht="19.5" hidden="1" thickBot="1" x14ac:dyDescent="0.35">
      <c r="A272" s="116"/>
      <c r="B272" s="103"/>
      <c r="C272" s="103"/>
      <c r="D272" s="103"/>
      <c r="E272" s="103"/>
      <c r="F272" s="103"/>
      <c r="G272" s="103"/>
      <c r="H272" s="103"/>
      <c r="I272" s="103"/>
      <c r="J272" s="103"/>
      <c r="K272" s="100"/>
      <c r="L272" s="106"/>
      <c r="M272" s="106"/>
      <c r="N272" s="106"/>
      <c r="O272" s="458"/>
      <c r="P272" s="459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</row>
    <row r="273" spans="1:28" ht="19.5" hidden="1" thickBot="1" x14ac:dyDescent="0.35">
      <c r="A273" s="117"/>
      <c r="B273" s="103"/>
      <c r="C273" s="103"/>
      <c r="D273" s="103"/>
      <c r="E273" s="103"/>
      <c r="F273" s="103"/>
      <c r="G273" s="103"/>
      <c r="H273" s="103"/>
      <c r="I273" s="103"/>
      <c r="J273" s="103"/>
      <c r="K273" s="100"/>
      <c r="L273" s="106"/>
      <c r="M273" s="106"/>
      <c r="N273" s="106"/>
      <c r="O273" s="458"/>
      <c r="P273" s="459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</row>
    <row r="274" spans="1:28" ht="19.5" hidden="1" thickBot="1" x14ac:dyDescent="0.35">
      <c r="A274" s="116"/>
      <c r="B274" s="103"/>
      <c r="C274" s="103"/>
      <c r="D274" s="103"/>
      <c r="E274" s="103"/>
      <c r="F274" s="103"/>
      <c r="G274" s="103"/>
      <c r="H274" s="103"/>
      <c r="I274" s="103"/>
      <c r="J274" s="103"/>
      <c r="K274" s="100"/>
      <c r="L274" s="106"/>
      <c r="M274" s="106"/>
      <c r="N274" s="106"/>
      <c r="O274" s="458"/>
      <c r="P274" s="459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</row>
    <row r="275" spans="1:28" ht="19.5" hidden="1" thickBot="1" x14ac:dyDescent="0.35">
      <c r="A275" s="117"/>
      <c r="B275" s="103"/>
      <c r="C275" s="103"/>
      <c r="D275" s="103"/>
      <c r="E275" s="103"/>
      <c r="F275" s="103"/>
      <c r="G275" s="103"/>
      <c r="H275" s="103"/>
      <c r="I275" s="103"/>
      <c r="J275" s="103"/>
      <c r="K275" s="100"/>
      <c r="L275" s="106"/>
      <c r="M275" s="106"/>
      <c r="N275" s="106"/>
      <c r="O275" s="458"/>
      <c r="P275" s="459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</row>
    <row r="276" spans="1:28" ht="19.5" hidden="1" thickBot="1" x14ac:dyDescent="0.35">
      <c r="A276" s="116"/>
      <c r="B276" s="103"/>
      <c r="C276" s="103"/>
      <c r="D276" s="103"/>
      <c r="E276" s="103"/>
      <c r="F276" s="103"/>
      <c r="G276" s="103"/>
      <c r="H276" s="103"/>
      <c r="I276" s="103"/>
      <c r="J276" s="103"/>
      <c r="K276" s="100"/>
      <c r="L276" s="106"/>
      <c r="M276" s="106"/>
      <c r="N276" s="106"/>
      <c r="O276" s="458"/>
      <c r="P276" s="459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</row>
    <row r="277" spans="1:28" ht="19.5" hidden="1" thickBot="1" x14ac:dyDescent="0.35">
      <c r="A277" s="117"/>
      <c r="B277" s="103"/>
      <c r="C277" s="103"/>
      <c r="D277" s="103"/>
      <c r="E277" s="103"/>
      <c r="F277" s="103"/>
      <c r="G277" s="103"/>
      <c r="H277" s="103"/>
      <c r="I277" s="103"/>
      <c r="J277" s="103"/>
      <c r="K277" s="100"/>
      <c r="L277" s="106"/>
      <c r="M277" s="106"/>
      <c r="N277" s="106"/>
      <c r="O277" s="458"/>
      <c r="P277" s="459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</row>
    <row r="278" spans="1:28" ht="19.5" hidden="1" thickBot="1" x14ac:dyDescent="0.35">
      <c r="A278" s="116"/>
      <c r="B278" s="103"/>
      <c r="C278" s="103"/>
      <c r="D278" s="103"/>
      <c r="E278" s="103"/>
      <c r="F278" s="103"/>
      <c r="G278" s="103"/>
      <c r="H278" s="103"/>
      <c r="I278" s="103"/>
      <c r="J278" s="103"/>
      <c r="K278" s="100"/>
      <c r="L278" s="106"/>
      <c r="M278" s="106"/>
      <c r="N278" s="106"/>
      <c r="O278" s="458"/>
      <c r="P278" s="459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</row>
    <row r="279" spans="1:28" ht="19.5" hidden="1" thickBot="1" x14ac:dyDescent="0.35">
      <c r="A279" s="117"/>
      <c r="B279" s="103"/>
      <c r="C279" s="103"/>
      <c r="D279" s="103"/>
      <c r="E279" s="103"/>
      <c r="F279" s="103"/>
      <c r="G279" s="103"/>
      <c r="H279" s="103"/>
      <c r="I279" s="103"/>
      <c r="J279" s="103"/>
      <c r="K279" s="100"/>
      <c r="L279" s="106"/>
      <c r="M279" s="106"/>
      <c r="N279" s="106"/>
      <c r="O279" s="458"/>
      <c r="P279" s="459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</row>
    <row r="280" spans="1:28" ht="19.5" hidden="1" thickBot="1" x14ac:dyDescent="0.35">
      <c r="A280" s="116"/>
      <c r="B280" s="103"/>
      <c r="C280" s="103"/>
      <c r="D280" s="103"/>
      <c r="E280" s="103"/>
      <c r="F280" s="103"/>
      <c r="G280" s="103"/>
      <c r="H280" s="103"/>
      <c r="I280" s="103"/>
      <c r="J280" s="103"/>
      <c r="K280" s="100"/>
      <c r="L280" s="106"/>
      <c r="M280" s="106"/>
      <c r="N280" s="106"/>
      <c r="O280" s="458"/>
      <c r="P280" s="459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</row>
    <row r="281" spans="1:28" ht="19.5" hidden="1" thickBot="1" x14ac:dyDescent="0.35">
      <c r="A281" s="117"/>
      <c r="B281" s="103"/>
      <c r="C281" s="103"/>
      <c r="D281" s="103"/>
      <c r="E281" s="103"/>
      <c r="F281" s="103"/>
      <c r="G281" s="103"/>
      <c r="H281" s="103"/>
      <c r="I281" s="103"/>
      <c r="J281" s="103"/>
      <c r="K281" s="100"/>
      <c r="L281" s="106"/>
      <c r="M281" s="106"/>
      <c r="N281" s="106"/>
      <c r="O281" s="458"/>
      <c r="P281" s="459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</row>
    <row r="282" spans="1:28" ht="19.5" hidden="1" thickBot="1" x14ac:dyDescent="0.35">
      <c r="A282" s="116"/>
      <c r="B282" s="103"/>
      <c r="C282" s="103"/>
      <c r="D282" s="103"/>
      <c r="E282" s="103"/>
      <c r="F282" s="103"/>
      <c r="G282" s="103"/>
      <c r="H282" s="103"/>
      <c r="I282" s="103"/>
      <c r="J282" s="103"/>
      <c r="K282" s="100"/>
      <c r="L282" s="106"/>
      <c r="M282" s="106"/>
      <c r="N282" s="106"/>
      <c r="O282" s="458"/>
      <c r="P282" s="459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</row>
    <row r="283" spans="1:28" ht="19.5" hidden="1" thickBot="1" x14ac:dyDescent="0.35">
      <c r="A283" s="117"/>
      <c r="B283" s="103"/>
      <c r="C283" s="103"/>
      <c r="D283" s="103"/>
      <c r="E283" s="103"/>
      <c r="F283" s="103"/>
      <c r="G283" s="103"/>
      <c r="H283" s="103"/>
      <c r="I283" s="103"/>
      <c r="J283" s="103"/>
      <c r="K283" s="100"/>
      <c r="L283" s="106"/>
      <c r="M283" s="106"/>
      <c r="N283" s="106"/>
      <c r="O283" s="458"/>
      <c r="P283" s="459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</row>
    <row r="284" spans="1:28" ht="19.5" hidden="1" thickBot="1" x14ac:dyDescent="0.35">
      <c r="A284" s="116"/>
      <c r="B284" s="103"/>
      <c r="C284" s="103"/>
      <c r="D284" s="103"/>
      <c r="E284" s="103"/>
      <c r="F284" s="103"/>
      <c r="G284" s="103"/>
      <c r="H284" s="103"/>
      <c r="I284" s="103"/>
      <c r="J284" s="103"/>
      <c r="K284" s="100"/>
      <c r="L284" s="106"/>
      <c r="M284" s="106"/>
      <c r="N284" s="106"/>
      <c r="O284" s="458"/>
      <c r="P284" s="459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</row>
    <row r="285" spans="1:28" ht="19.5" hidden="1" thickBot="1" x14ac:dyDescent="0.35">
      <c r="A285" s="117"/>
      <c r="B285" s="103"/>
      <c r="C285" s="103"/>
      <c r="D285" s="103"/>
      <c r="E285" s="103"/>
      <c r="F285" s="103"/>
      <c r="G285" s="103"/>
      <c r="H285" s="103"/>
      <c r="I285" s="103"/>
      <c r="J285" s="103"/>
      <c r="K285" s="100"/>
      <c r="L285" s="106"/>
      <c r="M285" s="106"/>
      <c r="N285" s="106"/>
      <c r="O285" s="458"/>
      <c r="P285" s="459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</row>
    <row r="286" spans="1:28" ht="19.5" hidden="1" thickBot="1" x14ac:dyDescent="0.35">
      <c r="A286" s="116"/>
      <c r="B286" s="103"/>
      <c r="C286" s="103"/>
      <c r="D286" s="103"/>
      <c r="E286" s="103"/>
      <c r="F286" s="103"/>
      <c r="G286" s="103"/>
      <c r="H286" s="103"/>
      <c r="I286" s="103"/>
      <c r="J286" s="103"/>
      <c r="K286" s="100"/>
      <c r="L286" s="106"/>
      <c r="M286" s="106"/>
      <c r="N286" s="106"/>
      <c r="O286" s="458"/>
      <c r="P286" s="459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</row>
    <row r="287" spans="1:28" ht="19.5" hidden="1" thickBot="1" x14ac:dyDescent="0.35">
      <c r="A287" s="117"/>
      <c r="B287" s="103"/>
      <c r="C287" s="103"/>
      <c r="D287" s="103"/>
      <c r="E287" s="103"/>
      <c r="F287" s="103"/>
      <c r="G287" s="103"/>
      <c r="H287" s="103"/>
      <c r="I287" s="103"/>
      <c r="J287" s="103"/>
      <c r="K287" s="100"/>
      <c r="L287" s="106"/>
      <c r="M287" s="106"/>
      <c r="N287" s="106"/>
      <c r="O287" s="458"/>
      <c r="P287" s="459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</row>
    <row r="288" spans="1:28" ht="19.5" hidden="1" thickBot="1" x14ac:dyDescent="0.35">
      <c r="A288" s="116"/>
      <c r="B288" s="103"/>
      <c r="C288" s="103"/>
      <c r="D288" s="103"/>
      <c r="E288" s="103"/>
      <c r="F288" s="103"/>
      <c r="G288" s="103"/>
      <c r="H288" s="103"/>
      <c r="I288" s="103"/>
      <c r="J288" s="103"/>
      <c r="K288" s="100"/>
      <c r="L288" s="106"/>
      <c r="M288" s="106"/>
      <c r="N288" s="106"/>
      <c r="O288" s="458"/>
      <c r="P288" s="459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</row>
    <row r="289" spans="1:28" ht="19.5" hidden="1" thickBot="1" x14ac:dyDescent="0.35">
      <c r="A289" s="117"/>
      <c r="B289" s="103"/>
      <c r="C289" s="103"/>
      <c r="D289" s="103"/>
      <c r="E289" s="103"/>
      <c r="F289" s="103"/>
      <c r="G289" s="103"/>
      <c r="H289" s="103"/>
      <c r="I289" s="103"/>
      <c r="J289" s="103"/>
      <c r="K289" s="100"/>
      <c r="L289" s="106"/>
      <c r="M289" s="106"/>
      <c r="N289" s="106"/>
      <c r="O289" s="458"/>
      <c r="P289" s="459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</row>
    <row r="290" spans="1:28" ht="19.5" hidden="1" thickBot="1" x14ac:dyDescent="0.35">
      <c r="A290" s="116"/>
      <c r="B290" s="103"/>
      <c r="C290" s="103"/>
      <c r="D290" s="103"/>
      <c r="E290" s="103"/>
      <c r="F290" s="103"/>
      <c r="G290" s="103"/>
      <c r="H290" s="103"/>
      <c r="I290" s="103"/>
      <c r="J290" s="103"/>
      <c r="K290" s="100"/>
      <c r="L290" s="106"/>
      <c r="M290" s="106"/>
      <c r="N290" s="106"/>
      <c r="O290" s="458"/>
      <c r="P290" s="459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</row>
    <row r="291" spans="1:28" ht="19.5" hidden="1" thickBot="1" x14ac:dyDescent="0.35">
      <c r="A291" s="117"/>
      <c r="B291" s="103"/>
      <c r="C291" s="103"/>
      <c r="D291" s="103"/>
      <c r="E291" s="103"/>
      <c r="F291" s="103"/>
      <c r="G291" s="103"/>
      <c r="H291" s="103"/>
      <c r="I291" s="103"/>
      <c r="J291" s="103"/>
      <c r="K291" s="100"/>
      <c r="L291" s="106"/>
      <c r="M291" s="106"/>
      <c r="N291" s="106"/>
      <c r="O291" s="458"/>
      <c r="P291" s="459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</row>
    <row r="292" spans="1:28" ht="19.5" hidden="1" thickBot="1" x14ac:dyDescent="0.35">
      <c r="A292" s="116"/>
      <c r="B292" s="103"/>
      <c r="C292" s="103"/>
      <c r="D292" s="103"/>
      <c r="E292" s="103"/>
      <c r="F292" s="103"/>
      <c r="G292" s="103"/>
      <c r="H292" s="103"/>
      <c r="I292" s="103"/>
      <c r="J292" s="103"/>
      <c r="K292" s="100"/>
      <c r="L292" s="106"/>
      <c r="M292" s="106"/>
      <c r="N292" s="106"/>
      <c r="O292" s="458"/>
      <c r="P292" s="459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</row>
    <row r="293" spans="1:28" ht="19.5" hidden="1" thickBot="1" x14ac:dyDescent="0.35">
      <c r="A293" s="117"/>
      <c r="B293" s="103"/>
      <c r="C293" s="103"/>
      <c r="D293" s="103"/>
      <c r="E293" s="103"/>
      <c r="F293" s="103"/>
      <c r="G293" s="103"/>
      <c r="H293" s="103"/>
      <c r="I293" s="103"/>
      <c r="J293" s="103"/>
      <c r="K293" s="100"/>
      <c r="L293" s="106"/>
      <c r="M293" s="106"/>
      <c r="N293" s="106"/>
      <c r="O293" s="458"/>
      <c r="P293" s="459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</row>
    <row r="294" spans="1:28" ht="19.5" hidden="1" thickBot="1" x14ac:dyDescent="0.35">
      <c r="A294" s="116"/>
      <c r="B294" s="103"/>
      <c r="C294" s="103"/>
      <c r="D294" s="103"/>
      <c r="E294" s="103"/>
      <c r="F294" s="103"/>
      <c r="G294" s="103"/>
      <c r="H294" s="103"/>
      <c r="I294" s="103"/>
      <c r="J294" s="103"/>
      <c r="K294" s="100"/>
      <c r="L294" s="106"/>
      <c r="M294" s="106"/>
      <c r="N294" s="106"/>
      <c r="O294" s="458"/>
      <c r="P294" s="459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</row>
    <row r="295" spans="1:28" ht="19.5" hidden="1" thickBot="1" x14ac:dyDescent="0.35">
      <c r="A295" s="117"/>
      <c r="B295" s="103"/>
      <c r="C295" s="103"/>
      <c r="D295" s="103"/>
      <c r="E295" s="103"/>
      <c r="F295" s="103"/>
      <c r="G295" s="103"/>
      <c r="H295" s="103"/>
      <c r="I295" s="103"/>
      <c r="J295" s="103"/>
      <c r="K295" s="100"/>
      <c r="L295" s="106"/>
      <c r="M295" s="106"/>
      <c r="N295" s="106"/>
      <c r="O295" s="458"/>
      <c r="P295" s="459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</row>
    <row r="296" spans="1:28" ht="19.5" hidden="1" thickBot="1" x14ac:dyDescent="0.35">
      <c r="A296" s="116"/>
      <c r="B296" s="103"/>
      <c r="C296" s="103"/>
      <c r="D296" s="103"/>
      <c r="E296" s="103"/>
      <c r="F296" s="103"/>
      <c r="G296" s="103"/>
      <c r="H296" s="103"/>
      <c r="I296" s="103"/>
      <c r="J296" s="103"/>
      <c r="K296" s="100"/>
      <c r="L296" s="106"/>
      <c r="M296" s="106"/>
      <c r="N296" s="106"/>
      <c r="O296" s="458"/>
      <c r="P296" s="459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</row>
    <row r="297" spans="1:28" ht="19.5" hidden="1" thickBot="1" x14ac:dyDescent="0.35">
      <c r="A297" s="117"/>
      <c r="B297" s="103"/>
      <c r="C297" s="103"/>
      <c r="D297" s="103"/>
      <c r="E297" s="103"/>
      <c r="F297" s="103"/>
      <c r="G297" s="103"/>
      <c r="H297" s="103"/>
      <c r="I297" s="103"/>
      <c r="J297" s="103"/>
      <c r="K297" s="100"/>
      <c r="L297" s="106"/>
      <c r="M297" s="106"/>
      <c r="N297" s="106"/>
      <c r="O297" s="458"/>
      <c r="P297" s="459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</row>
    <row r="298" spans="1:28" ht="19.5" hidden="1" thickBot="1" x14ac:dyDescent="0.35">
      <c r="A298" s="116"/>
      <c r="B298" s="103"/>
      <c r="C298" s="103"/>
      <c r="D298" s="103"/>
      <c r="E298" s="103"/>
      <c r="F298" s="103"/>
      <c r="G298" s="103"/>
      <c r="H298" s="103"/>
      <c r="I298" s="103"/>
      <c r="J298" s="103"/>
      <c r="K298" s="100"/>
      <c r="L298" s="106"/>
      <c r="M298" s="106"/>
      <c r="N298" s="106"/>
      <c r="O298" s="458"/>
      <c r="P298" s="459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</row>
    <row r="299" spans="1:28" ht="19.5" hidden="1" thickBot="1" x14ac:dyDescent="0.35">
      <c r="A299" s="117"/>
      <c r="B299" s="103"/>
      <c r="C299" s="103"/>
      <c r="D299" s="103"/>
      <c r="E299" s="103"/>
      <c r="F299" s="103"/>
      <c r="G299" s="103"/>
      <c r="H299" s="103"/>
      <c r="I299" s="103"/>
      <c r="J299" s="103"/>
      <c r="K299" s="100"/>
      <c r="L299" s="106"/>
      <c r="M299" s="106"/>
      <c r="N299" s="106"/>
      <c r="O299" s="458"/>
      <c r="P299" s="459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</row>
    <row r="300" spans="1:28" ht="19.5" hidden="1" thickBot="1" x14ac:dyDescent="0.35">
      <c r="A300" s="116"/>
      <c r="B300" s="103"/>
      <c r="C300" s="103"/>
      <c r="D300" s="103"/>
      <c r="E300" s="103"/>
      <c r="F300" s="103"/>
      <c r="G300" s="103"/>
      <c r="H300" s="103"/>
      <c r="I300" s="103"/>
      <c r="J300" s="103"/>
      <c r="K300" s="100"/>
      <c r="L300" s="106"/>
      <c r="M300" s="106"/>
      <c r="N300" s="106"/>
      <c r="O300" s="458"/>
      <c r="P300" s="459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</row>
    <row r="301" spans="1:28" ht="19.5" hidden="1" thickBot="1" x14ac:dyDescent="0.35">
      <c r="A301" s="117"/>
      <c r="B301" s="103"/>
      <c r="C301" s="103"/>
      <c r="D301" s="103"/>
      <c r="E301" s="103"/>
      <c r="F301" s="103"/>
      <c r="G301" s="103"/>
      <c r="H301" s="103"/>
      <c r="I301" s="103"/>
      <c r="J301" s="103"/>
      <c r="K301" s="100"/>
      <c r="L301" s="106"/>
      <c r="M301" s="106"/>
      <c r="N301" s="106"/>
      <c r="O301" s="458"/>
      <c r="P301" s="459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</row>
    <row r="302" spans="1:28" ht="19.5" hidden="1" thickBot="1" x14ac:dyDescent="0.35">
      <c r="A302" s="116"/>
      <c r="B302" s="103"/>
      <c r="C302" s="103"/>
      <c r="D302" s="103"/>
      <c r="E302" s="103"/>
      <c r="F302" s="103"/>
      <c r="G302" s="103"/>
      <c r="H302" s="103"/>
      <c r="I302" s="103"/>
      <c r="J302" s="103"/>
      <c r="K302" s="100"/>
      <c r="L302" s="106"/>
      <c r="M302" s="106"/>
      <c r="N302" s="106"/>
      <c r="O302" s="458"/>
      <c r="P302" s="459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</row>
    <row r="303" spans="1:28" ht="19.5" hidden="1" thickBot="1" x14ac:dyDescent="0.35">
      <c r="A303" s="117"/>
      <c r="B303" s="103"/>
      <c r="C303" s="103"/>
      <c r="D303" s="103"/>
      <c r="E303" s="103"/>
      <c r="F303" s="103"/>
      <c r="G303" s="103"/>
      <c r="H303" s="103"/>
      <c r="I303" s="103"/>
      <c r="J303" s="103"/>
      <c r="K303" s="100"/>
      <c r="L303" s="106"/>
      <c r="M303" s="106"/>
      <c r="N303" s="106"/>
      <c r="O303" s="458"/>
      <c r="P303" s="459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</row>
    <row r="304" spans="1:28" ht="19.5" hidden="1" thickBot="1" x14ac:dyDescent="0.35">
      <c r="A304" s="116"/>
      <c r="B304" s="103"/>
      <c r="C304" s="103"/>
      <c r="D304" s="103"/>
      <c r="E304" s="103"/>
      <c r="F304" s="103"/>
      <c r="G304" s="103"/>
      <c r="H304" s="103"/>
      <c r="I304" s="103"/>
      <c r="J304" s="103"/>
      <c r="K304" s="100"/>
      <c r="L304" s="106"/>
      <c r="M304" s="106"/>
      <c r="N304" s="106"/>
      <c r="O304" s="458"/>
      <c r="P304" s="459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</row>
    <row r="305" spans="1:28" ht="19.5" hidden="1" thickBot="1" x14ac:dyDescent="0.35">
      <c r="A305" s="117"/>
      <c r="B305" s="103"/>
      <c r="C305" s="103"/>
      <c r="D305" s="103"/>
      <c r="E305" s="103"/>
      <c r="F305" s="103"/>
      <c r="G305" s="103"/>
      <c r="H305" s="103"/>
      <c r="I305" s="103"/>
      <c r="J305" s="103"/>
      <c r="K305" s="100"/>
      <c r="L305" s="106"/>
      <c r="M305" s="106"/>
      <c r="N305" s="106"/>
      <c r="O305" s="458"/>
      <c r="P305" s="459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</row>
    <row r="306" spans="1:28" ht="19.5" hidden="1" thickBot="1" x14ac:dyDescent="0.35">
      <c r="A306" s="116"/>
      <c r="B306" s="103"/>
      <c r="C306" s="103"/>
      <c r="D306" s="103"/>
      <c r="E306" s="103"/>
      <c r="F306" s="103"/>
      <c r="G306" s="103"/>
      <c r="H306" s="103"/>
      <c r="I306" s="103"/>
      <c r="J306" s="103"/>
      <c r="K306" s="100"/>
      <c r="L306" s="106"/>
      <c r="M306" s="106"/>
      <c r="N306" s="106"/>
      <c r="O306" s="458"/>
      <c r="P306" s="459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</row>
    <row r="307" spans="1:28" ht="19.5" hidden="1" thickBot="1" x14ac:dyDescent="0.35">
      <c r="A307" s="117"/>
      <c r="B307" s="103"/>
      <c r="C307" s="103"/>
      <c r="D307" s="103"/>
      <c r="E307" s="103"/>
      <c r="F307" s="103"/>
      <c r="G307" s="103"/>
      <c r="H307" s="103"/>
      <c r="I307" s="103"/>
      <c r="J307" s="103"/>
      <c r="K307" s="100"/>
      <c r="L307" s="106"/>
      <c r="M307" s="106"/>
      <c r="N307" s="106"/>
      <c r="O307" s="458"/>
      <c r="P307" s="459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</row>
    <row r="308" spans="1:28" ht="19.5" hidden="1" thickBot="1" x14ac:dyDescent="0.35">
      <c r="A308" s="116"/>
      <c r="B308" s="103"/>
      <c r="C308" s="103"/>
      <c r="D308" s="103"/>
      <c r="E308" s="103"/>
      <c r="F308" s="103"/>
      <c r="G308" s="103"/>
      <c r="H308" s="103"/>
      <c r="I308" s="103"/>
      <c r="J308" s="103"/>
      <c r="K308" s="100"/>
      <c r="L308" s="106"/>
      <c r="M308" s="106"/>
      <c r="N308" s="106"/>
      <c r="O308" s="458"/>
      <c r="P308" s="459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</row>
    <row r="309" spans="1:28" ht="19.5" hidden="1" thickBot="1" x14ac:dyDescent="0.35">
      <c r="A309" s="117"/>
      <c r="B309" s="103"/>
      <c r="C309" s="103"/>
      <c r="D309" s="103"/>
      <c r="E309" s="103"/>
      <c r="F309" s="103"/>
      <c r="G309" s="103"/>
      <c r="H309" s="103"/>
      <c r="I309" s="103"/>
      <c r="J309" s="103"/>
      <c r="K309" s="100"/>
      <c r="L309" s="106"/>
      <c r="M309" s="106"/>
      <c r="N309" s="106"/>
      <c r="O309" s="458"/>
      <c r="P309" s="459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</row>
    <row r="310" spans="1:28" ht="19.5" hidden="1" thickBot="1" x14ac:dyDescent="0.35">
      <c r="A310" s="116"/>
      <c r="B310" s="103"/>
      <c r="C310" s="103"/>
      <c r="D310" s="103"/>
      <c r="E310" s="103"/>
      <c r="F310" s="103"/>
      <c r="G310" s="103"/>
      <c r="H310" s="103"/>
      <c r="I310" s="103"/>
      <c r="J310" s="103"/>
      <c r="K310" s="100"/>
      <c r="L310" s="106"/>
      <c r="M310" s="106"/>
      <c r="N310" s="106"/>
      <c r="O310" s="458"/>
      <c r="P310" s="459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</row>
    <row r="311" spans="1:28" ht="19.5" hidden="1" thickBot="1" x14ac:dyDescent="0.35">
      <c r="A311" s="117"/>
      <c r="B311" s="103"/>
      <c r="C311" s="103"/>
      <c r="D311" s="103"/>
      <c r="E311" s="103"/>
      <c r="F311" s="103"/>
      <c r="G311" s="103"/>
      <c r="H311" s="103"/>
      <c r="I311" s="103"/>
      <c r="J311" s="103"/>
      <c r="K311" s="100"/>
      <c r="L311" s="106"/>
      <c r="M311" s="106"/>
      <c r="N311" s="106"/>
      <c r="O311" s="458"/>
      <c r="P311" s="459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</row>
    <row r="312" spans="1:28" ht="19.5" hidden="1" thickBot="1" x14ac:dyDescent="0.35">
      <c r="A312" s="116"/>
      <c r="B312" s="103"/>
      <c r="C312" s="103"/>
      <c r="D312" s="103"/>
      <c r="E312" s="103"/>
      <c r="F312" s="103"/>
      <c r="G312" s="103"/>
      <c r="H312" s="103"/>
      <c r="I312" s="103"/>
      <c r="J312" s="103"/>
      <c r="K312" s="100"/>
      <c r="L312" s="106"/>
      <c r="M312" s="106"/>
      <c r="N312" s="106"/>
      <c r="O312" s="458"/>
      <c r="P312" s="459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</row>
    <row r="313" spans="1:28" ht="19.5" hidden="1" thickBot="1" x14ac:dyDescent="0.35">
      <c r="A313" s="117"/>
      <c r="B313" s="103"/>
      <c r="C313" s="103"/>
      <c r="D313" s="103"/>
      <c r="E313" s="103"/>
      <c r="F313" s="103"/>
      <c r="G313" s="103"/>
      <c r="H313" s="103"/>
      <c r="I313" s="103"/>
      <c r="J313" s="103"/>
      <c r="K313" s="100"/>
      <c r="L313" s="106"/>
      <c r="M313" s="106"/>
      <c r="N313" s="106"/>
      <c r="O313" s="458"/>
      <c r="P313" s="459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</row>
    <row r="314" spans="1:28" ht="19.5" hidden="1" thickBot="1" x14ac:dyDescent="0.35">
      <c r="A314" s="116"/>
      <c r="B314" s="103"/>
      <c r="C314" s="103"/>
      <c r="D314" s="103"/>
      <c r="E314" s="103"/>
      <c r="F314" s="103"/>
      <c r="G314" s="103"/>
      <c r="H314" s="103"/>
      <c r="I314" s="103"/>
      <c r="J314" s="103"/>
      <c r="K314" s="100"/>
      <c r="L314" s="106"/>
      <c r="M314" s="106"/>
      <c r="N314" s="106"/>
      <c r="O314" s="458"/>
      <c r="P314" s="459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</row>
    <row r="315" spans="1:28" ht="19.5" hidden="1" thickBot="1" x14ac:dyDescent="0.35">
      <c r="A315" s="117"/>
      <c r="B315" s="103"/>
      <c r="C315" s="103"/>
      <c r="D315" s="103"/>
      <c r="E315" s="103"/>
      <c r="F315" s="103"/>
      <c r="G315" s="103"/>
      <c r="H315" s="103"/>
      <c r="I315" s="103"/>
      <c r="J315" s="103"/>
      <c r="K315" s="100"/>
      <c r="L315" s="106"/>
      <c r="M315" s="106"/>
      <c r="N315" s="106"/>
      <c r="O315" s="458"/>
      <c r="P315" s="459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</row>
    <row r="316" spans="1:28" ht="19.5" hidden="1" thickBot="1" x14ac:dyDescent="0.35">
      <c r="A316" s="116"/>
      <c r="B316" s="103"/>
      <c r="C316" s="103"/>
      <c r="D316" s="103"/>
      <c r="E316" s="103"/>
      <c r="F316" s="103"/>
      <c r="G316" s="103"/>
      <c r="H316" s="103"/>
      <c r="I316" s="103"/>
      <c r="J316" s="103"/>
      <c r="K316" s="100"/>
      <c r="L316" s="106"/>
      <c r="M316" s="106"/>
      <c r="N316" s="106"/>
      <c r="O316" s="458"/>
      <c r="P316" s="459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</row>
    <row r="317" spans="1:28" ht="19.5" hidden="1" thickBot="1" x14ac:dyDescent="0.35">
      <c r="A317" s="117"/>
      <c r="B317" s="103"/>
      <c r="C317" s="103"/>
      <c r="D317" s="103"/>
      <c r="E317" s="103"/>
      <c r="F317" s="103"/>
      <c r="G317" s="103"/>
      <c r="H317" s="103"/>
      <c r="I317" s="103"/>
      <c r="J317" s="103"/>
      <c r="K317" s="100"/>
      <c r="L317" s="106"/>
      <c r="M317" s="106"/>
      <c r="N317" s="106"/>
      <c r="O317" s="458"/>
      <c r="P317" s="459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</row>
    <row r="318" spans="1:28" ht="19.5" hidden="1" thickBot="1" x14ac:dyDescent="0.35">
      <c r="A318" s="116"/>
      <c r="B318" s="103"/>
      <c r="C318" s="103"/>
      <c r="D318" s="103"/>
      <c r="E318" s="103"/>
      <c r="F318" s="103"/>
      <c r="G318" s="103"/>
      <c r="H318" s="103"/>
      <c r="I318" s="103"/>
      <c r="J318" s="103"/>
      <c r="K318" s="100"/>
      <c r="L318" s="106"/>
      <c r="M318" s="106"/>
      <c r="N318" s="106"/>
      <c r="O318" s="458"/>
      <c r="P318" s="459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</row>
    <row r="319" spans="1:28" ht="19.5" hidden="1" thickBot="1" x14ac:dyDescent="0.35">
      <c r="A319" s="117"/>
      <c r="B319" s="103"/>
      <c r="C319" s="103"/>
      <c r="D319" s="103"/>
      <c r="E319" s="103"/>
      <c r="F319" s="103"/>
      <c r="G319" s="103"/>
      <c r="H319" s="103"/>
      <c r="I319" s="103"/>
      <c r="J319" s="103"/>
      <c r="K319" s="100"/>
      <c r="L319" s="106"/>
      <c r="M319" s="106"/>
      <c r="N319" s="106"/>
      <c r="O319" s="458"/>
      <c r="P319" s="459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</row>
    <row r="320" spans="1:28" ht="19.5" hidden="1" thickBot="1" x14ac:dyDescent="0.35">
      <c r="A320" s="116"/>
      <c r="B320" s="103"/>
      <c r="C320" s="103"/>
      <c r="D320" s="103"/>
      <c r="E320" s="103"/>
      <c r="F320" s="103"/>
      <c r="G320" s="103"/>
      <c r="H320" s="103"/>
      <c r="I320" s="103"/>
      <c r="J320" s="103"/>
      <c r="K320" s="100"/>
      <c r="L320" s="106"/>
      <c r="M320" s="106"/>
      <c r="N320" s="106"/>
      <c r="O320" s="458"/>
      <c r="P320" s="459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</row>
    <row r="321" spans="1:28" ht="19.5" hidden="1" thickBot="1" x14ac:dyDescent="0.35">
      <c r="A321" s="117"/>
      <c r="B321" s="103"/>
      <c r="C321" s="103"/>
      <c r="D321" s="103"/>
      <c r="E321" s="103"/>
      <c r="F321" s="103"/>
      <c r="G321" s="103"/>
      <c r="H321" s="103"/>
      <c r="I321" s="103"/>
      <c r="J321" s="103"/>
      <c r="K321" s="100"/>
      <c r="L321" s="106"/>
      <c r="M321" s="106"/>
      <c r="N321" s="106"/>
      <c r="O321" s="458"/>
      <c r="P321" s="459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</row>
    <row r="322" spans="1:28" ht="19.5" hidden="1" thickBot="1" x14ac:dyDescent="0.35">
      <c r="A322" s="116"/>
      <c r="B322" s="103"/>
      <c r="C322" s="103"/>
      <c r="D322" s="103"/>
      <c r="E322" s="103"/>
      <c r="F322" s="103"/>
      <c r="G322" s="103"/>
      <c r="H322" s="103"/>
      <c r="I322" s="103"/>
      <c r="J322" s="103"/>
      <c r="K322" s="100"/>
      <c r="L322" s="106"/>
      <c r="M322" s="106"/>
      <c r="N322" s="106"/>
      <c r="O322" s="458"/>
      <c r="P322" s="459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</row>
    <row r="323" spans="1:28" ht="19.5" hidden="1" thickBot="1" x14ac:dyDescent="0.35">
      <c r="A323" s="117"/>
      <c r="B323" s="103"/>
      <c r="C323" s="103"/>
      <c r="D323" s="103"/>
      <c r="E323" s="103"/>
      <c r="F323" s="103"/>
      <c r="G323" s="103"/>
      <c r="H323" s="103"/>
      <c r="I323" s="103"/>
      <c r="J323" s="103"/>
      <c r="K323" s="100"/>
      <c r="L323" s="106"/>
      <c r="M323" s="106"/>
      <c r="N323" s="106"/>
      <c r="O323" s="458"/>
      <c r="P323" s="459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</row>
    <row r="324" spans="1:28" ht="19.5" hidden="1" thickBot="1" x14ac:dyDescent="0.35">
      <c r="A324" s="116"/>
      <c r="B324" s="103"/>
      <c r="C324" s="103"/>
      <c r="D324" s="103"/>
      <c r="E324" s="103"/>
      <c r="F324" s="103"/>
      <c r="G324" s="103"/>
      <c r="H324" s="103"/>
      <c r="I324" s="103"/>
      <c r="J324" s="103"/>
      <c r="K324" s="100"/>
      <c r="L324" s="106"/>
      <c r="M324" s="106"/>
      <c r="N324" s="106"/>
      <c r="O324" s="458"/>
      <c r="P324" s="459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</row>
    <row r="325" spans="1:28" ht="19.5" hidden="1" thickBot="1" x14ac:dyDescent="0.35">
      <c r="A325" s="117"/>
      <c r="B325" s="103"/>
      <c r="C325" s="103"/>
      <c r="D325" s="103"/>
      <c r="E325" s="103"/>
      <c r="F325" s="103"/>
      <c r="G325" s="103"/>
      <c r="H325" s="103"/>
      <c r="I325" s="103"/>
      <c r="J325" s="103"/>
      <c r="K325" s="100"/>
      <c r="L325" s="106"/>
      <c r="M325" s="106"/>
      <c r="N325" s="106"/>
      <c r="O325" s="458"/>
      <c r="P325" s="459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</row>
    <row r="326" spans="1:28" ht="19.5" hidden="1" thickBot="1" x14ac:dyDescent="0.35">
      <c r="A326" s="116"/>
      <c r="B326" s="103"/>
      <c r="C326" s="103"/>
      <c r="D326" s="103"/>
      <c r="E326" s="103"/>
      <c r="F326" s="103"/>
      <c r="G326" s="103"/>
      <c r="H326" s="103"/>
      <c r="I326" s="103"/>
      <c r="J326" s="103"/>
      <c r="K326" s="100"/>
      <c r="L326" s="106"/>
      <c r="M326" s="106"/>
      <c r="N326" s="106"/>
      <c r="O326" s="458"/>
      <c r="P326" s="459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</row>
    <row r="327" spans="1:28" ht="19.5" hidden="1" thickBot="1" x14ac:dyDescent="0.35">
      <c r="A327" s="117"/>
      <c r="B327" s="103"/>
      <c r="C327" s="103"/>
      <c r="D327" s="103"/>
      <c r="E327" s="103"/>
      <c r="F327" s="103"/>
      <c r="G327" s="103"/>
      <c r="H327" s="103"/>
      <c r="I327" s="103"/>
      <c r="J327" s="103"/>
      <c r="K327" s="100"/>
      <c r="L327" s="106"/>
      <c r="M327" s="106"/>
      <c r="N327" s="106"/>
      <c r="O327" s="458"/>
      <c r="P327" s="459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</row>
    <row r="328" spans="1:28" ht="19.5" hidden="1" thickBot="1" x14ac:dyDescent="0.35">
      <c r="A328" s="116"/>
      <c r="B328" s="103"/>
      <c r="C328" s="103"/>
      <c r="D328" s="103"/>
      <c r="E328" s="103"/>
      <c r="F328" s="103"/>
      <c r="G328" s="103"/>
      <c r="H328" s="103"/>
      <c r="I328" s="103"/>
      <c r="J328" s="103"/>
      <c r="K328" s="100"/>
      <c r="L328" s="106"/>
      <c r="M328" s="106"/>
      <c r="N328" s="106"/>
      <c r="O328" s="458"/>
      <c r="P328" s="459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</row>
    <row r="329" spans="1:28" ht="19.5" hidden="1" thickBot="1" x14ac:dyDescent="0.35">
      <c r="A329" s="117"/>
      <c r="B329" s="103"/>
      <c r="C329" s="103"/>
      <c r="D329" s="103"/>
      <c r="E329" s="103"/>
      <c r="F329" s="103"/>
      <c r="G329" s="103"/>
      <c r="H329" s="103"/>
      <c r="I329" s="103"/>
      <c r="J329" s="103"/>
      <c r="K329" s="100"/>
      <c r="L329" s="106"/>
      <c r="M329" s="106"/>
      <c r="N329" s="106"/>
      <c r="O329" s="458"/>
      <c r="P329" s="459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</row>
    <row r="330" spans="1:28" ht="19.5" hidden="1" thickBot="1" x14ac:dyDescent="0.35">
      <c r="A330" s="116"/>
      <c r="B330" s="103"/>
      <c r="C330" s="103"/>
      <c r="D330" s="103"/>
      <c r="E330" s="103"/>
      <c r="F330" s="103"/>
      <c r="G330" s="103"/>
      <c r="H330" s="103"/>
      <c r="I330" s="103"/>
      <c r="J330" s="103"/>
      <c r="K330" s="100"/>
      <c r="L330" s="106"/>
      <c r="M330" s="106"/>
      <c r="N330" s="106"/>
      <c r="O330" s="458"/>
      <c r="P330" s="459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</row>
    <row r="331" spans="1:28" ht="19.5" hidden="1" thickBot="1" x14ac:dyDescent="0.35">
      <c r="A331" s="117"/>
      <c r="B331" s="103"/>
      <c r="C331" s="103"/>
      <c r="D331" s="103"/>
      <c r="E331" s="103"/>
      <c r="F331" s="103"/>
      <c r="G331" s="103"/>
      <c r="H331" s="103"/>
      <c r="I331" s="103"/>
      <c r="J331" s="103"/>
      <c r="K331" s="100"/>
      <c r="L331" s="106"/>
      <c r="M331" s="106"/>
      <c r="N331" s="106"/>
      <c r="O331" s="458"/>
      <c r="P331" s="459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</row>
    <row r="332" spans="1:28" ht="19.5" hidden="1" thickBot="1" x14ac:dyDescent="0.35">
      <c r="A332" s="116"/>
      <c r="B332" s="103"/>
      <c r="C332" s="103"/>
      <c r="D332" s="103"/>
      <c r="E332" s="103"/>
      <c r="F332" s="103"/>
      <c r="G332" s="103"/>
      <c r="H332" s="103"/>
      <c r="I332" s="103"/>
      <c r="J332" s="103"/>
      <c r="K332" s="100"/>
      <c r="L332" s="106"/>
      <c r="M332" s="106"/>
      <c r="N332" s="106"/>
      <c r="O332" s="458"/>
      <c r="P332" s="459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</row>
    <row r="333" spans="1:28" ht="19.5" hidden="1" thickBot="1" x14ac:dyDescent="0.35">
      <c r="A333" s="117"/>
      <c r="B333" s="103"/>
      <c r="C333" s="103"/>
      <c r="D333" s="103"/>
      <c r="E333" s="103"/>
      <c r="F333" s="103"/>
      <c r="G333" s="103"/>
      <c r="H333" s="103"/>
      <c r="I333" s="103"/>
      <c r="J333" s="103"/>
      <c r="K333" s="100"/>
      <c r="L333" s="106"/>
      <c r="M333" s="106"/>
      <c r="N333" s="106"/>
      <c r="O333" s="458"/>
      <c r="P333" s="459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</row>
    <row r="334" spans="1:28" ht="19.5" hidden="1" thickBot="1" x14ac:dyDescent="0.35">
      <c r="A334" s="116"/>
      <c r="B334" s="103"/>
      <c r="C334" s="103"/>
      <c r="D334" s="103"/>
      <c r="E334" s="103"/>
      <c r="F334" s="103"/>
      <c r="G334" s="103"/>
      <c r="H334" s="103"/>
      <c r="I334" s="103"/>
      <c r="J334" s="103"/>
      <c r="K334" s="100"/>
      <c r="L334" s="118"/>
      <c r="M334" s="118"/>
      <c r="N334" s="118"/>
      <c r="O334" s="471"/>
      <c r="P334" s="472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</row>
    <row r="335" spans="1:28" ht="19.5" hidden="1" thickBot="1" x14ac:dyDescent="0.35">
      <c r="A335" s="117"/>
      <c r="B335" s="103"/>
      <c r="C335" s="103"/>
      <c r="D335" s="103"/>
      <c r="E335" s="103"/>
      <c r="F335" s="103"/>
      <c r="G335" s="103"/>
      <c r="H335" s="103"/>
      <c r="I335" s="103"/>
      <c r="J335" s="103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</row>
    <row r="336" spans="1:28" ht="19.5" hidden="1" thickBot="1" x14ac:dyDescent="0.35">
      <c r="A336" s="116"/>
      <c r="B336" s="103"/>
      <c r="C336" s="103"/>
      <c r="D336" s="103"/>
      <c r="E336" s="103"/>
      <c r="F336" s="103"/>
      <c r="G336" s="103"/>
      <c r="H336" s="103"/>
      <c r="I336" s="103"/>
      <c r="J336" s="103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</row>
    <row r="337" spans="1:28" ht="19.5" hidden="1" thickBot="1" x14ac:dyDescent="0.35">
      <c r="A337" s="117"/>
      <c r="B337" s="103"/>
      <c r="C337" s="103"/>
      <c r="D337" s="103"/>
      <c r="E337" s="103"/>
      <c r="F337" s="103"/>
      <c r="G337" s="103"/>
      <c r="H337" s="103"/>
      <c r="I337" s="103"/>
      <c r="J337" s="103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</row>
    <row r="338" spans="1:28" ht="19.5" hidden="1" thickBot="1" x14ac:dyDescent="0.35">
      <c r="A338" s="116"/>
      <c r="B338" s="103"/>
      <c r="C338" s="103"/>
      <c r="D338" s="103"/>
      <c r="E338" s="103"/>
      <c r="F338" s="103"/>
      <c r="G338" s="103"/>
      <c r="H338" s="103"/>
      <c r="I338" s="103"/>
      <c r="J338" s="103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</row>
    <row r="339" spans="1:28" ht="19.5" hidden="1" thickBot="1" x14ac:dyDescent="0.35">
      <c r="A339" s="117"/>
      <c r="B339" s="103"/>
      <c r="C339" s="103"/>
      <c r="D339" s="103"/>
      <c r="E339" s="103"/>
      <c r="F339" s="103"/>
      <c r="G339" s="103"/>
      <c r="H339" s="103"/>
      <c r="I339" s="103"/>
      <c r="J339" s="103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</row>
    <row r="340" spans="1:28" ht="19.5" hidden="1" thickBot="1" x14ac:dyDescent="0.35">
      <c r="A340" s="116"/>
      <c r="B340" s="103"/>
      <c r="C340" s="103"/>
      <c r="D340" s="103"/>
      <c r="E340" s="103"/>
      <c r="F340" s="103"/>
      <c r="G340" s="103"/>
      <c r="H340" s="103"/>
      <c r="I340" s="103"/>
      <c r="J340" s="103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</row>
    <row r="341" spans="1:28" ht="19.5" hidden="1" thickBot="1" x14ac:dyDescent="0.35">
      <c r="A341" s="117"/>
      <c r="B341" s="103"/>
      <c r="C341" s="103"/>
      <c r="D341" s="103"/>
      <c r="E341" s="103"/>
      <c r="F341" s="103"/>
      <c r="G341" s="103"/>
      <c r="H341" s="103"/>
      <c r="I341" s="103"/>
      <c r="J341" s="103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</row>
    <row r="342" spans="1:28" ht="19.5" hidden="1" thickBot="1" x14ac:dyDescent="0.35">
      <c r="A342" s="116"/>
      <c r="B342" s="103"/>
      <c r="C342" s="103"/>
      <c r="D342" s="103"/>
      <c r="E342" s="103"/>
      <c r="F342" s="103"/>
      <c r="G342" s="103"/>
      <c r="H342" s="103"/>
      <c r="I342" s="103"/>
      <c r="J342" s="103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</row>
    <row r="343" spans="1:28" ht="19.5" hidden="1" thickBot="1" x14ac:dyDescent="0.35">
      <c r="A343" s="117"/>
      <c r="B343" s="103"/>
      <c r="C343" s="103"/>
      <c r="D343" s="103"/>
      <c r="E343" s="103"/>
      <c r="F343" s="103"/>
      <c r="G343" s="103"/>
      <c r="H343" s="103"/>
      <c r="I343" s="103"/>
      <c r="J343" s="103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</row>
    <row r="344" spans="1:28" ht="19.5" hidden="1" thickBot="1" x14ac:dyDescent="0.35">
      <c r="A344" s="116"/>
      <c r="B344" s="103"/>
      <c r="C344" s="103"/>
      <c r="D344" s="103"/>
      <c r="E344" s="103"/>
      <c r="F344" s="103"/>
      <c r="G344" s="103"/>
      <c r="H344" s="103"/>
      <c r="I344" s="103"/>
      <c r="J344" s="103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</row>
    <row r="345" spans="1:28" ht="19.5" hidden="1" thickBot="1" x14ac:dyDescent="0.35">
      <c r="A345" s="117"/>
      <c r="B345" s="103"/>
      <c r="C345" s="103"/>
      <c r="D345" s="103"/>
      <c r="E345" s="103"/>
      <c r="F345" s="103"/>
      <c r="G345" s="103"/>
      <c r="H345" s="103"/>
      <c r="I345" s="103"/>
      <c r="J345" s="103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</row>
    <row r="346" spans="1:28" ht="19.5" hidden="1" thickBot="1" x14ac:dyDescent="0.35">
      <c r="A346" s="116"/>
      <c r="B346" s="103"/>
      <c r="C346" s="103"/>
      <c r="D346" s="103"/>
      <c r="E346" s="103"/>
      <c r="F346" s="103"/>
      <c r="G346" s="103"/>
      <c r="H346" s="103"/>
      <c r="I346" s="103"/>
      <c r="J346" s="103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</row>
    <row r="347" spans="1:28" ht="19.5" hidden="1" thickBot="1" x14ac:dyDescent="0.35">
      <c r="A347" s="117"/>
      <c r="B347" s="103"/>
      <c r="C347" s="103"/>
      <c r="D347" s="103"/>
      <c r="E347" s="103"/>
      <c r="F347" s="103"/>
      <c r="G347" s="103"/>
      <c r="H347" s="103"/>
      <c r="I347" s="103"/>
      <c r="J347" s="103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</row>
    <row r="348" spans="1:28" ht="19.5" hidden="1" thickBot="1" x14ac:dyDescent="0.35">
      <c r="A348" s="116"/>
      <c r="B348" s="103"/>
      <c r="C348" s="103"/>
      <c r="D348" s="103"/>
      <c r="E348" s="103"/>
      <c r="F348" s="103"/>
      <c r="G348" s="103"/>
      <c r="H348" s="103"/>
      <c r="I348" s="103"/>
      <c r="J348" s="103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</row>
    <row r="349" spans="1:28" ht="19.5" hidden="1" thickBot="1" x14ac:dyDescent="0.35">
      <c r="A349" s="117"/>
      <c r="B349" s="103"/>
      <c r="C349" s="103"/>
      <c r="D349" s="103"/>
      <c r="E349" s="103"/>
      <c r="F349" s="103"/>
      <c r="G349" s="103"/>
      <c r="H349" s="103"/>
      <c r="I349" s="103"/>
      <c r="J349" s="103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</row>
    <row r="350" spans="1:28" ht="19.5" hidden="1" thickBot="1" x14ac:dyDescent="0.35">
      <c r="A350" s="116"/>
      <c r="B350" s="103"/>
      <c r="C350" s="103"/>
      <c r="D350" s="103"/>
      <c r="E350" s="103"/>
      <c r="F350" s="103"/>
      <c r="G350" s="103"/>
      <c r="H350" s="103"/>
      <c r="I350" s="103"/>
      <c r="J350" s="103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</row>
    <row r="351" spans="1:28" ht="19.5" hidden="1" thickBot="1" x14ac:dyDescent="0.35">
      <c r="A351" s="117"/>
      <c r="B351" s="103"/>
      <c r="C351" s="103"/>
      <c r="D351" s="103"/>
      <c r="E351" s="103"/>
      <c r="F351" s="103"/>
      <c r="G351" s="103"/>
      <c r="H351" s="103"/>
      <c r="I351" s="103"/>
      <c r="J351" s="103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</row>
    <row r="352" spans="1:28" ht="19.5" hidden="1" thickBot="1" x14ac:dyDescent="0.35">
      <c r="A352" s="116"/>
      <c r="B352" s="103"/>
      <c r="C352" s="103"/>
      <c r="D352" s="103"/>
      <c r="E352" s="103"/>
      <c r="F352" s="103"/>
      <c r="G352" s="103"/>
      <c r="H352" s="103"/>
      <c r="I352" s="103"/>
      <c r="J352" s="103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</row>
    <row r="353" spans="1:28" ht="19.5" hidden="1" thickBot="1" x14ac:dyDescent="0.35">
      <c r="A353" s="117"/>
      <c r="B353" s="103"/>
      <c r="C353" s="103"/>
      <c r="D353" s="103"/>
      <c r="E353" s="103"/>
      <c r="F353" s="103"/>
      <c r="G353" s="103"/>
      <c r="H353" s="103"/>
      <c r="I353" s="103"/>
      <c r="J353" s="103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</row>
    <row r="354" spans="1:28" ht="19.5" hidden="1" thickBot="1" x14ac:dyDescent="0.35">
      <c r="A354" s="116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</row>
    <row r="355" spans="1:28" ht="19.5" hidden="1" thickBot="1" x14ac:dyDescent="0.35">
      <c r="A355" s="117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</row>
    <row r="356" spans="1:28" ht="19.5" hidden="1" thickBot="1" x14ac:dyDescent="0.35">
      <c r="A356" s="15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</row>
    <row r="357" spans="1:28" ht="19.5" hidden="1" thickBot="1" x14ac:dyDescent="0.35">
      <c r="A357" s="155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</row>
    <row r="358" spans="1:28" ht="19.5" hidden="1" thickBot="1" x14ac:dyDescent="0.35">
      <c r="A358" s="15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</row>
    <row r="359" spans="1:28" ht="19.5" hidden="1" thickBot="1" x14ac:dyDescent="0.35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</row>
    <row r="360" spans="1:28" ht="19.5" hidden="1" thickBot="1" x14ac:dyDescent="0.35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</row>
    <row r="361" spans="1:28" ht="19.5" hidden="1" thickBot="1" x14ac:dyDescent="0.35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</row>
    <row r="362" spans="1:28" ht="19.5" hidden="1" thickBot="1" x14ac:dyDescent="0.35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</row>
    <row r="363" spans="1:28" ht="19.5" hidden="1" thickBot="1" x14ac:dyDescent="0.35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</row>
    <row r="364" spans="1:28" ht="19.5" hidden="1" thickBot="1" x14ac:dyDescent="0.35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</row>
    <row r="365" spans="1:28" ht="19.5" hidden="1" thickBot="1" x14ac:dyDescent="0.3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</row>
    <row r="366" spans="1:28" ht="19.5" hidden="1" thickBot="1" x14ac:dyDescent="0.35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</row>
    <row r="367" spans="1:28" ht="19.5" hidden="1" thickBot="1" x14ac:dyDescent="0.35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</row>
    <row r="368" spans="1:28" ht="19.5" hidden="1" thickBot="1" x14ac:dyDescent="0.35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</row>
    <row r="369" spans="1:28" ht="19.5" hidden="1" thickBot="1" x14ac:dyDescent="0.35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</row>
    <row r="370" spans="1:28" ht="19.5" hidden="1" thickBot="1" x14ac:dyDescent="0.35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</row>
    <row r="371" spans="1:28" ht="19.5" hidden="1" thickBot="1" x14ac:dyDescent="0.35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</row>
    <row r="372" spans="1:28" ht="19.5" hidden="1" thickBot="1" x14ac:dyDescent="0.35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</row>
    <row r="373" spans="1:28" ht="19.5" hidden="1" thickBot="1" x14ac:dyDescent="0.35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</row>
    <row r="374" spans="1:28" ht="19.5" hidden="1" thickBot="1" x14ac:dyDescent="0.35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</row>
    <row r="375" spans="1:28" ht="19.5" hidden="1" thickBot="1" x14ac:dyDescent="0.3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</row>
    <row r="376" spans="1:28" ht="19.5" hidden="1" thickBot="1" x14ac:dyDescent="0.35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</row>
    <row r="377" spans="1:28" ht="19.5" hidden="1" thickBot="1" x14ac:dyDescent="0.35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</row>
    <row r="378" spans="1:28" ht="19.5" hidden="1" thickBot="1" x14ac:dyDescent="0.35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</row>
    <row r="379" spans="1:28" ht="19.5" hidden="1" thickBot="1" x14ac:dyDescent="0.35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</row>
    <row r="380" spans="1:28" ht="19.5" hidden="1" thickBot="1" x14ac:dyDescent="0.35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</row>
    <row r="381" spans="1:28" ht="19.5" hidden="1" thickBot="1" x14ac:dyDescent="0.35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</row>
    <row r="382" spans="1:28" ht="19.5" hidden="1" thickBot="1" x14ac:dyDescent="0.35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</row>
    <row r="383" spans="1:28" ht="19.5" hidden="1" thickBot="1" x14ac:dyDescent="0.35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</row>
    <row r="384" spans="1:28" ht="19.5" hidden="1" thickBot="1" x14ac:dyDescent="0.35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</row>
    <row r="385" spans="1:28" ht="19.5" hidden="1" thickBot="1" x14ac:dyDescent="0.3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</row>
    <row r="386" spans="1:28" ht="19.5" hidden="1" thickBot="1" x14ac:dyDescent="0.35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</row>
    <row r="387" spans="1:28" ht="19.5" hidden="1" thickBot="1" x14ac:dyDescent="0.35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</row>
    <row r="388" spans="1:28" ht="19.5" hidden="1" thickBot="1" x14ac:dyDescent="0.35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</row>
    <row r="389" spans="1:28" ht="19.5" hidden="1" thickBot="1" x14ac:dyDescent="0.35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</row>
    <row r="390" spans="1:28" ht="19.5" hidden="1" thickBot="1" x14ac:dyDescent="0.35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</row>
    <row r="391" spans="1:28" ht="19.5" hidden="1" thickBot="1" x14ac:dyDescent="0.35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</row>
    <row r="392" spans="1:28" ht="19.5" hidden="1" thickBot="1" x14ac:dyDescent="0.35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</row>
    <row r="393" spans="1:28" ht="19.5" hidden="1" thickBot="1" x14ac:dyDescent="0.35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</row>
    <row r="394" spans="1:28" ht="19.5" hidden="1" thickBot="1" x14ac:dyDescent="0.35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</row>
    <row r="395" spans="1:28" ht="19.5" hidden="1" thickBot="1" x14ac:dyDescent="0.3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</row>
    <row r="396" spans="1:28" ht="19.5" hidden="1" thickBot="1" x14ac:dyDescent="0.35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</row>
    <row r="397" spans="1:28" ht="19.5" hidden="1" thickBot="1" x14ac:dyDescent="0.35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</row>
    <row r="398" spans="1:28" ht="19.5" hidden="1" thickBot="1" x14ac:dyDescent="0.35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</row>
    <row r="399" spans="1:28" ht="19.5" hidden="1" thickBot="1" x14ac:dyDescent="0.35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</row>
    <row r="400" spans="1:28" ht="19.5" hidden="1" thickBot="1" x14ac:dyDescent="0.35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</row>
    <row r="401" spans="1:28" ht="19.5" hidden="1" thickBot="1" x14ac:dyDescent="0.35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</row>
    <row r="402" spans="1:28" ht="19.5" hidden="1" thickBot="1" x14ac:dyDescent="0.35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</row>
    <row r="403" spans="1:28" ht="19.5" hidden="1" thickBot="1" x14ac:dyDescent="0.35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</row>
    <row r="404" spans="1:28" ht="19.5" hidden="1" thickBot="1" x14ac:dyDescent="0.35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</row>
    <row r="405" spans="1:28" ht="19.5" hidden="1" thickBot="1" x14ac:dyDescent="0.3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</row>
    <row r="406" spans="1:28" ht="19.5" hidden="1" thickBot="1" x14ac:dyDescent="0.35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</row>
    <row r="407" spans="1:28" ht="19.5" hidden="1" thickBot="1" x14ac:dyDescent="0.35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</row>
    <row r="408" spans="1:28" ht="19.5" hidden="1" thickBot="1" x14ac:dyDescent="0.35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</row>
    <row r="409" spans="1:28" ht="19.5" hidden="1" thickBot="1" x14ac:dyDescent="0.35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</row>
    <row r="410" spans="1:28" ht="19.5" hidden="1" thickBot="1" x14ac:dyDescent="0.35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</row>
    <row r="411" spans="1:28" ht="19.5" hidden="1" thickBot="1" x14ac:dyDescent="0.35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</row>
    <row r="412" spans="1:28" ht="19.5" hidden="1" thickBot="1" x14ac:dyDescent="0.35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</row>
    <row r="413" spans="1:28" ht="19.5" hidden="1" thickBot="1" x14ac:dyDescent="0.35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</row>
    <row r="414" spans="1:28" ht="19.5" hidden="1" thickBot="1" x14ac:dyDescent="0.35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</row>
    <row r="415" spans="1:28" ht="19.5" hidden="1" thickBot="1" x14ac:dyDescent="0.3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</row>
    <row r="416" spans="1:28" ht="19.5" hidden="1" thickBot="1" x14ac:dyDescent="0.35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</row>
    <row r="417" spans="1:28" ht="19.5" hidden="1" thickBot="1" x14ac:dyDescent="0.35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</row>
    <row r="418" spans="1:28" ht="19.5" hidden="1" thickBot="1" x14ac:dyDescent="0.35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</row>
    <row r="419" spans="1:28" ht="19.5" hidden="1" thickBot="1" x14ac:dyDescent="0.35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</row>
    <row r="420" spans="1:28" ht="19.5" hidden="1" thickBot="1" x14ac:dyDescent="0.35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</row>
    <row r="421" spans="1:28" ht="19.5" hidden="1" thickBot="1" x14ac:dyDescent="0.35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</row>
    <row r="422" spans="1:28" ht="19.5" hidden="1" thickBot="1" x14ac:dyDescent="0.35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</row>
    <row r="423" spans="1:28" ht="19.5" hidden="1" thickBot="1" x14ac:dyDescent="0.35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</row>
    <row r="424" spans="1:28" ht="19.5" hidden="1" thickBot="1" x14ac:dyDescent="0.35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</row>
    <row r="425" spans="1:28" ht="19.5" hidden="1" thickBot="1" x14ac:dyDescent="0.3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</row>
    <row r="426" spans="1:28" ht="19.5" hidden="1" thickBot="1" x14ac:dyDescent="0.35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</row>
    <row r="427" spans="1:28" ht="19.5" hidden="1" thickBot="1" x14ac:dyDescent="0.35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</row>
    <row r="428" spans="1:28" ht="19.5" hidden="1" thickBot="1" x14ac:dyDescent="0.35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</row>
    <row r="429" spans="1:28" ht="19.5" hidden="1" thickBot="1" x14ac:dyDescent="0.35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</row>
    <row r="430" spans="1:28" ht="19.5" hidden="1" thickBot="1" x14ac:dyDescent="0.35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</row>
    <row r="431" spans="1:28" ht="19.5" hidden="1" thickBot="1" x14ac:dyDescent="0.35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</row>
    <row r="432" spans="1:28" ht="19.5" hidden="1" thickBot="1" x14ac:dyDescent="0.35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</row>
    <row r="433" spans="1:28" ht="19.5" hidden="1" thickBot="1" x14ac:dyDescent="0.35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</row>
    <row r="434" spans="1:28" ht="19.5" hidden="1" thickBot="1" x14ac:dyDescent="0.35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</row>
    <row r="435" spans="1:28" ht="19.5" hidden="1" thickBot="1" x14ac:dyDescent="0.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</row>
    <row r="436" spans="1:28" ht="19.5" hidden="1" thickBot="1" x14ac:dyDescent="0.35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</row>
    <row r="437" spans="1:28" ht="19.5" hidden="1" thickBot="1" x14ac:dyDescent="0.35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</row>
    <row r="438" spans="1:28" ht="19.5" hidden="1" thickBot="1" x14ac:dyDescent="0.35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</row>
    <row r="439" spans="1:28" ht="19.5" hidden="1" thickBot="1" x14ac:dyDescent="0.35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</row>
    <row r="440" spans="1:28" ht="19.5" hidden="1" thickBot="1" x14ac:dyDescent="0.35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</row>
    <row r="441" spans="1:28" ht="19.5" hidden="1" thickBot="1" x14ac:dyDescent="0.35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</row>
    <row r="442" spans="1:28" ht="19.5" hidden="1" thickBot="1" x14ac:dyDescent="0.35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</row>
    <row r="443" spans="1:28" ht="19.5" hidden="1" thickBot="1" x14ac:dyDescent="0.35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</row>
    <row r="444" spans="1:28" ht="19.5" hidden="1" thickBot="1" x14ac:dyDescent="0.35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</row>
    <row r="445" spans="1:28" ht="19.5" hidden="1" thickBot="1" x14ac:dyDescent="0.3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</row>
    <row r="446" spans="1:28" ht="19.5" hidden="1" thickBot="1" x14ac:dyDescent="0.35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</row>
    <row r="447" spans="1:28" ht="19.5" hidden="1" thickBot="1" x14ac:dyDescent="0.35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</row>
    <row r="448" spans="1:28" ht="19.5" hidden="1" thickBot="1" x14ac:dyDescent="0.35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</row>
    <row r="449" spans="1:28" ht="19.5" hidden="1" thickBot="1" x14ac:dyDescent="0.35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</row>
    <row r="450" spans="1:28" ht="19.5" hidden="1" thickBot="1" x14ac:dyDescent="0.35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</row>
    <row r="451" spans="1:28" ht="19.5" hidden="1" thickBot="1" x14ac:dyDescent="0.35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</row>
    <row r="452" spans="1:28" ht="19.5" hidden="1" thickBot="1" x14ac:dyDescent="0.35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</row>
    <row r="453" spans="1:28" ht="19.5" hidden="1" thickBot="1" x14ac:dyDescent="0.35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</row>
    <row r="454" spans="1:28" ht="19.5" hidden="1" thickBot="1" x14ac:dyDescent="0.35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</row>
    <row r="455" spans="1:28" ht="19.5" hidden="1" thickBot="1" x14ac:dyDescent="0.3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</row>
    <row r="456" spans="1:28" ht="19.5" hidden="1" thickBot="1" x14ac:dyDescent="0.35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</row>
    <row r="457" spans="1:28" ht="19.5" hidden="1" thickBot="1" x14ac:dyDescent="0.35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</row>
    <row r="458" spans="1:28" ht="19.5" hidden="1" thickBot="1" x14ac:dyDescent="0.35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</row>
    <row r="459" spans="1:28" ht="19.5" hidden="1" thickBot="1" x14ac:dyDescent="0.35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</row>
    <row r="460" spans="1:28" ht="19.5" hidden="1" thickBot="1" x14ac:dyDescent="0.35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</row>
    <row r="461" spans="1:28" ht="19.5" hidden="1" thickBot="1" x14ac:dyDescent="0.35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</row>
    <row r="462" spans="1:28" ht="19.5" hidden="1" thickBot="1" x14ac:dyDescent="0.35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</row>
    <row r="463" spans="1:28" ht="19.5" hidden="1" thickBot="1" x14ac:dyDescent="0.35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</row>
    <row r="464" spans="1:28" ht="19.5" hidden="1" thickBot="1" x14ac:dyDescent="0.35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</row>
    <row r="465" spans="1:28" ht="19.5" hidden="1" thickBot="1" x14ac:dyDescent="0.3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</row>
    <row r="466" spans="1:28" ht="19.5" hidden="1" thickBot="1" x14ac:dyDescent="0.35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</row>
    <row r="467" spans="1:28" ht="19.5" hidden="1" thickBot="1" x14ac:dyDescent="0.35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</row>
    <row r="468" spans="1:28" ht="19.5" hidden="1" thickBot="1" x14ac:dyDescent="0.35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</row>
    <row r="469" spans="1:28" ht="19.5" hidden="1" thickBot="1" x14ac:dyDescent="0.35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</row>
    <row r="470" spans="1:28" ht="19.5" hidden="1" thickBot="1" x14ac:dyDescent="0.35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</row>
    <row r="471" spans="1:28" ht="19.5" hidden="1" thickBot="1" x14ac:dyDescent="0.35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</row>
    <row r="472" spans="1:28" ht="19.5" hidden="1" thickBot="1" x14ac:dyDescent="0.35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</row>
    <row r="473" spans="1:28" ht="19.5" hidden="1" thickBot="1" x14ac:dyDescent="0.35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</row>
    <row r="474" spans="1:28" ht="19.5" hidden="1" thickBot="1" x14ac:dyDescent="0.35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</row>
    <row r="475" spans="1:28" ht="19.5" hidden="1" thickBot="1" x14ac:dyDescent="0.3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</row>
    <row r="476" spans="1:28" ht="19.5" hidden="1" thickBot="1" x14ac:dyDescent="0.35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</row>
    <row r="477" spans="1:28" ht="19.5" hidden="1" thickBot="1" x14ac:dyDescent="0.35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</row>
    <row r="478" spans="1:28" ht="19.5" hidden="1" thickBot="1" x14ac:dyDescent="0.35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</row>
    <row r="479" spans="1:28" ht="19.5" hidden="1" thickBot="1" x14ac:dyDescent="0.35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</row>
    <row r="480" spans="1:28" ht="19.5" hidden="1" thickBot="1" x14ac:dyDescent="0.35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</row>
    <row r="481" spans="1:28" ht="19.5" hidden="1" thickBot="1" x14ac:dyDescent="0.35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</row>
    <row r="482" spans="1:28" ht="19.5" hidden="1" thickBot="1" x14ac:dyDescent="0.35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</row>
    <row r="483" spans="1:28" ht="19.5" hidden="1" thickBot="1" x14ac:dyDescent="0.35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</row>
    <row r="484" spans="1:28" ht="19.5" hidden="1" thickBot="1" x14ac:dyDescent="0.35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</row>
    <row r="485" spans="1:28" ht="19.5" hidden="1" thickBot="1" x14ac:dyDescent="0.3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</row>
    <row r="486" spans="1:28" ht="19.5" hidden="1" thickBot="1" x14ac:dyDescent="0.35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</row>
    <row r="487" spans="1:28" ht="19.5" hidden="1" thickBot="1" x14ac:dyDescent="0.35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</row>
    <row r="488" spans="1:28" ht="19.5" hidden="1" thickBot="1" x14ac:dyDescent="0.35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</row>
    <row r="489" spans="1:28" ht="19.5" hidden="1" thickBot="1" x14ac:dyDescent="0.35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</row>
    <row r="490" spans="1:28" ht="19.5" hidden="1" thickBot="1" x14ac:dyDescent="0.35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</row>
    <row r="491" spans="1:28" ht="19.5" hidden="1" thickBot="1" x14ac:dyDescent="0.35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</row>
    <row r="492" spans="1:28" ht="19.5" hidden="1" thickBot="1" x14ac:dyDescent="0.35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</row>
    <row r="493" spans="1:28" ht="19.5" hidden="1" thickBot="1" x14ac:dyDescent="0.35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</row>
    <row r="494" spans="1:28" ht="19.5" hidden="1" thickBot="1" x14ac:dyDescent="0.35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</row>
    <row r="495" spans="1:28" ht="19.5" hidden="1" thickBot="1" x14ac:dyDescent="0.3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</row>
    <row r="496" spans="1:28" ht="19.5" hidden="1" thickBot="1" x14ac:dyDescent="0.35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</row>
    <row r="497" spans="1:28" ht="19.5" hidden="1" thickBot="1" x14ac:dyDescent="0.35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</row>
    <row r="498" spans="1:28" ht="19.5" hidden="1" thickBot="1" x14ac:dyDescent="0.35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</row>
    <row r="499" spans="1:28" ht="19.5" hidden="1" thickBot="1" x14ac:dyDescent="0.35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</row>
    <row r="500" spans="1:28" ht="19.5" hidden="1" thickBot="1" x14ac:dyDescent="0.35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</row>
    <row r="501" spans="1:28" ht="19.5" hidden="1" thickBot="1" x14ac:dyDescent="0.35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</row>
    <row r="502" spans="1:28" ht="19.5" hidden="1" thickBot="1" x14ac:dyDescent="0.35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</row>
    <row r="503" spans="1:28" ht="19.5" hidden="1" thickBot="1" x14ac:dyDescent="0.35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</row>
    <row r="504" spans="1:28" ht="19.5" hidden="1" thickBot="1" x14ac:dyDescent="0.35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</row>
    <row r="505" spans="1:28" ht="19.5" hidden="1" thickBot="1" x14ac:dyDescent="0.3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</row>
    <row r="506" spans="1:28" ht="19.5" hidden="1" thickBot="1" x14ac:dyDescent="0.35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</row>
    <row r="507" spans="1:28" ht="19.5" hidden="1" thickBot="1" x14ac:dyDescent="0.35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</row>
    <row r="508" spans="1:28" ht="19.5" hidden="1" thickBot="1" x14ac:dyDescent="0.35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</row>
    <row r="509" spans="1:28" ht="19.5" hidden="1" thickBot="1" x14ac:dyDescent="0.35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</row>
    <row r="510" spans="1:28" ht="19.5" hidden="1" thickBot="1" x14ac:dyDescent="0.35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</row>
    <row r="511" spans="1:28" ht="19.5" hidden="1" thickBot="1" x14ac:dyDescent="0.35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</row>
    <row r="512" spans="1:28" ht="19.5" hidden="1" thickBot="1" x14ac:dyDescent="0.35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</row>
    <row r="513" spans="1:28" ht="19.5" hidden="1" thickBot="1" x14ac:dyDescent="0.35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</row>
    <row r="514" spans="1:28" ht="19.5" hidden="1" thickBot="1" x14ac:dyDescent="0.35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</row>
    <row r="515" spans="1:28" ht="19.5" hidden="1" thickBot="1" x14ac:dyDescent="0.3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</row>
    <row r="516" spans="1:28" ht="19.5" hidden="1" thickBot="1" x14ac:dyDescent="0.35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</row>
    <row r="517" spans="1:28" ht="19.5" hidden="1" thickBot="1" x14ac:dyDescent="0.35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</row>
    <row r="518" spans="1:28" ht="19.5" hidden="1" thickBot="1" x14ac:dyDescent="0.35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</row>
    <row r="519" spans="1:28" ht="19.5" hidden="1" thickBot="1" x14ac:dyDescent="0.35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</row>
    <row r="520" spans="1:28" ht="19.5" hidden="1" thickBot="1" x14ac:dyDescent="0.35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</row>
    <row r="521" spans="1:28" ht="19.5" hidden="1" thickBot="1" x14ac:dyDescent="0.35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</row>
    <row r="522" spans="1:28" ht="19.5" hidden="1" thickBot="1" x14ac:dyDescent="0.35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</row>
    <row r="523" spans="1:28" ht="19.5" hidden="1" thickBot="1" x14ac:dyDescent="0.35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</row>
    <row r="524" spans="1:28" ht="19.5" hidden="1" thickBot="1" x14ac:dyDescent="0.35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</row>
    <row r="525" spans="1:28" ht="19.5" hidden="1" thickBot="1" x14ac:dyDescent="0.3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</row>
    <row r="526" spans="1:28" ht="19.5" hidden="1" thickBot="1" x14ac:dyDescent="0.35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</row>
    <row r="527" spans="1:28" ht="19.5" hidden="1" thickBot="1" x14ac:dyDescent="0.35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</row>
    <row r="528" spans="1:28" ht="19.5" hidden="1" thickBot="1" x14ac:dyDescent="0.35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</row>
    <row r="529" spans="1:28" ht="19.5" hidden="1" thickBot="1" x14ac:dyDescent="0.35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</row>
    <row r="530" spans="1:28" ht="19.5" hidden="1" thickBot="1" x14ac:dyDescent="0.35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</row>
    <row r="531" spans="1:28" ht="19.5" hidden="1" thickBot="1" x14ac:dyDescent="0.35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</row>
    <row r="532" spans="1:28" ht="19.5" hidden="1" thickBot="1" x14ac:dyDescent="0.35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</row>
    <row r="533" spans="1:28" ht="19.5" hidden="1" thickBot="1" x14ac:dyDescent="0.35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</row>
    <row r="534" spans="1:28" ht="19.5" hidden="1" thickBot="1" x14ac:dyDescent="0.35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</row>
    <row r="535" spans="1:28" ht="19.5" hidden="1" thickBot="1" x14ac:dyDescent="0.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</row>
    <row r="536" spans="1:28" ht="19.5" hidden="1" thickBot="1" x14ac:dyDescent="0.35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</row>
    <row r="537" spans="1:28" ht="19.5" hidden="1" thickBot="1" x14ac:dyDescent="0.35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</row>
    <row r="538" spans="1:28" ht="19.5" hidden="1" thickBot="1" x14ac:dyDescent="0.35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</row>
    <row r="539" spans="1:28" ht="19.5" hidden="1" thickBot="1" x14ac:dyDescent="0.35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</row>
    <row r="540" spans="1:28" ht="19.5" hidden="1" thickBot="1" x14ac:dyDescent="0.35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</row>
    <row r="541" spans="1:28" ht="19.5" hidden="1" thickBot="1" x14ac:dyDescent="0.35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</row>
    <row r="542" spans="1:28" ht="19.5" hidden="1" thickBot="1" x14ac:dyDescent="0.35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</row>
    <row r="543" spans="1:28" ht="19.5" hidden="1" thickBot="1" x14ac:dyDescent="0.35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</row>
    <row r="544" spans="1:28" ht="19.5" hidden="1" thickBot="1" x14ac:dyDescent="0.35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</row>
    <row r="545" spans="1:28" ht="19.5" hidden="1" thickBot="1" x14ac:dyDescent="0.3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</row>
    <row r="546" spans="1:28" ht="19.5" hidden="1" thickBot="1" x14ac:dyDescent="0.35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</row>
    <row r="547" spans="1:28" ht="19.5" hidden="1" thickBot="1" x14ac:dyDescent="0.35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</row>
    <row r="548" spans="1:28" ht="19.5" hidden="1" thickBot="1" x14ac:dyDescent="0.35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</row>
    <row r="549" spans="1:28" ht="19.5" hidden="1" thickBot="1" x14ac:dyDescent="0.35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</row>
    <row r="550" spans="1:28" ht="19.5" hidden="1" thickBot="1" x14ac:dyDescent="0.35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</row>
    <row r="551" spans="1:28" ht="19.5" hidden="1" thickBot="1" x14ac:dyDescent="0.35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</row>
    <row r="552" spans="1:28" ht="19.5" hidden="1" thickBot="1" x14ac:dyDescent="0.35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</row>
    <row r="553" spans="1:28" ht="19.5" hidden="1" thickBot="1" x14ac:dyDescent="0.35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</row>
    <row r="554" spans="1:28" ht="19.5" hidden="1" thickBot="1" x14ac:dyDescent="0.35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</row>
    <row r="555" spans="1:28" ht="19.5" hidden="1" thickBot="1" x14ac:dyDescent="0.3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</row>
    <row r="556" spans="1:28" ht="19.5" hidden="1" thickBot="1" x14ac:dyDescent="0.35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</row>
    <row r="557" spans="1:28" ht="19.5" hidden="1" thickBot="1" x14ac:dyDescent="0.35">
      <c r="A557" s="133"/>
      <c r="B557" s="94"/>
      <c r="C557" s="94"/>
      <c r="D557" s="94"/>
      <c r="E557" s="94"/>
      <c r="F557" s="103"/>
      <c r="G557" s="94"/>
      <c r="H557" s="94"/>
      <c r="I557" s="94"/>
      <c r="J557" s="103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</row>
    <row r="558" spans="1:28" ht="19.5" hidden="1" thickBot="1" x14ac:dyDescent="0.35">
      <c r="A558" s="133"/>
      <c r="B558" s="94"/>
      <c r="C558" s="94"/>
      <c r="D558" s="94"/>
      <c r="E558" s="94"/>
      <c r="F558" s="103"/>
      <c r="G558" s="94"/>
      <c r="H558" s="94"/>
      <c r="I558" s="94"/>
      <c r="J558" s="103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</row>
    <row r="559" spans="1:28" ht="19.5" hidden="1" thickBot="1" x14ac:dyDescent="0.35">
      <c r="A559" s="133"/>
      <c r="B559" s="94"/>
      <c r="C559" s="94"/>
      <c r="D559" s="94"/>
      <c r="E559" s="94"/>
      <c r="F559" s="103"/>
      <c r="G559" s="94"/>
      <c r="H559" s="94"/>
      <c r="I559" s="94"/>
      <c r="J559" s="103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</row>
    <row r="560" spans="1:28" ht="19.5" thickBot="1" x14ac:dyDescent="0.35">
      <c r="A560" s="94"/>
      <c r="B560" s="94"/>
      <c r="C560" s="94"/>
      <c r="D560" s="94"/>
      <c r="E560" s="141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</row>
    <row r="561" spans="1:28" ht="19.5" thickBot="1" x14ac:dyDescent="0.35">
      <c r="A561" s="94"/>
      <c r="B561" s="94"/>
      <c r="C561" s="94"/>
      <c r="D561" s="94"/>
      <c r="E561" s="141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</row>
    <row r="562" spans="1:28" ht="19.5" thickBot="1" x14ac:dyDescent="0.35">
      <c r="A562" s="94"/>
      <c r="B562" s="94"/>
      <c r="C562" s="94"/>
      <c r="D562" s="94"/>
      <c r="E562" s="141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</row>
    <row r="563" spans="1:28" ht="19.5" thickBot="1" x14ac:dyDescent="0.35">
      <c r="A563" s="94"/>
      <c r="B563" s="94"/>
      <c r="C563" s="94"/>
      <c r="D563" s="94"/>
      <c r="E563" s="141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</row>
    <row r="564" spans="1:28" ht="19.5" thickBot="1" x14ac:dyDescent="0.35">
      <c r="A564" s="94"/>
      <c r="B564" s="94"/>
      <c r="C564" s="94"/>
      <c r="D564" s="94"/>
      <c r="E564" s="141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</row>
    <row r="565" spans="1:28" ht="19.5" thickBot="1" x14ac:dyDescent="0.35">
      <c r="A565" s="94"/>
      <c r="B565" s="94"/>
      <c r="C565" s="94"/>
      <c r="D565" s="94"/>
      <c r="E565" s="141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</row>
    <row r="566" spans="1:28" ht="19.5" thickBot="1" x14ac:dyDescent="0.35">
      <c r="A566" s="94"/>
      <c r="B566" s="94"/>
      <c r="C566" s="94"/>
      <c r="D566" s="94"/>
      <c r="E566" s="141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</row>
    <row r="567" spans="1:28" ht="19.5" thickBot="1" x14ac:dyDescent="0.35">
      <c r="A567" s="94"/>
      <c r="B567" s="94"/>
      <c r="C567" s="94"/>
      <c r="D567" s="94"/>
      <c r="E567" s="141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</row>
    <row r="568" spans="1:28" ht="19.5" thickBot="1" x14ac:dyDescent="0.35">
      <c r="A568" s="94"/>
      <c r="B568" s="94"/>
      <c r="C568" s="94"/>
      <c r="D568" s="94"/>
      <c r="E568" s="141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</row>
    <row r="569" spans="1:28" ht="19.5" thickBot="1" x14ac:dyDescent="0.35">
      <c r="A569" s="94"/>
      <c r="B569" s="94"/>
      <c r="C569" s="94"/>
      <c r="D569" s="94"/>
      <c r="E569" s="141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</row>
    <row r="570" spans="1:28" ht="19.5" thickBot="1" x14ac:dyDescent="0.35">
      <c r="A570" s="94"/>
      <c r="B570" s="94"/>
      <c r="C570" s="94"/>
      <c r="D570" s="94"/>
      <c r="E570" s="141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</row>
    <row r="571" spans="1:28" ht="19.5" thickBot="1" x14ac:dyDescent="0.35">
      <c r="A571" s="94"/>
      <c r="B571" s="94"/>
      <c r="C571" s="94"/>
      <c r="D571" s="94"/>
      <c r="E571" s="141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</row>
    <row r="572" spans="1:28" ht="19.5" thickBot="1" x14ac:dyDescent="0.35">
      <c r="A572" s="94"/>
      <c r="B572" s="94"/>
      <c r="C572" s="94"/>
      <c r="D572" s="94"/>
      <c r="E572" s="141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</row>
    <row r="573" spans="1:28" ht="19.5" thickBot="1" x14ac:dyDescent="0.35">
      <c r="A573" s="94"/>
      <c r="B573" s="94"/>
      <c r="C573" s="94"/>
      <c r="D573" s="94"/>
      <c r="E573" s="141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</row>
    <row r="574" spans="1:28" ht="19.5" thickBot="1" x14ac:dyDescent="0.35">
      <c r="A574" s="94"/>
      <c r="B574" s="94"/>
      <c r="C574" s="94"/>
      <c r="D574" s="94"/>
      <c r="E574" s="141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</row>
    <row r="575" spans="1:28" ht="19.5" thickBot="1" x14ac:dyDescent="0.35">
      <c r="A575" s="94"/>
      <c r="B575" s="94"/>
      <c r="C575" s="94"/>
      <c r="D575" s="94"/>
      <c r="E575" s="141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</row>
    <row r="576" spans="1:28" ht="19.5" thickBot="1" x14ac:dyDescent="0.35">
      <c r="A576" s="94"/>
      <c r="B576" s="94"/>
      <c r="C576" s="94"/>
      <c r="D576" s="94"/>
      <c r="E576" s="141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</row>
    <row r="577" spans="1:28" ht="19.5" thickBot="1" x14ac:dyDescent="0.35">
      <c r="A577" s="94"/>
      <c r="B577" s="94"/>
      <c r="C577" s="94"/>
      <c r="D577" s="94"/>
      <c r="E577" s="141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</row>
    <row r="578" spans="1:28" ht="19.5" thickBot="1" x14ac:dyDescent="0.35">
      <c r="A578" s="94"/>
      <c r="B578" s="94"/>
      <c r="C578" s="94"/>
      <c r="D578" s="94"/>
      <c r="E578" s="141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</row>
    <row r="579" spans="1:28" ht="19.5" thickBot="1" x14ac:dyDescent="0.35">
      <c r="A579" s="94"/>
      <c r="B579" s="94"/>
      <c r="C579" s="94"/>
      <c r="D579" s="94"/>
      <c r="E579" s="141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</row>
    <row r="580" spans="1:28" ht="19.5" thickBot="1" x14ac:dyDescent="0.35">
      <c r="A580" s="94"/>
      <c r="B580" s="94"/>
      <c r="C580" s="94"/>
      <c r="D580" s="94"/>
      <c r="E580" s="141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</row>
    <row r="581" spans="1:28" ht="19.5" thickBot="1" x14ac:dyDescent="0.35">
      <c r="A581" s="94"/>
      <c r="B581" s="94"/>
      <c r="C581" s="94"/>
      <c r="D581" s="94"/>
      <c r="E581" s="141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</row>
    <row r="582" spans="1:28" ht="19.5" thickBot="1" x14ac:dyDescent="0.35">
      <c r="A582" s="94"/>
      <c r="B582" s="94"/>
      <c r="C582" s="94"/>
      <c r="D582" s="94"/>
      <c r="E582" s="141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</row>
    <row r="583" spans="1:28" ht="19.5" thickBot="1" x14ac:dyDescent="0.35">
      <c r="A583" s="94"/>
      <c r="B583" s="94"/>
      <c r="C583" s="94"/>
      <c r="D583" s="94"/>
      <c r="E583" s="141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</row>
    <row r="584" spans="1:28" ht="19.5" thickBot="1" x14ac:dyDescent="0.35">
      <c r="A584" s="94"/>
      <c r="B584" s="94"/>
      <c r="C584" s="94"/>
      <c r="D584" s="94"/>
      <c r="E584" s="141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</row>
    <row r="585" spans="1:28" ht="19.5" thickBot="1" x14ac:dyDescent="0.35">
      <c r="A585" s="94"/>
      <c r="B585" s="94"/>
      <c r="C585" s="94"/>
      <c r="D585" s="94"/>
      <c r="E585" s="141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</row>
    <row r="586" spans="1:28" ht="19.5" thickBot="1" x14ac:dyDescent="0.35">
      <c r="A586" s="94"/>
      <c r="B586" s="94"/>
      <c r="C586" s="94"/>
      <c r="D586" s="94"/>
      <c r="E586" s="141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</row>
    <row r="587" spans="1:28" ht="19.5" thickBot="1" x14ac:dyDescent="0.35">
      <c r="A587" s="94"/>
      <c r="B587" s="94"/>
      <c r="C587" s="94"/>
      <c r="D587" s="94"/>
      <c r="E587" s="141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</row>
    <row r="588" spans="1:28" ht="19.5" thickBot="1" x14ac:dyDescent="0.35">
      <c r="A588" s="94"/>
      <c r="B588" s="94"/>
      <c r="C588" s="94"/>
      <c r="D588" s="94"/>
      <c r="E588" s="141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</row>
    <row r="589" spans="1:28" ht="19.5" thickBot="1" x14ac:dyDescent="0.35">
      <c r="A589" s="94"/>
      <c r="B589" s="94"/>
      <c r="C589" s="94"/>
      <c r="D589" s="94"/>
      <c r="E589" s="141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</row>
    <row r="590" spans="1:28" ht="19.5" thickBot="1" x14ac:dyDescent="0.35">
      <c r="A590" s="94"/>
      <c r="B590" s="94"/>
      <c r="C590" s="94"/>
      <c r="D590" s="94"/>
      <c r="E590" s="141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</row>
    <row r="591" spans="1:28" ht="19.5" thickBot="1" x14ac:dyDescent="0.35">
      <c r="A591" s="94"/>
      <c r="B591" s="94"/>
      <c r="C591" s="94"/>
      <c r="D591" s="94"/>
      <c r="E591" s="141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</row>
    <row r="592" spans="1:28" ht="19.5" thickBot="1" x14ac:dyDescent="0.35">
      <c r="A592" s="94"/>
      <c r="B592" s="94"/>
      <c r="C592" s="94"/>
      <c r="D592" s="94"/>
      <c r="E592" s="141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</row>
    <row r="593" spans="1:28" ht="19.5" thickBot="1" x14ac:dyDescent="0.35">
      <c r="A593" s="94"/>
      <c r="B593" s="94"/>
      <c r="C593" s="94"/>
      <c r="D593" s="94"/>
      <c r="E593" s="141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</row>
    <row r="594" spans="1:28" ht="19.5" thickBot="1" x14ac:dyDescent="0.35">
      <c r="A594" s="94"/>
      <c r="B594" s="94"/>
      <c r="C594" s="94"/>
      <c r="D594" s="94"/>
      <c r="E594" s="141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</row>
    <row r="595" spans="1:28" ht="19.5" thickBot="1" x14ac:dyDescent="0.35">
      <c r="A595" s="94"/>
      <c r="B595" s="94"/>
      <c r="C595" s="94"/>
      <c r="D595" s="94"/>
      <c r="E595" s="141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</row>
    <row r="596" spans="1:28" ht="19.5" thickBot="1" x14ac:dyDescent="0.35">
      <c r="A596" s="94"/>
      <c r="B596" s="94"/>
      <c r="C596" s="94"/>
      <c r="D596" s="94"/>
      <c r="E596" s="141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</row>
    <row r="597" spans="1:28" ht="19.5" thickBot="1" x14ac:dyDescent="0.35">
      <c r="A597" s="94"/>
      <c r="B597" s="94"/>
      <c r="C597" s="94"/>
      <c r="D597" s="94"/>
      <c r="E597" s="141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</row>
    <row r="598" spans="1:28" ht="19.5" thickBot="1" x14ac:dyDescent="0.35">
      <c r="A598" s="94"/>
      <c r="B598" s="94"/>
      <c r="C598" s="94"/>
      <c r="D598" s="94"/>
      <c r="E598" s="141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</row>
    <row r="599" spans="1:28" ht="19.5" thickBot="1" x14ac:dyDescent="0.35">
      <c r="A599" s="94"/>
      <c r="B599" s="94"/>
      <c r="C599" s="94"/>
      <c r="D599" s="94"/>
      <c r="E599" s="141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</row>
    <row r="600" spans="1:28" ht="19.5" thickBot="1" x14ac:dyDescent="0.35">
      <c r="A600" s="94"/>
      <c r="B600" s="94"/>
      <c r="C600" s="94"/>
      <c r="D600" s="94"/>
      <c r="E600" s="141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</row>
    <row r="601" spans="1:28" ht="19.5" thickBot="1" x14ac:dyDescent="0.35">
      <c r="A601" s="94"/>
      <c r="B601" s="94"/>
      <c r="C601" s="94"/>
      <c r="D601" s="94"/>
      <c r="E601" s="141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</row>
    <row r="602" spans="1:28" ht="19.5" thickBot="1" x14ac:dyDescent="0.35">
      <c r="A602" s="94"/>
      <c r="B602" s="94"/>
      <c r="C602" s="94"/>
      <c r="D602" s="94"/>
      <c r="E602" s="141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</row>
    <row r="603" spans="1:28" ht="19.5" thickBot="1" x14ac:dyDescent="0.35">
      <c r="A603" s="94"/>
      <c r="B603" s="94"/>
      <c r="C603" s="94"/>
      <c r="D603" s="94"/>
      <c r="E603" s="141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</row>
    <row r="604" spans="1:28" ht="19.5" thickBot="1" x14ac:dyDescent="0.35">
      <c r="A604" s="94"/>
      <c r="B604" s="94"/>
      <c r="C604" s="94"/>
      <c r="D604" s="94"/>
      <c r="E604" s="141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</row>
    <row r="605" spans="1:28" ht="19.5" thickBot="1" x14ac:dyDescent="0.35">
      <c r="A605" s="94"/>
      <c r="B605" s="94"/>
      <c r="C605" s="94"/>
      <c r="D605" s="94"/>
      <c r="E605" s="141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</row>
    <row r="606" spans="1:28" ht="19.5" thickBot="1" x14ac:dyDescent="0.35">
      <c r="A606" s="94"/>
      <c r="B606" s="94"/>
      <c r="C606" s="94"/>
      <c r="D606" s="94"/>
      <c r="E606" s="141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</row>
    <row r="607" spans="1:28" ht="19.5" thickBot="1" x14ac:dyDescent="0.35">
      <c r="A607" s="94"/>
      <c r="B607" s="94"/>
      <c r="C607" s="94"/>
      <c r="D607" s="94"/>
      <c r="E607" s="141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</row>
    <row r="608" spans="1:28" ht="19.5" thickBot="1" x14ac:dyDescent="0.35">
      <c r="A608" s="94"/>
      <c r="B608" s="94"/>
      <c r="C608" s="94"/>
      <c r="D608" s="94"/>
      <c r="E608" s="141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</row>
    <row r="609" spans="1:28" ht="19.5" thickBot="1" x14ac:dyDescent="0.35">
      <c r="A609" s="94"/>
      <c r="B609" s="94"/>
      <c r="C609" s="94"/>
      <c r="D609" s="94"/>
      <c r="E609" s="141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</row>
    <row r="610" spans="1:28" ht="19.5" thickBot="1" x14ac:dyDescent="0.35">
      <c r="A610" s="94"/>
      <c r="B610" s="94"/>
      <c r="C610" s="94"/>
      <c r="D610" s="94"/>
      <c r="E610" s="141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</row>
    <row r="611" spans="1:28" ht="19.5" thickBot="1" x14ac:dyDescent="0.35">
      <c r="A611" s="94"/>
      <c r="B611" s="94"/>
      <c r="C611" s="94"/>
      <c r="D611" s="94"/>
      <c r="E611" s="141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</row>
    <row r="612" spans="1:28" ht="19.5" thickBot="1" x14ac:dyDescent="0.35">
      <c r="A612" s="94"/>
      <c r="B612" s="94"/>
      <c r="C612" s="94"/>
      <c r="D612" s="94"/>
      <c r="E612" s="141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</row>
    <row r="613" spans="1:28" ht="19.5" thickBot="1" x14ac:dyDescent="0.35">
      <c r="A613" s="94"/>
      <c r="B613" s="94"/>
      <c r="C613" s="94"/>
      <c r="D613" s="94"/>
      <c r="E613" s="141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</row>
    <row r="614" spans="1:28" ht="19.5" thickBot="1" x14ac:dyDescent="0.35">
      <c r="A614" s="94"/>
      <c r="B614" s="94"/>
      <c r="C614" s="94"/>
      <c r="D614" s="94"/>
      <c r="E614" s="141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</row>
    <row r="615" spans="1:28" ht="19.5" thickBot="1" x14ac:dyDescent="0.35">
      <c r="A615" s="94"/>
      <c r="B615" s="94"/>
      <c r="C615" s="94"/>
      <c r="D615" s="94"/>
      <c r="E615" s="141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</row>
    <row r="616" spans="1:28" ht="19.5" thickBot="1" x14ac:dyDescent="0.35">
      <c r="A616" s="94"/>
      <c r="B616" s="94"/>
      <c r="C616" s="94"/>
      <c r="D616" s="94"/>
      <c r="E616" s="141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</row>
    <row r="617" spans="1:28" ht="19.5" thickBot="1" x14ac:dyDescent="0.35">
      <c r="A617" s="94"/>
      <c r="B617" s="94"/>
      <c r="C617" s="94"/>
      <c r="D617" s="94"/>
      <c r="E617" s="141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</row>
    <row r="618" spans="1:28" ht="19.5" thickBot="1" x14ac:dyDescent="0.35">
      <c r="A618" s="94"/>
      <c r="B618" s="94"/>
      <c r="C618" s="94"/>
      <c r="D618" s="94"/>
      <c r="E618" s="141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</row>
    <row r="619" spans="1:28" ht="19.5" thickBot="1" x14ac:dyDescent="0.35">
      <c r="A619" s="94"/>
      <c r="B619" s="94"/>
      <c r="C619" s="94"/>
      <c r="D619" s="94"/>
      <c r="E619" s="141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</row>
    <row r="620" spans="1:28" ht="19.5" thickBot="1" x14ac:dyDescent="0.35">
      <c r="A620" s="94"/>
      <c r="B620" s="94"/>
      <c r="C620" s="94"/>
      <c r="D620" s="94"/>
      <c r="E620" s="141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</row>
    <row r="621" spans="1:28" ht="19.5" thickBot="1" x14ac:dyDescent="0.35">
      <c r="A621" s="94"/>
      <c r="B621" s="94"/>
      <c r="C621" s="94"/>
      <c r="D621" s="94"/>
      <c r="E621" s="141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</row>
    <row r="622" spans="1:28" ht="19.5" thickBot="1" x14ac:dyDescent="0.35">
      <c r="A622" s="94"/>
      <c r="B622" s="94"/>
      <c r="C622" s="94"/>
      <c r="D622" s="94"/>
      <c r="E622" s="141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</row>
    <row r="623" spans="1:28" ht="19.5" thickBot="1" x14ac:dyDescent="0.35">
      <c r="A623" s="94"/>
      <c r="B623" s="94"/>
      <c r="C623" s="94"/>
      <c r="D623" s="94"/>
      <c r="E623" s="141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</row>
    <row r="624" spans="1:28" ht="19.5" thickBot="1" x14ac:dyDescent="0.35">
      <c r="A624" s="94"/>
      <c r="B624" s="94"/>
      <c r="C624" s="94"/>
      <c r="D624" s="94"/>
      <c r="E624" s="141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</row>
    <row r="625" spans="1:28" ht="19.5" thickBot="1" x14ac:dyDescent="0.35">
      <c r="A625" s="94"/>
      <c r="B625" s="94"/>
      <c r="C625" s="94"/>
      <c r="D625" s="94"/>
      <c r="E625" s="141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</row>
    <row r="626" spans="1:28" ht="19.5" thickBot="1" x14ac:dyDescent="0.35">
      <c r="A626" s="94"/>
      <c r="B626" s="94"/>
      <c r="C626" s="94"/>
      <c r="D626" s="94"/>
      <c r="E626" s="141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</row>
    <row r="627" spans="1:28" ht="19.5" thickBot="1" x14ac:dyDescent="0.35">
      <c r="A627" s="94"/>
      <c r="B627" s="94"/>
      <c r="C627" s="94"/>
      <c r="D627" s="94"/>
      <c r="E627" s="141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</row>
    <row r="628" spans="1:28" ht="19.5" thickBot="1" x14ac:dyDescent="0.35">
      <c r="A628" s="94"/>
      <c r="B628" s="94"/>
      <c r="C628" s="94"/>
      <c r="D628" s="94"/>
      <c r="E628" s="141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</row>
    <row r="629" spans="1:28" ht="19.5" thickBot="1" x14ac:dyDescent="0.35">
      <c r="A629" s="94"/>
      <c r="B629" s="94"/>
      <c r="C629" s="94"/>
      <c r="D629" s="94"/>
      <c r="E629" s="141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</row>
    <row r="630" spans="1:28" ht="19.5" thickBot="1" x14ac:dyDescent="0.35">
      <c r="A630" s="94"/>
      <c r="B630" s="94"/>
      <c r="C630" s="94"/>
      <c r="D630" s="94"/>
      <c r="E630" s="141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</row>
    <row r="631" spans="1:28" ht="19.5" thickBot="1" x14ac:dyDescent="0.35">
      <c r="A631" s="94"/>
      <c r="B631" s="94"/>
      <c r="C631" s="94"/>
      <c r="D631" s="94"/>
      <c r="E631" s="141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</row>
    <row r="632" spans="1:28" ht="19.5" thickBot="1" x14ac:dyDescent="0.35">
      <c r="A632" s="94"/>
      <c r="B632" s="94"/>
      <c r="C632" s="94"/>
      <c r="D632" s="94"/>
      <c r="E632" s="141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</row>
    <row r="633" spans="1:28" ht="19.5" thickBot="1" x14ac:dyDescent="0.35">
      <c r="A633" s="94"/>
      <c r="B633" s="94"/>
      <c r="C633" s="94"/>
      <c r="D633" s="94"/>
      <c r="E633" s="141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</row>
    <row r="634" spans="1:28" ht="19.5" thickBot="1" x14ac:dyDescent="0.35">
      <c r="A634" s="94"/>
      <c r="B634" s="94"/>
      <c r="C634" s="94"/>
      <c r="D634" s="94"/>
      <c r="E634" s="141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</row>
    <row r="635" spans="1:28" ht="19.5" thickBot="1" x14ac:dyDescent="0.35">
      <c r="A635" s="94"/>
      <c r="B635" s="94"/>
      <c r="C635" s="94"/>
      <c r="D635" s="94"/>
      <c r="E635" s="141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</row>
    <row r="636" spans="1:28" ht="19.5" thickBot="1" x14ac:dyDescent="0.35">
      <c r="A636" s="94"/>
      <c r="B636" s="94"/>
      <c r="C636" s="94"/>
      <c r="D636" s="94"/>
      <c r="E636" s="141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</row>
    <row r="637" spans="1:28" ht="19.5" thickBot="1" x14ac:dyDescent="0.35">
      <c r="A637" s="94"/>
      <c r="B637" s="94"/>
      <c r="C637" s="94"/>
      <c r="D637" s="94"/>
      <c r="E637" s="141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</row>
    <row r="638" spans="1:28" ht="19.5" thickBot="1" x14ac:dyDescent="0.35">
      <c r="A638" s="94"/>
      <c r="B638" s="94"/>
      <c r="C638" s="94"/>
      <c r="D638" s="94"/>
      <c r="E638" s="141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</row>
    <row r="639" spans="1:28" ht="19.5" thickBot="1" x14ac:dyDescent="0.35">
      <c r="A639" s="94"/>
      <c r="B639" s="94"/>
      <c r="C639" s="94"/>
      <c r="D639" s="94"/>
      <c r="E639" s="141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</row>
    <row r="640" spans="1:28" ht="19.5" thickBot="1" x14ac:dyDescent="0.35">
      <c r="A640" s="94"/>
      <c r="B640" s="94"/>
      <c r="C640" s="94"/>
      <c r="D640" s="94"/>
      <c r="E640" s="141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</row>
    <row r="641" spans="1:28" ht="19.5" thickBot="1" x14ac:dyDescent="0.35">
      <c r="A641" s="94"/>
      <c r="B641" s="94"/>
      <c r="C641" s="94"/>
      <c r="D641" s="94"/>
      <c r="E641" s="141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</row>
    <row r="642" spans="1:28" ht="19.5" thickBot="1" x14ac:dyDescent="0.35">
      <c r="A642" s="94"/>
      <c r="B642" s="94"/>
      <c r="C642" s="94"/>
      <c r="D642" s="94"/>
      <c r="E642" s="141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</row>
    <row r="643" spans="1:28" ht="19.5" thickBot="1" x14ac:dyDescent="0.35">
      <c r="A643" s="94"/>
      <c r="B643" s="94"/>
      <c r="C643" s="94"/>
      <c r="D643" s="94"/>
      <c r="E643" s="141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</row>
    <row r="644" spans="1:28" ht="19.5" thickBot="1" x14ac:dyDescent="0.35">
      <c r="A644" s="94"/>
      <c r="B644" s="94"/>
      <c r="C644" s="94"/>
      <c r="D644" s="94"/>
      <c r="E644" s="141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</row>
    <row r="645" spans="1:28" ht="19.5" thickBot="1" x14ac:dyDescent="0.35">
      <c r="A645" s="94"/>
      <c r="B645" s="94"/>
      <c r="C645" s="94"/>
      <c r="D645" s="94"/>
      <c r="E645" s="141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</row>
    <row r="646" spans="1:28" ht="19.5" thickBot="1" x14ac:dyDescent="0.35">
      <c r="A646" s="94"/>
      <c r="B646" s="94"/>
      <c r="C646" s="94"/>
      <c r="D646" s="94"/>
      <c r="E646" s="141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</row>
    <row r="647" spans="1:28" ht="19.5" thickBot="1" x14ac:dyDescent="0.35">
      <c r="A647" s="94"/>
      <c r="B647" s="94"/>
      <c r="C647" s="94"/>
      <c r="D647" s="94"/>
      <c r="E647" s="141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</row>
    <row r="648" spans="1:28" ht="19.5" thickBot="1" x14ac:dyDescent="0.35">
      <c r="A648" s="94"/>
      <c r="B648" s="94"/>
      <c r="C648" s="94"/>
      <c r="D648" s="94"/>
      <c r="E648" s="141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</row>
    <row r="649" spans="1:28" ht="19.5" thickBot="1" x14ac:dyDescent="0.35">
      <c r="A649" s="94"/>
      <c r="B649" s="94"/>
      <c r="C649" s="94"/>
      <c r="D649" s="94"/>
      <c r="E649" s="141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</row>
    <row r="650" spans="1:28" ht="19.5" thickBot="1" x14ac:dyDescent="0.35">
      <c r="A650" s="94"/>
      <c r="B650" s="94"/>
      <c r="C650" s="94"/>
      <c r="D650" s="94"/>
      <c r="E650" s="141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</row>
    <row r="651" spans="1:28" ht="19.5" thickBot="1" x14ac:dyDescent="0.35">
      <c r="A651" s="94"/>
      <c r="B651" s="94"/>
      <c r="C651" s="94"/>
      <c r="D651" s="94"/>
      <c r="E651" s="141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</row>
    <row r="652" spans="1:28" ht="19.5" thickBot="1" x14ac:dyDescent="0.35">
      <c r="A652" s="94"/>
      <c r="B652" s="94"/>
      <c r="C652" s="94"/>
      <c r="D652" s="94"/>
      <c r="E652" s="141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</row>
    <row r="653" spans="1:28" ht="19.5" thickBot="1" x14ac:dyDescent="0.35">
      <c r="A653" s="94"/>
      <c r="B653" s="94"/>
      <c r="C653" s="94"/>
      <c r="D653" s="94"/>
      <c r="E653" s="141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</row>
    <row r="654" spans="1:28" ht="19.5" thickBot="1" x14ac:dyDescent="0.35">
      <c r="A654" s="94"/>
      <c r="B654" s="94"/>
      <c r="C654" s="94"/>
      <c r="D654" s="94"/>
      <c r="E654" s="141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</row>
    <row r="655" spans="1:28" ht="19.5" thickBot="1" x14ac:dyDescent="0.35">
      <c r="A655" s="94"/>
      <c r="B655" s="94"/>
      <c r="C655" s="94"/>
      <c r="D655" s="94"/>
      <c r="E655" s="141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</row>
    <row r="656" spans="1:28" ht="19.5" thickBot="1" x14ac:dyDescent="0.35">
      <c r="A656" s="94"/>
      <c r="B656" s="94"/>
      <c r="C656" s="94"/>
      <c r="D656" s="94"/>
      <c r="E656" s="141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</row>
    <row r="657" spans="1:28" ht="19.5" thickBot="1" x14ac:dyDescent="0.35">
      <c r="A657" s="94"/>
      <c r="B657" s="94"/>
      <c r="C657" s="94"/>
      <c r="D657" s="94"/>
      <c r="E657" s="141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</row>
    <row r="658" spans="1:28" ht="19.5" thickBot="1" x14ac:dyDescent="0.35">
      <c r="A658" s="94"/>
      <c r="B658" s="94"/>
      <c r="C658" s="94"/>
      <c r="D658" s="94"/>
      <c r="E658" s="141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</row>
    <row r="659" spans="1:28" ht="19.5" thickBot="1" x14ac:dyDescent="0.35">
      <c r="A659" s="94"/>
      <c r="B659" s="94"/>
      <c r="C659" s="94"/>
      <c r="D659" s="94"/>
      <c r="E659" s="141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</row>
    <row r="660" spans="1:28" ht="19.5" thickBot="1" x14ac:dyDescent="0.35">
      <c r="A660" s="94"/>
      <c r="B660" s="94"/>
      <c r="C660" s="94"/>
      <c r="D660" s="94"/>
      <c r="E660" s="141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</row>
    <row r="661" spans="1:28" ht="19.5" thickBot="1" x14ac:dyDescent="0.35">
      <c r="A661" s="94"/>
      <c r="B661" s="94"/>
      <c r="C661" s="94"/>
      <c r="D661" s="94"/>
      <c r="E661" s="141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</row>
    <row r="662" spans="1:28" ht="19.5" thickBot="1" x14ac:dyDescent="0.35">
      <c r="A662" s="94"/>
      <c r="B662" s="94"/>
      <c r="C662" s="94"/>
      <c r="D662" s="94"/>
      <c r="E662" s="141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</row>
    <row r="663" spans="1:28" ht="19.5" thickBot="1" x14ac:dyDescent="0.35">
      <c r="A663" s="94"/>
      <c r="B663" s="94"/>
      <c r="C663" s="94"/>
      <c r="D663" s="94"/>
      <c r="E663" s="141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</row>
    <row r="664" spans="1:28" ht="19.5" thickBot="1" x14ac:dyDescent="0.35">
      <c r="A664" s="94"/>
      <c r="B664" s="94"/>
      <c r="C664" s="94"/>
      <c r="D664" s="94"/>
      <c r="E664" s="141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</row>
    <row r="665" spans="1:28" ht="19.5" thickBot="1" x14ac:dyDescent="0.35">
      <c r="A665" s="94"/>
      <c r="B665" s="94"/>
      <c r="C665" s="94"/>
      <c r="D665" s="94"/>
      <c r="E665" s="141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</row>
    <row r="666" spans="1:28" ht="19.5" thickBot="1" x14ac:dyDescent="0.35">
      <c r="A666" s="94"/>
      <c r="B666" s="94"/>
      <c r="C666" s="94"/>
      <c r="D666" s="94"/>
      <c r="E666" s="141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</row>
    <row r="667" spans="1:28" ht="19.5" thickBot="1" x14ac:dyDescent="0.35">
      <c r="A667" s="94"/>
      <c r="B667" s="94"/>
      <c r="C667" s="94"/>
      <c r="D667" s="94"/>
      <c r="E667" s="141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</row>
    <row r="668" spans="1:28" ht="19.5" thickBot="1" x14ac:dyDescent="0.35">
      <c r="A668" s="94"/>
      <c r="B668" s="94"/>
      <c r="C668" s="94"/>
      <c r="D668" s="94"/>
      <c r="E668" s="141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</row>
    <row r="669" spans="1:28" ht="19.5" thickBot="1" x14ac:dyDescent="0.35">
      <c r="A669" s="94"/>
      <c r="B669" s="94"/>
      <c r="C669" s="94"/>
      <c r="D669" s="94"/>
      <c r="E669" s="141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</row>
    <row r="670" spans="1:28" ht="19.5" thickBot="1" x14ac:dyDescent="0.35">
      <c r="A670" s="94"/>
      <c r="B670" s="94"/>
      <c r="C670" s="94"/>
      <c r="D670" s="94"/>
      <c r="E670" s="141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</row>
    <row r="671" spans="1:28" ht="19.5" thickBot="1" x14ac:dyDescent="0.35">
      <c r="A671" s="94"/>
      <c r="B671" s="94"/>
      <c r="C671" s="94"/>
      <c r="D671" s="94"/>
      <c r="E671" s="141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</row>
    <row r="672" spans="1:28" ht="19.5" thickBot="1" x14ac:dyDescent="0.35">
      <c r="A672" s="94"/>
      <c r="B672" s="94"/>
      <c r="C672" s="94"/>
      <c r="D672" s="94"/>
      <c r="E672" s="141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</row>
    <row r="673" spans="1:28" ht="19.5" thickBot="1" x14ac:dyDescent="0.35">
      <c r="A673" s="94"/>
      <c r="B673" s="94"/>
      <c r="C673" s="94"/>
      <c r="D673" s="94"/>
      <c r="E673" s="141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</row>
    <row r="674" spans="1:28" ht="19.5" thickBot="1" x14ac:dyDescent="0.35">
      <c r="A674" s="94"/>
      <c r="B674" s="94"/>
      <c r="C674" s="94"/>
      <c r="D674" s="94"/>
      <c r="E674" s="141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</row>
    <row r="675" spans="1:28" ht="19.5" thickBot="1" x14ac:dyDescent="0.35">
      <c r="A675" s="94"/>
      <c r="B675" s="94"/>
      <c r="C675" s="94"/>
      <c r="D675" s="94"/>
      <c r="E675" s="141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</row>
    <row r="676" spans="1:28" ht="19.5" thickBot="1" x14ac:dyDescent="0.35">
      <c r="A676" s="94"/>
      <c r="B676" s="94"/>
      <c r="C676" s="94"/>
      <c r="D676" s="94"/>
      <c r="E676" s="141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</row>
    <row r="677" spans="1:28" ht="19.5" thickBot="1" x14ac:dyDescent="0.35">
      <c r="A677" s="94"/>
      <c r="B677" s="94"/>
      <c r="C677" s="94"/>
      <c r="D677" s="94"/>
      <c r="E677" s="141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</row>
    <row r="678" spans="1:28" ht="19.5" thickBot="1" x14ac:dyDescent="0.35">
      <c r="A678" s="94"/>
      <c r="B678" s="94"/>
      <c r="C678" s="94"/>
      <c r="D678" s="94"/>
      <c r="E678" s="141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</row>
    <row r="679" spans="1:28" ht="19.5" thickBot="1" x14ac:dyDescent="0.35">
      <c r="A679" s="94"/>
      <c r="B679" s="94"/>
      <c r="C679" s="94"/>
      <c r="D679" s="94"/>
      <c r="E679" s="141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</row>
    <row r="680" spans="1:28" ht="19.5" thickBot="1" x14ac:dyDescent="0.35">
      <c r="A680" s="94"/>
      <c r="B680" s="94"/>
      <c r="C680" s="94"/>
      <c r="D680" s="94"/>
      <c r="E680" s="141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</row>
    <row r="681" spans="1:28" ht="19.5" thickBot="1" x14ac:dyDescent="0.35">
      <c r="A681" s="94"/>
      <c r="B681" s="94"/>
      <c r="C681" s="94"/>
      <c r="D681" s="94"/>
      <c r="E681" s="141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</row>
    <row r="682" spans="1:28" ht="19.5" thickBot="1" x14ac:dyDescent="0.35">
      <c r="A682" s="94"/>
      <c r="B682" s="94"/>
      <c r="C682" s="94"/>
      <c r="D682" s="94"/>
      <c r="E682" s="141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</row>
    <row r="683" spans="1:28" ht="19.5" thickBot="1" x14ac:dyDescent="0.35">
      <c r="A683" s="94"/>
      <c r="B683" s="94"/>
      <c r="C683" s="94"/>
      <c r="D683" s="94"/>
      <c r="E683" s="141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</row>
    <row r="684" spans="1:28" ht="19.5" thickBot="1" x14ac:dyDescent="0.35">
      <c r="A684" s="94"/>
      <c r="B684" s="94"/>
      <c r="C684" s="94"/>
      <c r="D684" s="94"/>
      <c r="E684" s="141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</row>
    <row r="685" spans="1:28" ht="19.5" thickBot="1" x14ac:dyDescent="0.35">
      <c r="A685" s="94"/>
      <c r="B685" s="94"/>
      <c r="C685" s="94"/>
      <c r="D685" s="94"/>
      <c r="E685" s="141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</row>
    <row r="686" spans="1:28" ht="19.5" thickBot="1" x14ac:dyDescent="0.35">
      <c r="A686" s="94"/>
      <c r="B686" s="94"/>
      <c r="C686" s="94"/>
      <c r="D686" s="94"/>
      <c r="E686" s="141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</row>
    <row r="687" spans="1:28" ht="19.5" thickBot="1" x14ac:dyDescent="0.35">
      <c r="A687" s="94"/>
      <c r="B687" s="94"/>
      <c r="C687" s="94"/>
      <c r="D687" s="94"/>
      <c r="E687" s="141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</row>
    <row r="688" spans="1:28" ht="19.5" thickBot="1" x14ac:dyDescent="0.35">
      <c r="A688" s="94"/>
      <c r="B688" s="94"/>
      <c r="C688" s="94"/>
      <c r="D688" s="94"/>
      <c r="E688" s="141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</row>
    <row r="689" spans="1:28" ht="19.5" thickBot="1" x14ac:dyDescent="0.35">
      <c r="A689" s="94"/>
      <c r="B689" s="94"/>
      <c r="C689" s="94"/>
      <c r="D689" s="94"/>
      <c r="E689" s="141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</row>
    <row r="690" spans="1:28" ht="19.5" thickBot="1" x14ac:dyDescent="0.35">
      <c r="A690" s="94"/>
      <c r="B690" s="94"/>
      <c r="C690" s="94"/>
      <c r="D690" s="94"/>
      <c r="E690" s="141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</row>
    <row r="691" spans="1:28" ht="19.5" thickBot="1" x14ac:dyDescent="0.35">
      <c r="A691" s="94"/>
      <c r="B691" s="94"/>
      <c r="C691" s="94"/>
      <c r="D691" s="94"/>
      <c r="E691" s="141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</row>
    <row r="692" spans="1:28" ht="19.5" thickBot="1" x14ac:dyDescent="0.35">
      <c r="A692" s="94"/>
      <c r="B692" s="94"/>
      <c r="C692" s="94"/>
      <c r="D692" s="94"/>
      <c r="E692" s="141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</row>
    <row r="693" spans="1:28" ht="19.5" thickBot="1" x14ac:dyDescent="0.35">
      <c r="A693" s="94"/>
      <c r="B693" s="94"/>
      <c r="C693" s="94"/>
      <c r="D693" s="94"/>
      <c r="E693" s="141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</row>
    <row r="694" spans="1:28" ht="19.5" thickBot="1" x14ac:dyDescent="0.35">
      <c r="A694" s="94"/>
      <c r="B694" s="94"/>
      <c r="C694" s="94"/>
      <c r="D694" s="94"/>
      <c r="E694" s="141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</row>
    <row r="695" spans="1:28" ht="19.5" thickBot="1" x14ac:dyDescent="0.35">
      <c r="A695" s="94"/>
      <c r="B695" s="94"/>
      <c r="C695" s="94"/>
      <c r="D695" s="94"/>
      <c r="E695" s="141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</row>
    <row r="696" spans="1:28" ht="19.5" thickBot="1" x14ac:dyDescent="0.35">
      <c r="A696" s="94"/>
      <c r="B696" s="94"/>
      <c r="C696" s="94"/>
      <c r="D696" s="94"/>
      <c r="E696" s="141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</row>
    <row r="697" spans="1:28" ht="19.5" thickBot="1" x14ac:dyDescent="0.35">
      <c r="A697" s="94"/>
      <c r="B697" s="94"/>
      <c r="C697" s="94"/>
      <c r="D697" s="94"/>
      <c r="E697" s="141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</row>
    <row r="698" spans="1:28" ht="19.5" thickBot="1" x14ac:dyDescent="0.35">
      <c r="A698" s="94"/>
      <c r="B698" s="94"/>
      <c r="C698" s="94"/>
      <c r="D698" s="94"/>
      <c r="E698" s="141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</row>
    <row r="699" spans="1:28" ht="19.5" thickBot="1" x14ac:dyDescent="0.35">
      <c r="A699" s="94"/>
      <c r="B699" s="94"/>
      <c r="C699" s="94"/>
      <c r="D699" s="94"/>
      <c r="E699" s="141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</row>
    <row r="700" spans="1:28" ht="19.5" thickBot="1" x14ac:dyDescent="0.35">
      <c r="A700" s="94"/>
      <c r="B700" s="94"/>
      <c r="C700" s="94"/>
      <c r="D700" s="94"/>
      <c r="E700" s="141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</row>
    <row r="701" spans="1:28" ht="19.5" thickBot="1" x14ac:dyDescent="0.35">
      <c r="A701" s="94"/>
      <c r="B701" s="94"/>
      <c r="C701" s="94"/>
      <c r="D701" s="94"/>
      <c r="E701" s="141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</row>
    <row r="702" spans="1:28" ht="19.5" thickBot="1" x14ac:dyDescent="0.35">
      <c r="A702" s="94"/>
      <c r="B702" s="94"/>
      <c r="C702" s="94"/>
      <c r="D702" s="94"/>
      <c r="E702" s="141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</row>
    <row r="703" spans="1:28" ht="19.5" thickBot="1" x14ac:dyDescent="0.35">
      <c r="A703" s="94"/>
      <c r="B703" s="94"/>
      <c r="C703" s="94"/>
      <c r="D703" s="94"/>
      <c r="E703" s="141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</row>
    <row r="704" spans="1:28" ht="19.5" thickBot="1" x14ac:dyDescent="0.35">
      <c r="A704" s="94"/>
      <c r="B704" s="94"/>
      <c r="C704" s="94"/>
      <c r="D704" s="94"/>
      <c r="E704" s="141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</row>
    <row r="705" spans="1:28" ht="19.5" thickBot="1" x14ac:dyDescent="0.35">
      <c r="A705" s="94"/>
      <c r="B705" s="94"/>
      <c r="C705" s="94"/>
      <c r="D705" s="94"/>
      <c r="E705" s="141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</row>
    <row r="706" spans="1:28" ht="19.5" thickBot="1" x14ac:dyDescent="0.35">
      <c r="A706" s="94"/>
      <c r="B706" s="94"/>
      <c r="C706" s="94"/>
      <c r="D706" s="94"/>
      <c r="E706" s="141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</row>
    <row r="707" spans="1:28" ht="19.5" thickBot="1" x14ac:dyDescent="0.35">
      <c r="A707" s="94"/>
      <c r="B707" s="94"/>
      <c r="C707" s="94"/>
      <c r="D707" s="94"/>
      <c r="E707" s="141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</row>
    <row r="708" spans="1:28" ht="19.5" thickBot="1" x14ac:dyDescent="0.35">
      <c r="A708" s="94"/>
      <c r="B708" s="94"/>
      <c r="C708" s="94"/>
      <c r="D708" s="94"/>
      <c r="E708" s="141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</row>
    <row r="709" spans="1:28" ht="19.5" thickBot="1" x14ac:dyDescent="0.35">
      <c r="A709" s="94"/>
      <c r="B709" s="94"/>
      <c r="C709" s="94"/>
      <c r="D709" s="94"/>
      <c r="E709" s="141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</row>
    <row r="710" spans="1:28" ht="19.5" thickBot="1" x14ac:dyDescent="0.35">
      <c r="A710" s="94"/>
      <c r="B710" s="94"/>
      <c r="C710" s="94"/>
      <c r="D710" s="94"/>
      <c r="E710" s="141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</row>
    <row r="711" spans="1:28" ht="19.5" thickBot="1" x14ac:dyDescent="0.35">
      <c r="A711" s="94"/>
      <c r="B711" s="94"/>
      <c r="C711" s="94"/>
      <c r="D711" s="94"/>
      <c r="E711" s="141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</row>
    <row r="712" spans="1:28" ht="19.5" thickBot="1" x14ac:dyDescent="0.35">
      <c r="A712" s="94"/>
      <c r="B712" s="94"/>
      <c r="C712" s="94"/>
      <c r="D712" s="94"/>
      <c r="E712" s="141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</row>
    <row r="713" spans="1:28" ht="19.5" thickBot="1" x14ac:dyDescent="0.35">
      <c r="A713" s="94"/>
      <c r="B713" s="94"/>
      <c r="C713" s="94"/>
      <c r="D713" s="94"/>
      <c r="E713" s="141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</row>
    <row r="714" spans="1:28" ht="19.5" thickBot="1" x14ac:dyDescent="0.35">
      <c r="A714" s="94"/>
      <c r="B714" s="94"/>
      <c r="C714" s="94"/>
      <c r="D714" s="94"/>
      <c r="E714" s="141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</row>
    <row r="715" spans="1:28" ht="19.5" thickBot="1" x14ac:dyDescent="0.35">
      <c r="A715" s="94"/>
      <c r="B715" s="94"/>
      <c r="C715" s="94"/>
      <c r="D715" s="94"/>
      <c r="E715" s="141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</row>
    <row r="716" spans="1:28" ht="19.5" thickBot="1" x14ac:dyDescent="0.35">
      <c r="A716" s="94"/>
      <c r="B716" s="94"/>
      <c r="C716" s="94"/>
      <c r="D716" s="94"/>
      <c r="E716" s="141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</row>
    <row r="717" spans="1:28" ht="19.5" thickBot="1" x14ac:dyDescent="0.35">
      <c r="A717" s="94"/>
      <c r="B717" s="94"/>
      <c r="C717" s="94"/>
      <c r="D717" s="94"/>
      <c r="E717" s="141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</row>
    <row r="718" spans="1:28" ht="19.5" thickBot="1" x14ac:dyDescent="0.35">
      <c r="A718" s="94"/>
      <c r="B718" s="94"/>
      <c r="C718" s="94"/>
      <c r="D718" s="94"/>
      <c r="E718" s="141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</row>
    <row r="719" spans="1:28" ht="19.5" thickBot="1" x14ac:dyDescent="0.35">
      <c r="A719" s="94"/>
      <c r="B719" s="94"/>
      <c r="C719" s="94"/>
      <c r="D719" s="94"/>
      <c r="E719" s="141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</row>
    <row r="720" spans="1:28" ht="19.5" thickBot="1" x14ac:dyDescent="0.35">
      <c r="A720" s="94"/>
      <c r="B720" s="94"/>
      <c r="C720" s="94"/>
      <c r="D720" s="94"/>
      <c r="E720" s="141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</row>
    <row r="721" spans="1:28" ht="19.5" thickBot="1" x14ac:dyDescent="0.35">
      <c r="A721" s="94"/>
      <c r="B721" s="94"/>
      <c r="C721" s="94"/>
      <c r="D721" s="94"/>
      <c r="E721" s="141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</row>
    <row r="722" spans="1:28" ht="19.5" thickBot="1" x14ac:dyDescent="0.35">
      <c r="A722" s="94"/>
      <c r="B722" s="94"/>
      <c r="C722" s="94"/>
      <c r="D722" s="94"/>
      <c r="E722" s="141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</row>
    <row r="723" spans="1:28" ht="19.5" thickBot="1" x14ac:dyDescent="0.35">
      <c r="A723" s="94"/>
      <c r="B723" s="94"/>
      <c r="C723" s="94"/>
      <c r="D723" s="94"/>
      <c r="E723" s="141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</row>
    <row r="724" spans="1:28" ht="19.5" thickBot="1" x14ac:dyDescent="0.35">
      <c r="A724" s="94"/>
      <c r="B724" s="94"/>
      <c r="C724" s="94"/>
      <c r="D724" s="94"/>
      <c r="E724" s="141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</row>
    <row r="725" spans="1:28" ht="19.5" thickBot="1" x14ac:dyDescent="0.35">
      <c r="A725" s="94"/>
      <c r="B725" s="94"/>
      <c r="C725" s="94"/>
      <c r="D725" s="94"/>
      <c r="E725" s="141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</row>
    <row r="726" spans="1:28" ht="19.5" thickBot="1" x14ac:dyDescent="0.35">
      <c r="A726" s="94"/>
      <c r="B726" s="94"/>
      <c r="C726" s="94"/>
      <c r="D726" s="94"/>
      <c r="E726" s="141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</row>
    <row r="727" spans="1:28" ht="19.5" thickBot="1" x14ac:dyDescent="0.35">
      <c r="A727" s="94"/>
      <c r="B727" s="94"/>
      <c r="C727" s="94"/>
      <c r="D727" s="94"/>
      <c r="E727" s="141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</row>
    <row r="728" spans="1:28" ht="19.5" thickBot="1" x14ac:dyDescent="0.35">
      <c r="A728" s="94"/>
      <c r="B728" s="94"/>
      <c r="C728" s="94"/>
      <c r="D728" s="94"/>
      <c r="E728" s="141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</row>
    <row r="729" spans="1:28" ht="19.5" thickBot="1" x14ac:dyDescent="0.35">
      <c r="A729" s="94"/>
      <c r="B729" s="94"/>
      <c r="C729" s="94"/>
      <c r="D729" s="94"/>
      <c r="E729" s="141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</row>
    <row r="730" spans="1:28" ht="19.5" thickBot="1" x14ac:dyDescent="0.35">
      <c r="A730" s="94"/>
      <c r="B730" s="94"/>
      <c r="C730" s="94"/>
      <c r="D730" s="94"/>
      <c r="E730" s="141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</row>
    <row r="731" spans="1:28" ht="19.5" thickBot="1" x14ac:dyDescent="0.35">
      <c r="A731" s="94"/>
      <c r="B731" s="94"/>
      <c r="C731" s="94"/>
      <c r="D731" s="94"/>
      <c r="E731" s="141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</row>
    <row r="732" spans="1:28" ht="19.5" thickBot="1" x14ac:dyDescent="0.35">
      <c r="A732" s="94"/>
      <c r="B732" s="94"/>
      <c r="C732" s="94"/>
      <c r="D732" s="94"/>
      <c r="E732" s="141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</row>
    <row r="733" spans="1:28" ht="19.5" thickBot="1" x14ac:dyDescent="0.35">
      <c r="A733" s="94"/>
      <c r="B733" s="94"/>
      <c r="C733" s="94"/>
      <c r="D733" s="94"/>
      <c r="E733" s="141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</row>
    <row r="734" spans="1:28" ht="19.5" thickBot="1" x14ac:dyDescent="0.35">
      <c r="A734" s="94"/>
      <c r="B734" s="94"/>
      <c r="C734" s="94"/>
      <c r="D734" s="94"/>
      <c r="E734" s="141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</row>
    <row r="735" spans="1:28" ht="19.5" thickBot="1" x14ac:dyDescent="0.35">
      <c r="A735" s="94"/>
      <c r="B735" s="94"/>
      <c r="C735" s="94"/>
      <c r="D735" s="94"/>
      <c r="E735" s="141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</row>
    <row r="736" spans="1:28" ht="19.5" thickBot="1" x14ac:dyDescent="0.35">
      <c r="A736" s="94"/>
      <c r="B736" s="94"/>
      <c r="C736" s="94"/>
      <c r="D736" s="94"/>
      <c r="E736" s="141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</row>
    <row r="737" spans="1:28" ht="19.5" thickBot="1" x14ac:dyDescent="0.35">
      <c r="A737" s="94"/>
      <c r="B737" s="94"/>
      <c r="C737" s="94"/>
      <c r="D737" s="94"/>
      <c r="E737" s="141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</row>
    <row r="738" spans="1:28" ht="19.5" thickBot="1" x14ac:dyDescent="0.35">
      <c r="A738" s="94"/>
      <c r="B738" s="94"/>
      <c r="C738" s="94"/>
      <c r="D738" s="94"/>
      <c r="E738" s="141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</row>
    <row r="739" spans="1:28" ht="19.5" thickBot="1" x14ac:dyDescent="0.35">
      <c r="A739" s="94"/>
      <c r="B739" s="94"/>
      <c r="C739" s="94"/>
      <c r="D739" s="94"/>
      <c r="E739" s="141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</row>
    <row r="740" spans="1:28" ht="19.5" thickBot="1" x14ac:dyDescent="0.35">
      <c r="A740" s="94"/>
      <c r="B740" s="94"/>
      <c r="C740" s="94"/>
      <c r="D740" s="94"/>
      <c r="E740" s="141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</row>
    <row r="741" spans="1:28" ht="19.5" thickBot="1" x14ac:dyDescent="0.35">
      <c r="A741" s="94"/>
      <c r="B741" s="94"/>
      <c r="C741" s="94"/>
      <c r="D741" s="94"/>
      <c r="E741" s="141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</row>
    <row r="742" spans="1:28" ht="19.5" thickBot="1" x14ac:dyDescent="0.35">
      <c r="A742" s="94"/>
      <c r="B742" s="94"/>
      <c r="C742" s="94"/>
      <c r="D742" s="94"/>
      <c r="E742" s="141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</row>
    <row r="743" spans="1:28" ht="19.5" thickBot="1" x14ac:dyDescent="0.35">
      <c r="A743" s="94"/>
      <c r="B743" s="94"/>
      <c r="C743" s="94"/>
      <c r="D743" s="94"/>
      <c r="E743" s="141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</row>
    <row r="744" spans="1:28" ht="19.5" thickBot="1" x14ac:dyDescent="0.35">
      <c r="A744" s="94"/>
      <c r="B744" s="94"/>
      <c r="C744" s="94"/>
      <c r="D744" s="94"/>
      <c r="E744" s="141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</row>
    <row r="745" spans="1:28" ht="19.5" thickBot="1" x14ac:dyDescent="0.35">
      <c r="A745" s="94"/>
      <c r="B745" s="94"/>
      <c r="C745" s="94"/>
      <c r="D745" s="94"/>
      <c r="E745" s="141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</row>
    <row r="746" spans="1:28" ht="19.5" thickBot="1" x14ac:dyDescent="0.35">
      <c r="A746" s="94"/>
      <c r="B746" s="94"/>
      <c r="C746" s="94"/>
      <c r="D746" s="94"/>
      <c r="E746" s="141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</row>
    <row r="747" spans="1:28" ht="19.5" thickBot="1" x14ac:dyDescent="0.35">
      <c r="A747" s="94"/>
      <c r="B747" s="94"/>
      <c r="C747" s="94"/>
      <c r="D747" s="94"/>
      <c r="E747" s="141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</row>
    <row r="748" spans="1:28" ht="19.5" thickBot="1" x14ac:dyDescent="0.35">
      <c r="A748" s="94"/>
      <c r="B748" s="94"/>
      <c r="C748" s="94"/>
      <c r="D748" s="94"/>
      <c r="E748" s="141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</row>
    <row r="749" spans="1:28" ht="19.5" thickBot="1" x14ac:dyDescent="0.35">
      <c r="A749" s="94"/>
      <c r="B749" s="94"/>
      <c r="C749" s="94"/>
      <c r="D749" s="94"/>
      <c r="E749" s="141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</row>
    <row r="750" spans="1:28" ht="19.5" thickBot="1" x14ac:dyDescent="0.35">
      <c r="A750" s="94"/>
      <c r="B750" s="94"/>
      <c r="C750" s="94"/>
      <c r="D750" s="94"/>
      <c r="E750" s="141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</row>
    <row r="751" spans="1:28" ht="19.5" thickBot="1" x14ac:dyDescent="0.35">
      <c r="A751" s="94"/>
      <c r="B751" s="94"/>
      <c r="C751" s="94"/>
      <c r="D751" s="94"/>
      <c r="E751" s="141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</row>
    <row r="752" spans="1:28" ht="19.5" thickBot="1" x14ac:dyDescent="0.35">
      <c r="A752" s="94"/>
      <c r="B752" s="94"/>
      <c r="C752" s="94"/>
      <c r="D752" s="94"/>
      <c r="E752" s="141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</row>
    <row r="753" spans="1:28" ht="19.5" thickBot="1" x14ac:dyDescent="0.35">
      <c r="A753" s="94"/>
      <c r="B753" s="94"/>
      <c r="C753" s="94"/>
      <c r="D753" s="94"/>
      <c r="E753" s="141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</row>
    <row r="754" spans="1:28" ht="19.5" thickBot="1" x14ac:dyDescent="0.35">
      <c r="A754" s="94"/>
      <c r="B754" s="94"/>
      <c r="C754" s="94"/>
      <c r="D754" s="94"/>
      <c r="E754" s="141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</row>
    <row r="755" spans="1:28" ht="19.5" thickBot="1" x14ac:dyDescent="0.35">
      <c r="A755" s="94"/>
      <c r="B755" s="94"/>
      <c r="C755" s="94"/>
      <c r="D755" s="94"/>
      <c r="E755" s="141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</row>
    <row r="756" spans="1:28" ht="19.5" thickBot="1" x14ac:dyDescent="0.35">
      <c r="A756" s="94"/>
      <c r="B756" s="94"/>
      <c r="C756" s="94"/>
      <c r="D756" s="94"/>
      <c r="E756" s="141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</row>
    <row r="757" spans="1:28" ht="19.5" thickBot="1" x14ac:dyDescent="0.35">
      <c r="A757" s="94"/>
      <c r="B757" s="94"/>
      <c r="C757" s="94"/>
      <c r="D757" s="94"/>
      <c r="E757" s="141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</row>
    <row r="758" spans="1:28" ht="19.5" thickBot="1" x14ac:dyDescent="0.35">
      <c r="A758" s="94"/>
      <c r="B758" s="94"/>
      <c r="C758" s="94"/>
      <c r="D758" s="94"/>
      <c r="E758" s="141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</row>
    <row r="759" spans="1:28" ht="19.5" thickBot="1" x14ac:dyDescent="0.35">
      <c r="A759" s="94"/>
      <c r="B759" s="94"/>
      <c r="C759" s="94"/>
      <c r="D759" s="94"/>
      <c r="E759" s="141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</row>
    <row r="760" spans="1:28" ht="19.5" thickBot="1" x14ac:dyDescent="0.35">
      <c r="A760" s="94"/>
      <c r="B760" s="94"/>
      <c r="C760" s="94"/>
      <c r="D760" s="94"/>
      <c r="E760" s="141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</row>
    <row r="761" spans="1:28" ht="19.5" thickBot="1" x14ac:dyDescent="0.35">
      <c r="A761" s="94"/>
      <c r="B761" s="94"/>
      <c r="C761" s="94"/>
      <c r="D761" s="94"/>
      <c r="E761" s="141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</row>
    <row r="762" spans="1:28" ht="19.5" thickBot="1" x14ac:dyDescent="0.35">
      <c r="A762" s="94"/>
      <c r="B762" s="94"/>
      <c r="C762" s="94"/>
      <c r="D762" s="94"/>
      <c r="E762" s="141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</row>
    <row r="763" spans="1:28" ht="19.5" thickBot="1" x14ac:dyDescent="0.35">
      <c r="A763" s="94"/>
      <c r="B763" s="94"/>
      <c r="C763" s="94"/>
      <c r="D763" s="94"/>
      <c r="E763" s="141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</row>
    <row r="764" spans="1:28" ht="19.5" thickBot="1" x14ac:dyDescent="0.35">
      <c r="A764" s="94"/>
      <c r="B764" s="94"/>
      <c r="C764" s="94"/>
      <c r="D764" s="94"/>
      <c r="E764" s="141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</row>
    <row r="765" spans="1:28" ht="19.5" thickBot="1" x14ac:dyDescent="0.35">
      <c r="A765" s="94"/>
      <c r="B765" s="94"/>
      <c r="C765" s="94"/>
      <c r="D765" s="94"/>
      <c r="E765" s="141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</row>
    <row r="766" spans="1:28" ht="19.5" thickBot="1" x14ac:dyDescent="0.35">
      <c r="A766" s="94"/>
      <c r="B766" s="94"/>
      <c r="C766" s="94"/>
      <c r="D766" s="94"/>
      <c r="E766" s="141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</row>
    <row r="767" spans="1:28" ht="19.5" thickBot="1" x14ac:dyDescent="0.35">
      <c r="A767" s="94"/>
      <c r="B767" s="94"/>
      <c r="C767" s="94"/>
      <c r="D767" s="94"/>
      <c r="E767" s="141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</row>
    <row r="768" spans="1:28" ht="19.5" thickBot="1" x14ac:dyDescent="0.35">
      <c r="A768" s="94"/>
      <c r="B768" s="94"/>
      <c r="C768" s="94"/>
      <c r="D768" s="94"/>
      <c r="E768" s="141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</row>
    <row r="769" spans="1:28" ht="19.5" thickBot="1" x14ac:dyDescent="0.35">
      <c r="A769" s="94"/>
      <c r="B769" s="94"/>
      <c r="C769" s="94"/>
      <c r="D769" s="94"/>
      <c r="E769" s="141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</row>
    <row r="770" spans="1:28" ht="19.5" thickBot="1" x14ac:dyDescent="0.35">
      <c r="A770" s="94"/>
      <c r="B770" s="94"/>
      <c r="C770" s="94"/>
      <c r="D770" s="94"/>
      <c r="E770" s="141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</row>
    <row r="771" spans="1:28" ht="19.5" thickBot="1" x14ac:dyDescent="0.35">
      <c r="A771" s="94"/>
      <c r="B771" s="94"/>
      <c r="C771" s="94"/>
      <c r="D771" s="94"/>
      <c r="E771" s="141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</row>
    <row r="772" spans="1:28" ht="19.5" thickBot="1" x14ac:dyDescent="0.35">
      <c r="A772" s="94"/>
      <c r="B772" s="94"/>
      <c r="C772" s="94"/>
      <c r="D772" s="94"/>
      <c r="E772" s="141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</row>
    <row r="773" spans="1:28" ht="19.5" thickBot="1" x14ac:dyDescent="0.35">
      <c r="A773" s="94"/>
      <c r="B773" s="94"/>
      <c r="C773" s="94"/>
      <c r="D773" s="94"/>
      <c r="E773" s="141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</row>
    <row r="774" spans="1:28" ht="19.5" thickBot="1" x14ac:dyDescent="0.35">
      <c r="A774" s="94"/>
      <c r="B774" s="94"/>
      <c r="C774" s="94"/>
      <c r="D774" s="94"/>
      <c r="E774" s="141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</row>
    <row r="775" spans="1:28" ht="19.5" thickBot="1" x14ac:dyDescent="0.35">
      <c r="A775" s="94"/>
      <c r="B775" s="94"/>
      <c r="C775" s="94"/>
      <c r="D775" s="94"/>
      <c r="E775" s="141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</row>
    <row r="776" spans="1:28" ht="19.5" thickBot="1" x14ac:dyDescent="0.35">
      <c r="A776" s="94"/>
      <c r="B776" s="94"/>
      <c r="C776" s="94"/>
      <c r="D776" s="94"/>
      <c r="E776" s="141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</row>
    <row r="777" spans="1:28" ht="19.5" thickBot="1" x14ac:dyDescent="0.35">
      <c r="A777" s="94"/>
      <c r="B777" s="94"/>
      <c r="C777" s="94"/>
      <c r="D777" s="94"/>
      <c r="E777" s="141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</row>
    <row r="778" spans="1:28" ht="19.5" thickBot="1" x14ac:dyDescent="0.35">
      <c r="A778" s="94"/>
      <c r="B778" s="94"/>
      <c r="C778" s="94"/>
      <c r="D778" s="94"/>
      <c r="E778" s="141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</row>
    <row r="779" spans="1:28" ht="19.5" thickBot="1" x14ac:dyDescent="0.35">
      <c r="A779" s="94"/>
      <c r="B779" s="94"/>
      <c r="C779" s="94"/>
      <c r="D779" s="94"/>
      <c r="E779" s="141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</row>
    <row r="780" spans="1:28" ht="19.5" thickBot="1" x14ac:dyDescent="0.35">
      <c r="A780" s="94"/>
      <c r="B780" s="94"/>
      <c r="C780" s="94"/>
      <c r="D780" s="94"/>
      <c r="E780" s="141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</row>
    <row r="781" spans="1:28" ht="19.5" thickBot="1" x14ac:dyDescent="0.35">
      <c r="A781" s="94"/>
      <c r="B781" s="94"/>
      <c r="C781" s="94"/>
      <c r="D781" s="94"/>
      <c r="E781" s="141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</row>
    <row r="782" spans="1:28" ht="19.5" thickBot="1" x14ac:dyDescent="0.35">
      <c r="A782" s="94"/>
      <c r="B782" s="94"/>
      <c r="C782" s="94"/>
      <c r="D782" s="94"/>
      <c r="E782" s="141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</row>
    <row r="783" spans="1:28" ht="19.5" thickBot="1" x14ac:dyDescent="0.35">
      <c r="A783" s="94"/>
      <c r="B783" s="94"/>
      <c r="C783" s="94"/>
      <c r="D783" s="94"/>
      <c r="E783" s="141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</row>
    <row r="784" spans="1:28" ht="19.5" thickBot="1" x14ac:dyDescent="0.35">
      <c r="A784" s="94"/>
      <c r="B784" s="94"/>
      <c r="C784" s="94"/>
      <c r="D784" s="94"/>
      <c r="E784" s="141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</row>
    <row r="785" spans="1:28" ht="19.5" thickBot="1" x14ac:dyDescent="0.35">
      <c r="A785" s="94"/>
      <c r="B785" s="94"/>
      <c r="C785" s="94"/>
      <c r="D785" s="94"/>
      <c r="E785" s="141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</row>
    <row r="786" spans="1:28" ht="19.5" thickBot="1" x14ac:dyDescent="0.35">
      <c r="A786" s="94"/>
      <c r="B786" s="94"/>
      <c r="C786" s="94"/>
      <c r="D786" s="94"/>
      <c r="E786" s="141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</row>
    <row r="787" spans="1:28" ht="19.5" thickBot="1" x14ac:dyDescent="0.35">
      <c r="A787" s="94"/>
      <c r="B787" s="94"/>
      <c r="C787" s="94"/>
      <c r="D787" s="94"/>
      <c r="E787" s="141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</row>
    <row r="788" spans="1:28" ht="19.5" thickBot="1" x14ac:dyDescent="0.35">
      <c r="A788" s="94"/>
      <c r="B788" s="94"/>
      <c r="C788" s="94"/>
      <c r="D788" s="94"/>
      <c r="E788" s="141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</row>
    <row r="789" spans="1:28" ht="19.5" thickBot="1" x14ac:dyDescent="0.35">
      <c r="A789" s="94"/>
      <c r="B789" s="94"/>
      <c r="C789" s="94"/>
      <c r="D789" s="94"/>
      <c r="E789" s="141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</row>
    <row r="790" spans="1:28" ht="19.5" thickBot="1" x14ac:dyDescent="0.35">
      <c r="A790" s="94"/>
      <c r="B790" s="94"/>
      <c r="C790" s="94"/>
      <c r="D790" s="94"/>
      <c r="E790" s="141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</row>
    <row r="791" spans="1:28" ht="19.5" thickBot="1" x14ac:dyDescent="0.35">
      <c r="A791" s="94"/>
      <c r="B791" s="94"/>
      <c r="C791" s="94"/>
      <c r="D791" s="94"/>
      <c r="E791" s="141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</row>
    <row r="792" spans="1:28" ht="19.5" thickBot="1" x14ac:dyDescent="0.35">
      <c r="A792" s="94"/>
      <c r="B792" s="94"/>
      <c r="C792" s="94"/>
      <c r="D792" s="94"/>
      <c r="E792" s="141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</row>
    <row r="793" spans="1:28" ht="19.5" thickBot="1" x14ac:dyDescent="0.35">
      <c r="A793" s="94"/>
      <c r="B793" s="94"/>
      <c r="C793" s="94"/>
      <c r="D793" s="94"/>
      <c r="E793" s="141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</row>
    <row r="794" spans="1:28" ht="19.5" thickBot="1" x14ac:dyDescent="0.35">
      <c r="A794" s="94"/>
      <c r="B794" s="94"/>
      <c r="C794" s="94"/>
      <c r="D794" s="94"/>
      <c r="E794" s="141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</row>
    <row r="795" spans="1:28" ht="19.5" thickBot="1" x14ac:dyDescent="0.35">
      <c r="A795" s="94"/>
      <c r="B795" s="94"/>
      <c r="C795" s="94"/>
      <c r="D795" s="94"/>
      <c r="E795" s="141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</row>
    <row r="796" spans="1:28" ht="19.5" thickBot="1" x14ac:dyDescent="0.35">
      <c r="A796" s="94"/>
      <c r="B796" s="94"/>
      <c r="C796" s="94"/>
      <c r="D796" s="94"/>
      <c r="E796" s="141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</row>
    <row r="797" spans="1:28" ht="19.5" thickBot="1" x14ac:dyDescent="0.35">
      <c r="A797" s="94"/>
      <c r="B797" s="94"/>
      <c r="C797" s="94"/>
      <c r="D797" s="94"/>
      <c r="E797" s="141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</row>
    <row r="798" spans="1:28" ht="19.5" thickBot="1" x14ac:dyDescent="0.35">
      <c r="A798" s="94"/>
      <c r="B798" s="94"/>
      <c r="C798" s="94"/>
      <c r="D798" s="94"/>
      <c r="E798" s="141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</row>
    <row r="799" spans="1:28" ht="19.5" thickBot="1" x14ac:dyDescent="0.35">
      <c r="A799" s="94"/>
      <c r="B799" s="94"/>
      <c r="C799" s="94"/>
      <c r="D799" s="94"/>
      <c r="E799" s="141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</row>
    <row r="800" spans="1:28" ht="19.5" thickBot="1" x14ac:dyDescent="0.35">
      <c r="A800" s="94"/>
      <c r="B800" s="94"/>
      <c r="C800" s="94"/>
      <c r="D800" s="94"/>
      <c r="E800" s="141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</row>
    <row r="801" spans="1:28" ht="19.5" thickBot="1" x14ac:dyDescent="0.35">
      <c r="A801" s="94"/>
      <c r="B801" s="94"/>
      <c r="C801" s="94"/>
      <c r="D801" s="94"/>
      <c r="E801" s="141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</row>
    <row r="802" spans="1:28" ht="19.5" thickBot="1" x14ac:dyDescent="0.35">
      <c r="A802" s="94"/>
      <c r="B802" s="94"/>
      <c r="C802" s="94"/>
      <c r="D802" s="94"/>
      <c r="E802" s="141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</row>
    <row r="803" spans="1:28" ht="19.5" thickBot="1" x14ac:dyDescent="0.35">
      <c r="A803" s="94"/>
      <c r="B803" s="94"/>
      <c r="C803" s="94"/>
      <c r="D803" s="94"/>
      <c r="E803" s="141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</row>
    <row r="804" spans="1:28" ht="19.5" thickBot="1" x14ac:dyDescent="0.35">
      <c r="A804" s="94"/>
      <c r="B804" s="94"/>
      <c r="C804" s="94"/>
      <c r="D804" s="94"/>
      <c r="E804" s="141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</row>
    <row r="805" spans="1:28" ht="19.5" thickBot="1" x14ac:dyDescent="0.35">
      <c r="A805" s="94"/>
      <c r="B805" s="94"/>
      <c r="C805" s="94"/>
      <c r="D805" s="94"/>
      <c r="E805" s="141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</row>
    <row r="806" spans="1:28" ht="19.5" thickBot="1" x14ac:dyDescent="0.35">
      <c r="A806" s="94"/>
      <c r="B806" s="94"/>
      <c r="C806" s="94"/>
      <c r="D806" s="94"/>
      <c r="E806" s="141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</row>
    <row r="807" spans="1:28" ht="19.5" thickBot="1" x14ac:dyDescent="0.35">
      <c r="A807" s="94"/>
      <c r="B807" s="94"/>
      <c r="C807" s="94"/>
      <c r="D807" s="94"/>
      <c r="E807" s="141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</row>
    <row r="808" spans="1:28" ht="19.5" thickBot="1" x14ac:dyDescent="0.35">
      <c r="A808" s="94"/>
      <c r="B808" s="94"/>
      <c r="C808" s="94"/>
      <c r="D808" s="94"/>
      <c r="E808" s="141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</row>
    <row r="809" spans="1:28" ht="19.5" thickBot="1" x14ac:dyDescent="0.35">
      <c r="A809" s="94"/>
      <c r="B809" s="94"/>
      <c r="C809" s="94"/>
      <c r="D809" s="94"/>
      <c r="E809" s="141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</row>
    <row r="810" spans="1:28" ht="19.5" thickBot="1" x14ac:dyDescent="0.35">
      <c r="A810" s="94"/>
      <c r="B810" s="94"/>
      <c r="C810" s="94"/>
      <c r="D810" s="94"/>
      <c r="E810" s="141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</row>
    <row r="811" spans="1:28" ht="19.5" thickBot="1" x14ac:dyDescent="0.35">
      <c r="A811" s="94"/>
      <c r="B811" s="94"/>
      <c r="C811" s="94"/>
      <c r="D811" s="94"/>
      <c r="E811" s="141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</row>
    <row r="812" spans="1:28" ht="19.5" thickBot="1" x14ac:dyDescent="0.35">
      <c r="A812" s="94"/>
      <c r="B812" s="94"/>
      <c r="C812" s="94"/>
      <c r="D812" s="94"/>
      <c r="E812" s="141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</row>
    <row r="813" spans="1:28" ht="19.5" thickBot="1" x14ac:dyDescent="0.35">
      <c r="A813" s="94"/>
      <c r="B813" s="94"/>
      <c r="C813" s="94"/>
      <c r="D813" s="94"/>
      <c r="E813" s="141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</row>
    <row r="814" spans="1:28" ht="19.5" thickBot="1" x14ac:dyDescent="0.35">
      <c r="A814" s="94"/>
      <c r="B814" s="94"/>
      <c r="C814" s="94"/>
      <c r="D814" s="94"/>
      <c r="E814" s="141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</row>
    <row r="815" spans="1:28" ht="19.5" thickBot="1" x14ac:dyDescent="0.35">
      <c r="A815" s="94"/>
      <c r="B815" s="94"/>
      <c r="C815" s="94"/>
      <c r="D815" s="94"/>
      <c r="E815" s="141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</row>
    <row r="816" spans="1:28" ht="19.5" thickBot="1" x14ac:dyDescent="0.35">
      <c r="A816" s="94"/>
      <c r="B816" s="94"/>
      <c r="C816" s="94"/>
      <c r="D816" s="94"/>
      <c r="E816" s="141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</row>
    <row r="817" spans="1:28" ht="19.5" thickBot="1" x14ac:dyDescent="0.35">
      <c r="A817" s="94"/>
      <c r="B817" s="94"/>
      <c r="C817" s="94"/>
      <c r="D817" s="94"/>
      <c r="E817" s="141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</row>
    <row r="818" spans="1:28" ht="19.5" thickBot="1" x14ac:dyDescent="0.35">
      <c r="A818" s="94"/>
      <c r="B818" s="94"/>
      <c r="C818" s="94"/>
      <c r="D818" s="94"/>
      <c r="E818" s="141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</row>
    <row r="819" spans="1:28" ht="19.5" thickBot="1" x14ac:dyDescent="0.35">
      <c r="A819" s="94"/>
      <c r="B819" s="94"/>
      <c r="C819" s="94"/>
      <c r="D819" s="94"/>
      <c r="E819" s="141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</row>
    <row r="820" spans="1:28" ht="19.5" thickBot="1" x14ac:dyDescent="0.35">
      <c r="A820" s="94"/>
      <c r="B820" s="94"/>
      <c r="C820" s="94"/>
      <c r="D820" s="94"/>
      <c r="E820" s="141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</row>
    <row r="821" spans="1:28" ht="19.5" thickBot="1" x14ac:dyDescent="0.35">
      <c r="A821" s="94"/>
      <c r="B821" s="94"/>
      <c r="C821" s="94"/>
      <c r="D821" s="94"/>
      <c r="E821" s="141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</row>
    <row r="822" spans="1:28" ht="19.5" thickBot="1" x14ac:dyDescent="0.35">
      <c r="A822" s="94"/>
      <c r="B822" s="94"/>
      <c r="C822" s="94"/>
      <c r="D822" s="94"/>
      <c r="E822" s="141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</row>
    <row r="823" spans="1:28" ht="19.5" thickBot="1" x14ac:dyDescent="0.35">
      <c r="A823" s="94"/>
      <c r="B823" s="94"/>
      <c r="C823" s="94"/>
      <c r="D823" s="94"/>
      <c r="E823" s="141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</row>
    <row r="824" spans="1:28" ht="19.5" thickBot="1" x14ac:dyDescent="0.35">
      <c r="A824" s="94"/>
      <c r="B824" s="94"/>
      <c r="C824" s="94"/>
      <c r="D824" s="94"/>
      <c r="E824" s="141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</row>
    <row r="825" spans="1:28" ht="19.5" thickBot="1" x14ac:dyDescent="0.35">
      <c r="A825" s="94"/>
      <c r="B825" s="94"/>
      <c r="C825" s="94"/>
      <c r="D825" s="94"/>
      <c r="E825" s="141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</row>
    <row r="826" spans="1:28" ht="19.5" thickBot="1" x14ac:dyDescent="0.35">
      <c r="A826" s="94"/>
      <c r="B826" s="94"/>
      <c r="C826" s="94"/>
      <c r="D826" s="94"/>
      <c r="E826" s="141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</row>
    <row r="827" spans="1:28" ht="19.5" thickBot="1" x14ac:dyDescent="0.35">
      <c r="A827" s="94"/>
      <c r="B827" s="94"/>
      <c r="C827" s="94"/>
      <c r="D827" s="94"/>
      <c r="E827" s="141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</row>
    <row r="828" spans="1:28" ht="19.5" thickBot="1" x14ac:dyDescent="0.35">
      <c r="A828" s="94"/>
      <c r="B828" s="94"/>
      <c r="C828" s="94"/>
      <c r="D828" s="94"/>
      <c r="E828" s="141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</row>
    <row r="829" spans="1:28" ht="19.5" thickBot="1" x14ac:dyDescent="0.35">
      <c r="A829" s="94"/>
      <c r="B829" s="94"/>
      <c r="C829" s="94"/>
      <c r="D829" s="94"/>
      <c r="E829" s="141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</row>
    <row r="830" spans="1:28" ht="19.5" thickBot="1" x14ac:dyDescent="0.35">
      <c r="A830" s="94"/>
      <c r="B830" s="94"/>
      <c r="C830" s="94"/>
      <c r="D830" s="94"/>
      <c r="E830" s="141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</row>
    <row r="831" spans="1:28" ht="19.5" thickBot="1" x14ac:dyDescent="0.35">
      <c r="A831" s="94"/>
      <c r="B831" s="94"/>
      <c r="C831" s="94"/>
      <c r="D831" s="94"/>
      <c r="E831" s="141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</row>
    <row r="832" spans="1:28" ht="19.5" thickBot="1" x14ac:dyDescent="0.35">
      <c r="A832" s="94"/>
      <c r="B832" s="94"/>
      <c r="C832" s="94"/>
      <c r="D832" s="94"/>
      <c r="E832" s="141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</row>
    <row r="833" spans="1:28" ht="19.5" thickBot="1" x14ac:dyDescent="0.35">
      <c r="A833" s="94"/>
      <c r="B833" s="94"/>
      <c r="C833" s="94"/>
      <c r="D833" s="94"/>
      <c r="E833" s="141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</row>
    <row r="834" spans="1:28" ht="19.5" thickBot="1" x14ac:dyDescent="0.35">
      <c r="A834" s="94"/>
      <c r="B834" s="94"/>
      <c r="C834" s="94"/>
      <c r="D834" s="94"/>
      <c r="E834" s="141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</row>
    <row r="835" spans="1:28" ht="19.5" thickBot="1" x14ac:dyDescent="0.35">
      <c r="A835" s="94"/>
      <c r="B835" s="94"/>
      <c r="C835" s="94"/>
      <c r="D835" s="94"/>
      <c r="E835" s="141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</row>
    <row r="836" spans="1:28" ht="19.5" thickBot="1" x14ac:dyDescent="0.35">
      <c r="A836" s="94"/>
      <c r="B836" s="94"/>
      <c r="C836" s="94"/>
      <c r="D836" s="94"/>
      <c r="E836" s="141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</row>
    <row r="837" spans="1:28" ht="19.5" thickBot="1" x14ac:dyDescent="0.35">
      <c r="A837" s="94"/>
      <c r="B837" s="94"/>
      <c r="C837" s="94"/>
      <c r="D837" s="94"/>
      <c r="E837" s="141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</row>
    <row r="838" spans="1:28" ht="19.5" thickBot="1" x14ac:dyDescent="0.35">
      <c r="A838" s="94"/>
      <c r="B838" s="94"/>
      <c r="C838" s="94"/>
      <c r="D838" s="94"/>
      <c r="E838" s="141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</row>
    <row r="839" spans="1:28" ht="19.5" thickBot="1" x14ac:dyDescent="0.35">
      <c r="A839" s="94"/>
      <c r="B839" s="94"/>
      <c r="C839" s="94"/>
      <c r="D839" s="94"/>
      <c r="E839" s="141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</row>
    <row r="840" spans="1:28" ht="19.5" thickBot="1" x14ac:dyDescent="0.35">
      <c r="A840" s="94"/>
      <c r="B840" s="94"/>
      <c r="C840" s="94"/>
      <c r="D840" s="94"/>
      <c r="E840" s="141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</row>
    <row r="841" spans="1:28" ht="19.5" thickBot="1" x14ac:dyDescent="0.35">
      <c r="A841" s="94"/>
      <c r="B841" s="94"/>
      <c r="C841" s="94"/>
      <c r="D841" s="94"/>
      <c r="E841" s="141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</row>
    <row r="842" spans="1:28" ht="19.5" thickBot="1" x14ac:dyDescent="0.35">
      <c r="A842" s="94"/>
      <c r="B842" s="94"/>
      <c r="C842" s="94"/>
      <c r="D842" s="94"/>
      <c r="E842" s="141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</row>
    <row r="843" spans="1:28" ht="19.5" thickBot="1" x14ac:dyDescent="0.35">
      <c r="A843" s="94"/>
      <c r="B843" s="94"/>
      <c r="C843" s="94"/>
      <c r="D843" s="94"/>
      <c r="E843" s="141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</row>
    <row r="844" spans="1:28" ht="19.5" thickBot="1" x14ac:dyDescent="0.35">
      <c r="A844" s="94"/>
      <c r="B844" s="94"/>
      <c r="C844" s="94"/>
      <c r="D844" s="94"/>
      <c r="E844" s="141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</row>
    <row r="845" spans="1:28" ht="19.5" thickBot="1" x14ac:dyDescent="0.35">
      <c r="A845" s="94"/>
      <c r="B845" s="94"/>
      <c r="C845" s="94"/>
      <c r="D845" s="94"/>
      <c r="E845" s="141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</row>
    <row r="846" spans="1:28" ht="19.5" thickBot="1" x14ac:dyDescent="0.35">
      <c r="A846" s="94"/>
      <c r="B846" s="94"/>
      <c r="C846" s="94"/>
      <c r="D846" s="94"/>
      <c r="E846" s="141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</row>
    <row r="847" spans="1:28" ht="19.5" thickBot="1" x14ac:dyDescent="0.35">
      <c r="A847" s="94"/>
      <c r="B847" s="94"/>
      <c r="C847" s="94"/>
      <c r="D847" s="94"/>
      <c r="E847" s="141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</row>
    <row r="848" spans="1:28" ht="19.5" thickBot="1" x14ac:dyDescent="0.35">
      <c r="A848" s="94"/>
      <c r="B848" s="94"/>
      <c r="C848" s="94"/>
      <c r="D848" s="94"/>
      <c r="E848" s="141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</row>
    <row r="849" spans="1:28" ht="19.5" thickBot="1" x14ac:dyDescent="0.35">
      <c r="A849" s="94"/>
      <c r="B849" s="94"/>
      <c r="C849" s="94"/>
      <c r="D849" s="94"/>
      <c r="E849" s="141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</row>
    <row r="850" spans="1:28" ht="19.5" thickBot="1" x14ac:dyDescent="0.35">
      <c r="A850" s="94"/>
      <c r="B850" s="94"/>
      <c r="C850" s="94"/>
      <c r="D850" s="94"/>
      <c r="E850" s="141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</row>
    <row r="851" spans="1:28" ht="19.5" thickBot="1" x14ac:dyDescent="0.35">
      <c r="A851" s="94"/>
      <c r="B851" s="94"/>
      <c r="C851" s="94"/>
      <c r="D851" s="94"/>
      <c r="E851" s="141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</row>
    <row r="852" spans="1:28" ht="19.5" thickBot="1" x14ac:dyDescent="0.35">
      <c r="A852" s="94"/>
      <c r="B852" s="94"/>
      <c r="C852" s="94"/>
      <c r="D852" s="94"/>
      <c r="E852" s="141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</row>
    <row r="853" spans="1:28" ht="19.5" thickBot="1" x14ac:dyDescent="0.35">
      <c r="A853" s="94"/>
      <c r="B853" s="94"/>
      <c r="C853" s="94"/>
      <c r="D853" s="94"/>
      <c r="E853" s="141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</row>
    <row r="854" spans="1:28" ht="19.5" thickBot="1" x14ac:dyDescent="0.35">
      <c r="A854" s="94"/>
      <c r="B854" s="94"/>
      <c r="C854" s="94"/>
      <c r="D854" s="94"/>
      <c r="E854" s="141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</row>
    <row r="855" spans="1:28" ht="19.5" thickBot="1" x14ac:dyDescent="0.35">
      <c r="A855" s="94"/>
      <c r="B855" s="94"/>
      <c r="C855" s="94"/>
      <c r="D855" s="94"/>
      <c r="E855" s="141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</row>
    <row r="856" spans="1:28" ht="19.5" thickBot="1" x14ac:dyDescent="0.35">
      <c r="A856" s="94"/>
      <c r="B856" s="94"/>
      <c r="C856" s="94"/>
      <c r="D856" s="94"/>
      <c r="E856" s="141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</row>
    <row r="857" spans="1:28" ht="19.5" thickBot="1" x14ac:dyDescent="0.35">
      <c r="A857" s="94"/>
      <c r="B857" s="94"/>
      <c r="C857" s="94"/>
      <c r="D857" s="94"/>
      <c r="E857" s="141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</row>
    <row r="858" spans="1:28" ht="19.5" thickBot="1" x14ac:dyDescent="0.35">
      <c r="A858" s="94"/>
      <c r="B858" s="94"/>
      <c r="C858" s="94"/>
      <c r="D858" s="94"/>
      <c r="E858" s="141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</row>
    <row r="859" spans="1:28" ht="19.5" thickBot="1" x14ac:dyDescent="0.35">
      <c r="A859" s="94"/>
      <c r="B859" s="94"/>
      <c r="C859" s="94"/>
      <c r="D859" s="94"/>
      <c r="E859" s="141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</row>
    <row r="860" spans="1:28" ht="19.5" thickBot="1" x14ac:dyDescent="0.35">
      <c r="A860" s="94"/>
      <c r="B860" s="94"/>
      <c r="C860" s="94"/>
      <c r="D860" s="94"/>
      <c r="E860" s="141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</row>
    <row r="861" spans="1:28" ht="19.5" thickBot="1" x14ac:dyDescent="0.35">
      <c r="A861" s="94"/>
      <c r="B861" s="94"/>
      <c r="C861" s="94"/>
      <c r="D861" s="94"/>
      <c r="E861" s="141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</row>
    <row r="862" spans="1:28" ht="19.5" thickBot="1" x14ac:dyDescent="0.35">
      <c r="A862" s="94"/>
      <c r="B862" s="94"/>
      <c r="C862" s="94"/>
      <c r="D862" s="94"/>
      <c r="E862" s="141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</row>
    <row r="863" spans="1:28" ht="19.5" thickBot="1" x14ac:dyDescent="0.35">
      <c r="A863" s="94"/>
      <c r="B863" s="94"/>
      <c r="C863" s="94"/>
      <c r="D863" s="94"/>
      <c r="E863" s="141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</row>
    <row r="864" spans="1:28" ht="19.5" thickBot="1" x14ac:dyDescent="0.35">
      <c r="A864" s="94"/>
      <c r="B864" s="94"/>
      <c r="C864" s="94"/>
      <c r="D864" s="94"/>
      <c r="E864" s="141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</row>
    <row r="865" spans="1:28" ht="19.5" thickBot="1" x14ac:dyDescent="0.35">
      <c r="A865" s="94"/>
      <c r="B865" s="94"/>
      <c r="C865" s="94"/>
      <c r="D865" s="94"/>
      <c r="E865" s="141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</row>
    <row r="866" spans="1:28" ht="19.5" thickBot="1" x14ac:dyDescent="0.35">
      <c r="A866" s="94"/>
      <c r="B866" s="94"/>
      <c r="C866" s="94"/>
      <c r="D866" s="94"/>
      <c r="E866" s="141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</row>
    <row r="867" spans="1:28" ht="19.5" thickBot="1" x14ac:dyDescent="0.35">
      <c r="A867" s="94"/>
      <c r="B867" s="94"/>
      <c r="C867" s="94"/>
      <c r="D867" s="94"/>
      <c r="E867" s="141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</row>
    <row r="868" spans="1:28" ht="19.5" thickBot="1" x14ac:dyDescent="0.35">
      <c r="A868" s="94"/>
      <c r="B868" s="94"/>
      <c r="C868" s="94"/>
      <c r="D868" s="94"/>
      <c r="E868" s="141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</row>
    <row r="869" spans="1:28" ht="19.5" thickBot="1" x14ac:dyDescent="0.35">
      <c r="A869" s="94"/>
      <c r="B869" s="94"/>
      <c r="C869" s="94"/>
      <c r="D869" s="94"/>
      <c r="E869" s="141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</row>
    <row r="870" spans="1:28" ht="19.5" thickBot="1" x14ac:dyDescent="0.35">
      <c r="A870" s="94"/>
      <c r="B870" s="94"/>
      <c r="C870" s="94"/>
      <c r="D870" s="94"/>
      <c r="E870" s="141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</row>
    <row r="871" spans="1:28" ht="19.5" thickBot="1" x14ac:dyDescent="0.35">
      <c r="A871" s="94"/>
      <c r="B871" s="94"/>
      <c r="C871" s="94"/>
      <c r="D871" s="94"/>
      <c r="E871" s="141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</row>
    <row r="872" spans="1:28" ht="19.5" thickBot="1" x14ac:dyDescent="0.35">
      <c r="A872" s="94"/>
      <c r="B872" s="94"/>
      <c r="C872" s="94"/>
      <c r="D872" s="94"/>
      <c r="E872" s="141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</row>
    <row r="873" spans="1:28" ht="19.5" thickBot="1" x14ac:dyDescent="0.35">
      <c r="A873" s="94"/>
      <c r="B873" s="94"/>
      <c r="C873" s="94"/>
      <c r="D873" s="94"/>
      <c r="E873" s="141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</row>
    <row r="874" spans="1:28" ht="19.5" thickBot="1" x14ac:dyDescent="0.35">
      <c r="A874" s="94"/>
      <c r="B874" s="94"/>
      <c r="C874" s="94"/>
      <c r="D874" s="94"/>
      <c r="E874" s="141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</row>
    <row r="875" spans="1:28" ht="19.5" thickBot="1" x14ac:dyDescent="0.35">
      <c r="A875" s="94"/>
      <c r="B875" s="94"/>
      <c r="C875" s="94"/>
      <c r="D875" s="94"/>
      <c r="E875" s="141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</row>
    <row r="876" spans="1:28" ht="19.5" thickBot="1" x14ac:dyDescent="0.35">
      <c r="A876" s="94"/>
      <c r="B876" s="94"/>
      <c r="C876" s="94"/>
      <c r="D876" s="94"/>
      <c r="E876" s="141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</row>
    <row r="877" spans="1:28" ht="19.5" thickBot="1" x14ac:dyDescent="0.35">
      <c r="A877" s="94"/>
      <c r="B877" s="94"/>
      <c r="C877" s="94"/>
      <c r="D877" s="94"/>
      <c r="E877" s="141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</row>
    <row r="878" spans="1:28" ht="19.5" thickBot="1" x14ac:dyDescent="0.35">
      <c r="A878" s="94"/>
      <c r="B878" s="94"/>
      <c r="C878" s="94"/>
      <c r="D878" s="94"/>
      <c r="E878" s="141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</row>
    <row r="879" spans="1:28" ht="19.5" thickBot="1" x14ac:dyDescent="0.35">
      <c r="A879" s="94"/>
      <c r="B879" s="94"/>
      <c r="C879" s="94"/>
      <c r="D879" s="94"/>
      <c r="E879" s="141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</row>
    <row r="880" spans="1:28" ht="19.5" thickBot="1" x14ac:dyDescent="0.35">
      <c r="A880" s="94"/>
      <c r="B880" s="94"/>
      <c r="C880" s="94"/>
      <c r="D880" s="94"/>
      <c r="E880" s="141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</row>
    <row r="881" spans="1:28" ht="19.5" thickBot="1" x14ac:dyDescent="0.35">
      <c r="A881" s="94"/>
      <c r="B881" s="94"/>
      <c r="C881" s="94"/>
      <c r="D881" s="94"/>
      <c r="E881" s="141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</row>
    <row r="882" spans="1:28" ht="19.5" thickBot="1" x14ac:dyDescent="0.35">
      <c r="A882" s="94"/>
      <c r="B882" s="94"/>
      <c r="C882" s="94"/>
      <c r="D882" s="94"/>
      <c r="E882" s="141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</row>
    <row r="883" spans="1:28" ht="19.5" thickBot="1" x14ac:dyDescent="0.35">
      <c r="A883" s="94"/>
      <c r="B883" s="94"/>
      <c r="C883" s="94"/>
      <c r="D883" s="94"/>
      <c r="E883" s="141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</row>
    <row r="884" spans="1:28" ht="19.5" thickBot="1" x14ac:dyDescent="0.35">
      <c r="A884" s="94"/>
      <c r="B884" s="94"/>
      <c r="C884" s="94"/>
      <c r="D884" s="94"/>
      <c r="E884" s="141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</row>
    <row r="885" spans="1:28" ht="19.5" thickBot="1" x14ac:dyDescent="0.35">
      <c r="A885" s="94"/>
      <c r="B885" s="94"/>
      <c r="C885" s="94"/>
      <c r="D885" s="94"/>
      <c r="E885" s="141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</row>
    <row r="886" spans="1:28" ht="19.5" thickBot="1" x14ac:dyDescent="0.35">
      <c r="A886" s="94"/>
      <c r="B886" s="94"/>
      <c r="C886" s="94"/>
      <c r="D886" s="94"/>
      <c r="E886" s="141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</row>
    <row r="887" spans="1:28" ht="19.5" thickBot="1" x14ac:dyDescent="0.35">
      <c r="A887" s="94"/>
      <c r="B887" s="94"/>
      <c r="C887" s="94"/>
      <c r="D887" s="94"/>
      <c r="E887" s="141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</row>
    <row r="888" spans="1:28" ht="19.5" thickBot="1" x14ac:dyDescent="0.35">
      <c r="A888" s="94"/>
      <c r="B888" s="94"/>
      <c r="C888" s="94"/>
      <c r="D888" s="94"/>
      <c r="E888" s="141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</row>
    <row r="889" spans="1:28" ht="19.5" thickBot="1" x14ac:dyDescent="0.35">
      <c r="A889" s="94"/>
      <c r="B889" s="94"/>
      <c r="C889" s="94"/>
      <c r="D889" s="94"/>
      <c r="E889" s="141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</row>
    <row r="890" spans="1:28" ht="19.5" thickBot="1" x14ac:dyDescent="0.35">
      <c r="A890" s="94"/>
      <c r="B890" s="94"/>
      <c r="C890" s="94"/>
      <c r="D890" s="94"/>
      <c r="E890" s="141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</row>
    <row r="891" spans="1:28" ht="19.5" thickBot="1" x14ac:dyDescent="0.35">
      <c r="A891" s="94"/>
      <c r="B891" s="94"/>
      <c r="C891" s="94"/>
      <c r="D891" s="94"/>
      <c r="E891" s="141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</row>
    <row r="892" spans="1:28" ht="19.5" thickBot="1" x14ac:dyDescent="0.35">
      <c r="A892" s="94"/>
      <c r="B892" s="94"/>
      <c r="C892" s="94"/>
      <c r="D892" s="94"/>
      <c r="E892" s="141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</row>
    <row r="893" spans="1:28" ht="19.5" thickBot="1" x14ac:dyDescent="0.35">
      <c r="A893" s="94"/>
      <c r="B893" s="94"/>
      <c r="C893" s="94"/>
      <c r="D893" s="94"/>
      <c r="E893" s="141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</row>
    <row r="894" spans="1:28" ht="19.5" thickBot="1" x14ac:dyDescent="0.35">
      <c r="A894" s="94"/>
      <c r="B894" s="94"/>
      <c r="C894" s="94"/>
      <c r="D894" s="94"/>
      <c r="E894" s="141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</row>
    <row r="895" spans="1:28" ht="19.5" thickBot="1" x14ac:dyDescent="0.35">
      <c r="A895" s="94"/>
      <c r="B895" s="94"/>
      <c r="C895" s="94"/>
      <c r="D895" s="94"/>
      <c r="E895" s="141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</row>
    <row r="896" spans="1:28" ht="19.5" thickBot="1" x14ac:dyDescent="0.35">
      <c r="A896" s="94"/>
      <c r="B896" s="94"/>
      <c r="C896" s="94"/>
      <c r="D896" s="94"/>
      <c r="E896" s="141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</row>
    <row r="897" spans="1:28" ht="19.5" thickBot="1" x14ac:dyDescent="0.35">
      <c r="A897" s="94"/>
      <c r="B897" s="94"/>
      <c r="C897" s="94"/>
      <c r="D897" s="94"/>
      <c r="E897" s="141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</row>
    <row r="898" spans="1:28" ht="19.5" thickBot="1" x14ac:dyDescent="0.35">
      <c r="A898" s="94"/>
      <c r="B898" s="94"/>
      <c r="C898" s="94"/>
      <c r="D898" s="94"/>
      <c r="E898" s="141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</row>
    <row r="899" spans="1:28" ht="19.5" thickBot="1" x14ac:dyDescent="0.35">
      <c r="A899" s="94"/>
      <c r="B899" s="94"/>
      <c r="C899" s="94"/>
      <c r="D899" s="94"/>
      <c r="E899" s="141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</row>
    <row r="900" spans="1:28" ht="19.5" thickBot="1" x14ac:dyDescent="0.35">
      <c r="A900" s="94"/>
      <c r="B900" s="94"/>
      <c r="C900" s="94"/>
      <c r="D900" s="94"/>
      <c r="E900" s="141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</row>
    <row r="901" spans="1:28" ht="19.5" thickBot="1" x14ac:dyDescent="0.35">
      <c r="A901" s="94"/>
      <c r="B901" s="94"/>
      <c r="C901" s="94"/>
      <c r="D901" s="94"/>
      <c r="E901" s="141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</row>
    <row r="902" spans="1:28" ht="19.5" thickBot="1" x14ac:dyDescent="0.35">
      <c r="A902" s="94"/>
      <c r="B902" s="94"/>
      <c r="C902" s="94"/>
      <c r="D902" s="94"/>
      <c r="E902" s="141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</row>
    <row r="903" spans="1:28" ht="19.5" thickBot="1" x14ac:dyDescent="0.35">
      <c r="A903" s="94"/>
      <c r="B903" s="94"/>
      <c r="C903" s="94"/>
      <c r="D903" s="94"/>
      <c r="E903" s="141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</row>
    <row r="904" spans="1:28" ht="19.5" thickBot="1" x14ac:dyDescent="0.35">
      <c r="A904" s="94"/>
      <c r="B904" s="94"/>
      <c r="C904" s="94"/>
      <c r="D904" s="94"/>
      <c r="E904" s="141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</row>
    <row r="905" spans="1:28" ht="19.5" thickBot="1" x14ac:dyDescent="0.35">
      <c r="A905" s="94"/>
      <c r="B905" s="94"/>
      <c r="C905" s="94"/>
      <c r="D905" s="94"/>
      <c r="E905" s="141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</row>
    <row r="906" spans="1:28" ht="19.5" thickBot="1" x14ac:dyDescent="0.35">
      <c r="A906" s="94"/>
      <c r="B906" s="94"/>
      <c r="C906" s="94"/>
      <c r="D906" s="94"/>
      <c r="E906" s="141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</row>
    <row r="907" spans="1:28" ht="19.5" thickBot="1" x14ac:dyDescent="0.35">
      <c r="A907" s="94"/>
      <c r="B907" s="94"/>
      <c r="C907" s="94"/>
      <c r="D907" s="94"/>
      <c r="E907" s="141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</row>
    <row r="908" spans="1:28" ht="19.5" thickBot="1" x14ac:dyDescent="0.35">
      <c r="A908" s="94"/>
      <c r="B908" s="94"/>
      <c r="C908" s="94"/>
      <c r="D908" s="94"/>
      <c r="E908" s="141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</row>
    <row r="909" spans="1:28" ht="19.5" thickBot="1" x14ac:dyDescent="0.35">
      <c r="A909" s="94"/>
      <c r="B909" s="94"/>
      <c r="C909" s="94"/>
      <c r="D909" s="94"/>
      <c r="E909" s="141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</row>
    <row r="910" spans="1:28" ht="19.5" thickBot="1" x14ac:dyDescent="0.35">
      <c r="A910" s="94"/>
      <c r="B910" s="94"/>
      <c r="C910" s="94"/>
      <c r="D910" s="94"/>
      <c r="E910" s="141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</row>
    <row r="911" spans="1:28" ht="19.5" thickBot="1" x14ac:dyDescent="0.35">
      <c r="A911" s="94"/>
      <c r="B911" s="94"/>
      <c r="C911" s="94"/>
      <c r="D911" s="94"/>
      <c r="E911" s="141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</row>
    <row r="912" spans="1:28" ht="19.5" thickBot="1" x14ac:dyDescent="0.35">
      <c r="A912" s="94"/>
      <c r="B912" s="94"/>
      <c r="C912" s="94"/>
      <c r="D912" s="94"/>
      <c r="E912" s="141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</row>
    <row r="913" spans="1:28" ht="19.5" thickBot="1" x14ac:dyDescent="0.35">
      <c r="A913" s="94"/>
      <c r="B913" s="94"/>
      <c r="C913" s="94"/>
      <c r="D913" s="94"/>
      <c r="E913" s="141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</row>
    <row r="914" spans="1:28" ht="19.5" thickBot="1" x14ac:dyDescent="0.35">
      <c r="A914" s="94"/>
      <c r="B914" s="94"/>
      <c r="C914" s="94"/>
      <c r="D914" s="94"/>
      <c r="E914" s="141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</row>
    <row r="915" spans="1:28" ht="19.5" thickBot="1" x14ac:dyDescent="0.35">
      <c r="A915" s="94"/>
      <c r="B915" s="94"/>
      <c r="C915" s="94"/>
      <c r="D915" s="94"/>
      <c r="E915" s="141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</row>
    <row r="916" spans="1:28" ht="19.5" thickBot="1" x14ac:dyDescent="0.35">
      <c r="A916" s="94"/>
      <c r="B916" s="94"/>
      <c r="C916" s="94"/>
      <c r="D916" s="94"/>
      <c r="E916" s="141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</row>
    <row r="917" spans="1:28" ht="19.5" thickBot="1" x14ac:dyDescent="0.35">
      <c r="A917" s="94"/>
      <c r="B917" s="94"/>
      <c r="C917" s="94"/>
      <c r="D917" s="94"/>
      <c r="E917" s="141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</row>
    <row r="918" spans="1:28" ht="19.5" thickBot="1" x14ac:dyDescent="0.35">
      <c r="A918" s="94"/>
      <c r="B918" s="94"/>
      <c r="C918" s="94"/>
      <c r="D918" s="94"/>
      <c r="E918" s="141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</row>
    <row r="919" spans="1:28" ht="19.5" thickBot="1" x14ac:dyDescent="0.35">
      <c r="A919" s="94"/>
      <c r="B919" s="94"/>
      <c r="C919" s="94"/>
      <c r="D919" s="94"/>
      <c r="E919" s="141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</row>
    <row r="920" spans="1:28" ht="19.5" thickBot="1" x14ac:dyDescent="0.35">
      <c r="A920" s="94"/>
      <c r="B920" s="94"/>
      <c r="C920" s="94"/>
      <c r="D920" s="94"/>
      <c r="E920" s="141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</row>
    <row r="921" spans="1:28" ht="19.5" thickBot="1" x14ac:dyDescent="0.35">
      <c r="A921" s="94"/>
      <c r="B921" s="94"/>
      <c r="C921" s="94"/>
      <c r="D921" s="94"/>
      <c r="E921" s="141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</row>
    <row r="922" spans="1:28" ht="19.5" thickBot="1" x14ac:dyDescent="0.35">
      <c r="A922" s="94"/>
      <c r="B922" s="94"/>
      <c r="C922" s="94"/>
      <c r="D922" s="94"/>
      <c r="E922" s="141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</row>
    <row r="923" spans="1:28" ht="19.5" thickBot="1" x14ac:dyDescent="0.35">
      <c r="A923" s="94"/>
      <c r="B923" s="94"/>
      <c r="C923" s="94"/>
      <c r="D923" s="94"/>
      <c r="E923" s="141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</row>
    <row r="924" spans="1:28" ht="19.5" thickBot="1" x14ac:dyDescent="0.35">
      <c r="A924" s="94"/>
      <c r="B924" s="94"/>
      <c r="C924" s="94"/>
      <c r="D924" s="94"/>
      <c r="E924" s="141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</row>
    <row r="925" spans="1:28" ht="19.5" thickBot="1" x14ac:dyDescent="0.35">
      <c r="A925" s="94"/>
      <c r="B925" s="94"/>
      <c r="C925" s="94"/>
      <c r="D925" s="94"/>
      <c r="E925" s="141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</row>
    <row r="926" spans="1:28" ht="19.5" thickBot="1" x14ac:dyDescent="0.35">
      <c r="A926" s="94"/>
      <c r="B926" s="94"/>
      <c r="C926" s="94"/>
      <c r="D926" s="94"/>
      <c r="E926" s="141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</row>
    <row r="927" spans="1:28" ht="19.5" thickBot="1" x14ac:dyDescent="0.35">
      <c r="A927" s="94"/>
      <c r="B927" s="94"/>
      <c r="C927" s="94"/>
      <c r="D927" s="94"/>
      <c r="E927" s="141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</row>
    <row r="928" spans="1:28" ht="19.5" thickBot="1" x14ac:dyDescent="0.35">
      <c r="A928" s="94"/>
      <c r="B928" s="94"/>
      <c r="C928" s="94"/>
      <c r="D928" s="94"/>
      <c r="E928" s="141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</row>
    <row r="929" spans="1:28" ht="19.5" thickBot="1" x14ac:dyDescent="0.35">
      <c r="A929" s="94"/>
      <c r="B929" s="94"/>
      <c r="C929" s="94"/>
      <c r="D929" s="94"/>
      <c r="E929" s="141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</row>
    <row r="930" spans="1:28" ht="19.5" thickBot="1" x14ac:dyDescent="0.35">
      <c r="A930" s="94"/>
      <c r="B930" s="94"/>
      <c r="C930" s="94"/>
      <c r="D930" s="94"/>
      <c r="E930" s="141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</row>
    <row r="931" spans="1:28" ht="19.5" thickBot="1" x14ac:dyDescent="0.35">
      <c r="A931" s="94"/>
      <c r="B931" s="94"/>
      <c r="C931" s="94"/>
      <c r="D931" s="94"/>
      <c r="E931" s="141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</row>
    <row r="932" spans="1:28" ht="19.5" thickBot="1" x14ac:dyDescent="0.35">
      <c r="A932" s="94"/>
      <c r="B932" s="94"/>
      <c r="C932" s="94"/>
      <c r="D932" s="94"/>
      <c r="E932" s="141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</row>
    <row r="933" spans="1:28" ht="19.5" thickBot="1" x14ac:dyDescent="0.35">
      <c r="A933" s="94"/>
      <c r="B933" s="94"/>
      <c r="C933" s="94"/>
      <c r="D933" s="94"/>
      <c r="E933" s="141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</row>
    <row r="934" spans="1:28" ht="19.5" thickBot="1" x14ac:dyDescent="0.35">
      <c r="A934" s="94"/>
      <c r="B934" s="94"/>
      <c r="C934" s="94"/>
      <c r="D934" s="94"/>
      <c r="E934" s="141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</row>
    <row r="935" spans="1:28" ht="19.5" thickBot="1" x14ac:dyDescent="0.35">
      <c r="A935" s="94"/>
      <c r="B935" s="94"/>
      <c r="C935" s="94"/>
      <c r="D935" s="94"/>
      <c r="E935" s="141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</row>
    <row r="936" spans="1:28" ht="19.5" thickBot="1" x14ac:dyDescent="0.35">
      <c r="A936" s="94"/>
      <c r="B936" s="94"/>
      <c r="C936" s="94"/>
      <c r="D936" s="94"/>
      <c r="E936" s="141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</row>
    <row r="937" spans="1:28" ht="19.5" thickBot="1" x14ac:dyDescent="0.35">
      <c r="A937" s="94"/>
      <c r="B937" s="94"/>
      <c r="C937" s="94"/>
      <c r="D937" s="94"/>
      <c r="E937" s="141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</row>
    <row r="938" spans="1:28" ht="19.5" thickBot="1" x14ac:dyDescent="0.35">
      <c r="A938" s="94"/>
      <c r="B938" s="94"/>
      <c r="C938" s="94"/>
      <c r="D938" s="94"/>
      <c r="E938" s="141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</row>
    <row r="939" spans="1:28" ht="19.5" thickBot="1" x14ac:dyDescent="0.35">
      <c r="A939" s="94"/>
      <c r="B939" s="94"/>
      <c r="C939" s="94"/>
      <c r="D939" s="94"/>
      <c r="E939" s="141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</row>
    <row r="940" spans="1:28" ht="19.5" thickBot="1" x14ac:dyDescent="0.35">
      <c r="A940" s="94"/>
      <c r="B940" s="94"/>
      <c r="C940" s="94"/>
      <c r="D940" s="94"/>
      <c r="E940" s="141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</row>
    <row r="941" spans="1:28" ht="19.5" thickBot="1" x14ac:dyDescent="0.35">
      <c r="A941" s="94"/>
      <c r="B941" s="94"/>
      <c r="C941" s="94"/>
      <c r="D941" s="94"/>
      <c r="E941" s="141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</row>
    <row r="942" spans="1:28" ht="19.5" thickBot="1" x14ac:dyDescent="0.35">
      <c r="A942" s="94"/>
      <c r="B942" s="94"/>
      <c r="C942" s="94"/>
      <c r="D942" s="94"/>
      <c r="E942" s="141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</row>
    <row r="943" spans="1:28" ht="19.5" thickBot="1" x14ac:dyDescent="0.35">
      <c r="A943" s="94"/>
      <c r="B943" s="94"/>
      <c r="C943" s="94"/>
      <c r="D943" s="94"/>
      <c r="E943" s="141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</row>
    <row r="944" spans="1:28" ht="19.5" thickBot="1" x14ac:dyDescent="0.35">
      <c r="A944" s="94"/>
      <c r="B944" s="94"/>
      <c r="C944" s="94"/>
      <c r="D944" s="94"/>
      <c r="E944" s="141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</row>
    <row r="945" spans="1:28" ht="19.5" thickBot="1" x14ac:dyDescent="0.35">
      <c r="A945" s="94"/>
      <c r="B945" s="94"/>
      <c r="C945" s="94"/>
      <c r="D945" s="94"/>
      <c r="E945" s="141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</row>
    <row r="946" spans="1:28" ht="19.5" thickBot="1" x14ac:dyDescent="0.35">
      <c r="A946" s="94"/>
      <c r="B946" s="94"/>
      <c r="C946" s="94"/>
      <c r="D946" s="94"/>
      <c r="E946" s="141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</row>
    <row r="947" spans="1:28" ht="19.5" thickBot="1" x14ac:dyDescent="0.35">
      <c r="A947" s="94"/>
      <c r="B947" s="94"/>
      <c r="C947" s="94"/>
      <c r="D947" s="94"/>
      <c r="E947" s="141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</row>
    <row r="948" spans="1:28" ht="19.5" thickBot="1" x14ac:dyDescent="0.35">
      <c r="A948" s="94"/>
      <c r="B948" s="94"/>
      <c r="C948" s="94"/>
      <c r="D948" s="94"/>
      <c r="E948" s="141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</row>
    <row r="949" spans="1:28" ht="19.5" thickBot="1" x14ac:dyDescent="0.35">
      <c r="A949" s="94"/>
      <c r="B949" s="94"/>
      <c r="C949" s="94"/>
      <c r="D949" s="94"/>
      <c r="E949" s="141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</row>
    <row r="950" spans="1:28" ht="19.5" thickBot="1" x14ac:dyDescent="0.35">
      <c r="A950" s="94"/>
      <c r="B950" s="94"/>
      <c r="C950" s="94"/>
      <c r="D950" s="94"/>
      <c r="E950" s="141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</row>
    <row r="951" spans="1:28" ht="19.5" thickBot="1" x14ac:dyDescent="0.35">
      <c r="A951" s="94"/>
      <c r="B951" s="94"/>
      <c r="C951" s="94"/>
      <c r="D951" s="94"/>
      <c r="E951" s="141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</row>
    <row r="952" spans="1:28" ht="19.5" thickBot="1" x14ac:dyDescent="0.35">
      <c r="A952" s="94"/>
      <c r="B952" s="94"/>
      <c r="C952" s="94"/>
      <c r="D952" s="94"/>
      <c r="E952" s="141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</row>
    <row r="953" spans="1:28" ht="19.5" thickBot="1" x14ac:dyDescent="0.35">
      <c r="A953" s="94"/>
      <c r="B953" s="94"/>
      <c r="C953" s="94"/>
      <c r="D953" s="94"/>
      <c r="E953" s="141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</row>
    <row r="954" spans="1:28" ht="19.5" thickBot="1" x14ac:dyDescent="0.35">
      <c r="A954" s="94"/>
      <c r="B954" s="94"/>
      <c r="C954" s="94"/>
      <c r="D954" s="94"/>
      <c r="E954" s="141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</row>
    <row r="955" spans="1:28" ht="19.5" thickBot="1" x14ac:dyDescent="0.35">
      <c r="A955" s="94"/>
      <c r="B955" s="94"/>
      <c r="C955" s="94"/>
      <c r="D955" s="94"/>
      <c r="E955" s="141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</row>
    <row r="956" spans="1:28" ht="19.5" thickBot="1" x14ac:dyDescent="0.35">
      <c r="A956" s="94"/>
      <c r="B956" s="94"/>
      <c r="C956" s="94"/>
      <c r="D956" s="94"/>
      <c r="E956" s="141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</row>
    <row r="957" spans="1:28" ht="19.5" thickBot="1" x14ac:dyDescent="0.35">
      <c r="A957" s="94"/>
      <c r="B957" s="94"/>
      <c r="C957" s="94"/>
      <c r="D957" s="94"/>
      <c r="E957" s="141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</row>
    <row r="958" spans="1:28" ht="19.5" thickBot="1" x14ac:dyDescent="0.35">
      <c r="A958" s="94"/>
      <c r="B958" s="94"/>
      <c r="C958" s="94"/>
      <c r="D958" s="94"/>
      <c r="E958" s="141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</row>
    <row r="959" spans="1:28" ht="19.5" thickBot="1" x14ac:dyDescent="0.35">
      <c r="A959" s="94"/>
      <c r="B959" s="94"/>
      <c r="C959" s="94"/>
      <c r="D959" s="94"/>
      <c r="E959" s="141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</row>
    <row r="960" spans="1:28" ht="19.5" thickBot="1" x14ac:dyDescent="0.35">
      <c r="A960" s="94"/>
      <c r="B960" s="94"/>
      <c r="C960" s="94"/>
      <c r="D960" s="94"/>
      <c r="E960" s="141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</row>
    <row r="961" spans="1:28" ht="19.5" thickBot="1" x14ac:dyDescent="0.35">
      <c r="A961" s="94"/>
      <c r="B961" s="94"/>
      <c r="C961" s="94"/>
      <c r="D961" s="94"/>
      <c r="E961" s="141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</row>
    <row r="962" spans="1:28" ht="19.5" thickBot="1" x14ac:dyDescent="0.35">
      <c r="A962" s="94"/>
      <c r="B962" s="94"/>
      <c r="C962" s="94"/>
      <c r="D962" s="94"/>
      <c r="E962" s="141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</row>
    <row r="963" spans="1:28" ht="19.5" thickBot="1" x14ac:dyDescent="0.35">
      <c r="A963" s="94"/>
      <c r="B963" s="94"/>
      <c r="C963" s="94"/>
      <c r="D963" s="94"/>
      <c r="E963" s="141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</row>
    <row r="964" spans="1:28" ht="19.5" thickBot="1" x14ac:dyDescent="0.35">
      <c r="A964" s="94"/>
      <c r="B964" s="94"/>
      <c r="C964" s="94"/>
      <c r="D964" s="94"/>
      <c r="E964" s="141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</row>
    <row r="965" spans="1:28" ht="19.5" thickBot="1" x14ac:dyDescent="0.35">
      <c r="A965" s="94"/>
      <c r="B965" s="94"/>
      <c r="C965" s="94"/>
      <c r="D965" s="94"/>
      <c r="E965" s="141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</row>
    <row r="966" spans="1:28" ht="19.5" thickBot="1" x14ac:dyDescent="0.35">
      <c r="A966" s="94"/>
      <c r="B966" s="94"/>
      <c r="C966" s="94"/>
      <c r="D966" s="94"/>
      <c r="E966" s="141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</row>
    <row r="967" spans="1:28" ht="19.5" thickBot="1" x14ac:dyDescent="0.35">
      <c r="A967" s="94"/>
      <c r="B967" s="94"/>
      <c r="C967" s="94"/>
      <c r="D967" s="94"/>
      <c r="E967" s="141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</row>
    <row r="968" spans="1:28" ht="19.5" thickBot="1" x14ac:dyDescent="0.35">
      <c r="A968" s="94"/>
      <c r="B968" s="94"/>
      <c r="C968" s="94"/>
      <c r="D968" s="94"/>
      <c r="E968" s="141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</row>
    <row r="969" spans="1:28" ht="19.5" thickBot="1" x14ac:dyDescent="0.35">
      <c r="A969" s="94"/>
      <c r="B969" s="94"/>
      <c r="C969" s="94"/>
      <c r="D969" s="94"/>
      <c r="E969" s="141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</row>
    <row r="970" spans="1:28" ht="19.5" thickBot="1" x14ac:dyDescent="0.35">
      <c r="A970" s="94"/>
      <c r="B970" s="94"/>
      <c r="C970" s="94"/>
      <c r="D970" s="94"/>
      <c r="E970" s="141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</row>
    <row r="971" spans="1:28" ht="19.5" thickBot="1" x14ac:dyDescent="0.35">
      <c r="A971" s="94"/>
      <c r="B971" s="94"/>
      <c r="C971" s="94"/>
      <c r="D971" s="94"/>
      <c r="E971" s="141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</row>
    <row r="972" spans="1:28" ht="19.5" thickBot="1" x14ac:dyDescent="0.35">
      <c r="A972" s="94"/>
      <c r="B972" s="94"/>
      <c r="C972" s="94"/>
      <c r="D972" s="94"/>
      <c r="E972" s="141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</row>
    <row r="973" spans="1:28" ht="19.5" thickBot="1" x14ac:dyDescent="0.35">
      <c r="A973" s="94"/>
      <c r="B973" s="94"/>
      <c r="C973" s="94"/>
      <c r="D973" s="94"/>
      <c r="E973" s="141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</row>
    <row r="974" spans="1:28" ht="19.5" thickBot="1" x14ac:dyDescent="0.35">
      <c r="A974" s="94"/>
      <c r="B974" s="94"/>
      <c r="C974" s="94"/>
      <c r="D974" s="94"/>
      <c r="E974" s="141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</row>
    <row r="975" spans="1:28" ht="19.5" thickBot="1" x14ac:dyDescent="0.35">
      <c r="A975" s="94"/>
      <c r="B975" s="94"/>
      <c r="C975" s="94"/>
      <c r="D975" s="94"/>
      <c r="E975" s="141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</row>
    <row r="976" spans="1:28" ht="19.5" thickBot="1" x14ac:dyDescent="0.35">
      <c r="A976" s="94"/>
      <c r="B976" s="94"/>
      <c r="C976" s="94"/>
      <c r="D976" s="94"/>
      <c r="E976" s="141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</row>
    <row r="977" spans="1:28" ht="19.5" thickBot="1" x14ac:dyDescent="0.35">
      <c r="A977" s="94"/>
      <c r="B977" s="94"/>
      <c r="C977" s="94"/>
      <c r="D977" s="94"/>
      <c r="E977" s="141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</row>
    <row r="978" spans="1:28" ht="19.5" thickBot="1" x14ac:dyDescent="0.35">
      <c r="A978" s="94"/>
      <c r="B978" s="94"/>
      <c r="C978" s="94"/>
      <c r="D978" s="94"/>
      <c r="E978" s="141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</row>
    <row r="979" spans="1:28" ht="19.5" thickBot="1" x14ac:dyDescent="0.35">
      <c r="A979" s="94"/>
      <c r="B979" s="94"/>
      <c r="C979" s="94"/>
      <c r="D979" s="94"/>
      <c r="E979" s="141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</row>
  </sheetData>
  <autoFilter ref="A4:J559" xr:uid="{8333A926-56AC-4D9A-80AD-1BA504B49495}">
    <filterColumn colId="9">
      <filters>
        <filter val="M"/>
      </filters>
    </filterColumn>
    <sortState xmlns:xlrd2="http://schemas.microsoft.com/office/spreadsheetml/2017/richdata2" ref="A5:J559">
      <sortCondition ref="C4:C559"/>
    </sortState>
  </autoFilter>
  <mergeCells count="333">
    <mergeCell ref="O334:P334"/>
    <mergeCell ref="O328:P328"/>
    <mergeCell ref="O329:P329"/>
    <mergeCell ref="O330:P330"/>
    <mergeCell ref="O331:P331"/>
    <mergeCell ref="O332:P332"/>
    <mergeCell ref="O333:P333"/>
    <mergeCell ref="O322:P322"/>
    <mergeCell ref="O323:P323"/>
    <mergeCell ref="O324:P324"/>
    <mergeCell ref="O325:P325"/>
    <mergeCell ref="O326:P326"/>
    <mergeCell ref="O327:P327"/>
    <mergeCell ref="O316:P316"/>
    <mergeCell ref="O317:P317"/>
    <mergeCell ref="O318:P318"/>
    <mergeCell ref="O319:P319"/>
    <mergeCell ref="O320:P320"/>
    <mergeCell ref="O321:P321"/>
    <mergeCell ref="O310:P310"/>
    <mergeCell ref="O311:P311"/>
    <mergeCell ref="O312:P312"/>
    <mergeCell ref="O313:P313"/>
    <mergeCell ref="O314:P314"/>
    <mergeCell ref="O315:P315"/>
    <mergeCell ref="O304:P304"/>
    <mergeCell ref="O305:P305"/>
    <mergeCell ref="O306:P306"/>
    <mergeCell ref="O307:P307"/>
    <mergeCell ref="O308:P308"/>
    <mergeCell ref="O309:P309"/>
    <mergeCell ref="O298:P298"/>
    <mergeCell ref="O299:P299"/>
    <mergeCell ref="O300:P300"/>
    <mergeCell ref="O301:P301"/>
    <mergeCell ref="O302:P302"/>
    <mergeCell ref="O303:P303"/>
    <mergeCell ref="O292:P292"/>
    <mergeCell ref="O293:P293"/>
    <mergeCell ref="O294:P294"/>
    <mergeCell ref="O295:P295"/>
    <mergeCell ref="O296:P296"/>
    <mergeCell ref="O297:P297"/>
    <mergeCell ref="O286:P286"/>
    <mergeCell ref="O287:P287"/>
    <mergeCell ref="O288:P288"/>
    <mergeCell ref="O289:P289"/>
    <mergeCell ref="O290:P290"/>
    <mergeCell ref="O291:P291"/>
    <mergeCell ref="O280:P280"/>
    <mergeCell ref="O281:P281"/>
    <mergeCell ref="O282:P282"/>
    <mergeCell ref="O283:P283"/>
    <mergeCell ref="O284:P284"/>
    <mergeCell ref="O285:P285"/>
    <mergeCell ref="O274:P274"/>
    <mergeCell ref="O275:P275"/>
    <mergeCell ref="O276:P276"/>
    <mergeCell ref="O277:P277"/>
    <mergeCell ref="O278:P278"/>
    <mergeCell ref="O279:P279"/>
    <mergeCell ref="O268:P268"/>
    <mergeCell ref="O269:P269"/>
    <mergeCell ref="O270:P270"/>
    <mergeCell ref="O271:P271"/>
    <mergeCell ref="O272:P272"/>
    <mergeCell ref="O273:P273"/>
    <mergeCell ref="O262:P262"/>
    <mergeCell ref="O263:P263"/>
    <mergeCell ref="O264:P264"/>
    <mergeCell ref="O265:P265"/>
    <mergeCell ref="O266:P266"/>
    <mergeCell ref="O267:P267"/>
    <mergeCell ref="O256:P256"/>
    <mergeCell ref="O257:P257"/>
    <mergeCell ref="O258:P258"/>
    <mergeCell ref="O259:P259"/>
    <mergeCell ref="O260:P260"/>
    <mergeCell ref="O261:P261"/>
    <mergeCell ref="O250:P250"/>
    <mergeCell ref="O251:P251"/>
    <mergeCell ref="O252:P252"/>
    <mergeCell ref="O253:P253"/>
    <mergeCell ref="O254:P254"/>
    <mergeCell ref="O255:P255"/>
    <mergeCell ref="O244:P244"/>
    <mergeCell ref="O245:P245"/>
    <mergeCell ref="O246:P246"/>
    <mergeCell ref="O247:P247"/>
    <mergeCell ref="O248:P248"/>
    <mergeCell ref="O249:P249"/>
    <mergeCell ref="O238:P238"/>
    <mergeCell ref="O239:P239"/>
    <mergeCell ref="O240:P240"/>
    <mergeCell ref="O241:P241"/>
    <mergeCell ref="O242:P242"/>
    <mergeCell ref="O243:P243"/>
    <mergeCell ref="O232:P232"/>
    <mergeCell ref="O233:P233"/>
    <mergeCell ref="O234:P234"/>
    <mergeCell ref="O235:P235"/>
    <mergeCell ref="O236:P236"/>
    <mergeCell ref="O237:P237"/>
    <mergeCell ref="O226:P226"/>
    <mergeCell ref="O227:P227"/>
    <mergeCell ref="O228:P228"/>
    <mergeCell ref="O229:P229"/>
    <mergeCell ref="O230:P230"/>
    <mergeCell ref="O231:P231"/>
    <mergeCell ref="O220:P220"/>
    <mergeCell ref="O221:P221"/>
    <mergeCell ref="O222:P222"/>
    <mergeCell ref="O223:P223"/>
    <mergeCell ref="O224:P224"/>
    <mergeCell ref="O225:P225"/>
    <mergeCell ref="O214:P214"/>
    <mergeCell ref="O215:P215"/>
    <mergeCell ref="O216:P216"/>
    <mergeCell ref="O217:P217"/>
    <mergeCell ref="O218:P218"/>
    <mergeCell ref="O219:P219"/>
    <mergeCell ref="O208:P208"/>
    <mergeCell ref="O209:P209"/>
    <mergeCell ref="O210:P210"/>
    <mergeCell ref="O211:P211"/>
    <mergeCell ref="O212:P212"/>
    <mergeCell ref="O213:P213"/>
    <mergeCell ref="O202:P202"/>
    <mergeCell ref="O203:P203"/>
    <mergeCell ref="O204:P204"/>
    <mergeCell ref="O205:P205"/>
    <mergeCell ref="O206:P206"/>
    <mergeCell ref="O207:P207"/>
    <mergeCell ref="O196:P196"/>
    <mergeCell ref="O197:P197"/>
    <mergeCell ref="O198:P198"/>
    <mergeCell ref="O199:P199"/>
    <mergeCell ref="O200:P200"/>
    <mergeCell ref="O201:P201"/>
    <mergeCell ref="O190:P190"/>
    <mergeCell ref="O191:P191"/>
    <mergeCell ref="O192:P192"/>
    <mergeCell ref="O193:P193"/>
    <mergeCell ref="O194:P194"/>
    <mergeCell ref="O195:P195"/>
    <mergeCell ref="O184:P184"/>
    <mergeCell ref="O185:P185"/>
    <mergeCell ref="O186:P186"/>
    <mergeCell ref="O187:P187"/>
    <mergeCell ref="O188:P188"/>
    <mergeCell ref="O189:P189"/>
    <mergeCell ref="O178:P178"/>
    <mergeCell ref="O179:P179"/>
    <mergeCell ref="O180:P180"/>
    <mergeCell ref="O181:P181"/>
    <mergeCell ref="O182:P182"/>
    <mergeCell ref="O183:P183"/>
    <mergeCell ref="O172:P172"/>
    <mergeCell ref="O173:P173"/>
    <mergeCell ref="O174:P174"/>
    <mergeCell ref="O175:P175"/>
    <mergeCell ref="O176:P176"/>
    <mergeCell ref="O177:P177"/>
    <mergeCell ref="O166:P166"/>
    <mergeCell ref="O167:P167"/>
    <mergeCell ref="O168:P168"/>
    <mergeCell ref="O169:P169"/>
    <mergeCell ref="O170:P170"/>
    <mergeCell ref="O171:P171"/>
    <mergeCell ref="O160:P160"/>
    <mergeCell ref="O161:P161"/>
    <mergeCell ref="O162:P162"/>
    <mergeCell ref="O163:P163"/>
    <mergeCell ref="O164:P164"/>
    <mergeCell ref="O165:P165"/>
    <mergeCell ref="O154:P154"/>
    <mergeCell ref="O155:P155"/>
    <mergeCell ref="O156:P156"/>
    <mergeCell ref="O157:P157"/>
    <mergeCell ref="O158:P158"/>
    <mergeCell ref="O159:P159"/>
    <mergeCell ref="O148:P148"/>
    <mergeCell ref="O149:P149"/>
    <mergeCell ref="O150:P150"/>
    <mergeCell ref="O151:P151"/>
    <mergeCell ref="O152:P152"/>
    <mergeCell ref="O153:P153"/>
    <mergeCell ref="O142:P142"/>
    <mergeCell ref="O143:P143"/>
    <mergeCell ref="O144:P144"/>
    <mergeCell ref="O145:P145"/>
    <mergeCell ref="O146:P146"/>
    <mergeCell ref="O147:P147"/>
    <mergeCell ref="O136:P136"/>
    <mergeCell ref="O137:P137"/>
    <mergeCell ref="O138:P138"/>
    <mergeCell ref="O139:P139"/>
    <mergeCell ref="O140:P140"/>
    <mergeCell ref="O141:P141"/>
    <mergeCell ref="O130:P130"/>
    <mergeCell ref="O131:P131"/>
    <mergeCell ref="O132:P132"/>
    <mergeCell ref="O133:P133"/>
    <mergeCell ref="O134:P134"/>
    <mergeCell ref="O135:P135"/>
    <mergeCell ref="O124:P124"/>
    <mergeCell ref="O125:P125"/>
    <mergeCell ref="O126:P126"/>
    <mergeCell ref="O127:P127"/>
    <mergeCell ref="O128:P128"/>
    <mergeCell ref="O129:P129"/>
    <mergeCell ref="O118:P118"/>
    <mergeCell ref="O119:P119"/>
    <mergeCell ref="O120:P120"/>
    <mergeCell ref="O121:P121"/>
    <mergeCell ref="O122:P122"/>
    <mergeCell ref="O123:P123"/>
    <mergeCell ref="O112:P112"/>
    <mergeCell ref="O113:P113"/>
    <mergeCell ref="O114:P114"/>
    <mergeCell ref="O115:P115"/>
    <mergeCell ref="O116:P116"/>
    <mergeCell ref="O117:P117"/>
    <mergeCell ref="O106:P106"/>
    <mergeCell ref="O107:P107"/>
    <mergeCell ref="O108:P108"/>
    <mergeCell ref="O109:P109"/>
    <mergeCell ref="O110:P110"/>
    <mergeCell ref="O111:P111"/>
    <mergeCell ref="O101:P101"/>
    <mergeCell ref="O102:P102"/>
    <mergeCell ref="O103:P103"/>
    <mergeCell ref="O104:P104"/>
    <mergeCell ref="O105:P105"/>
    <mergeCell ref="O95:P95"/>
    <mergeCell ref="O96:P96"/>
    <mergeCell ref="O97:P97"/>
    <mergeCell ref="O98:P98"/>
    <mergeCell ref="O99:P99"/>
    <mergeCell ref="O100:P100"/>
    <mergeCell ref="O90:P90"/>
    <mergeCell ref="O91:P91"/>
    <mergeCell ref="O92:P92"/>
    <mergeCell ref="O93:P93"/>
    <mergeCell ref="O94:P94"/>
    <mergeCell ref="O84:P84"/>
    <mergeCell ref="O85:P85"/>
    <mergeCell ref="O86:P86"/>
    <mergeCell ref="O87:P87"/>
    <mergeCell ref="O88:P88"/>
    <mergeCell ref="O81:P81"/>
    <mergeCell ref="O82:P82"/>
    <mergeCell ref="O83:P83"/>
    <mergeCell ref="O75:P75"/>
    <mergeCell ref="O76:P76"/>
    <mergeCell ref="O77:P77"/>
    <mergeCell ref="O78:P78"/>
    <mergeCell ref="O79:P79"/>
    <mergeCell ref="O89:P89"/>
    <mergeCell ref="O70:P70"/>
    <mergeCell ref="O71:P71"/>
    <mergeCell ref="O72:P72"/>
    <mergeCell ref="O73:P73"/>
    <mergeCell ref="O74:P74"/>
    <mergeCell ref="O67:P67"/>
    <mergeCell ref="O68:P68"/>
    <mergeCell ref="O69:P69"/>
    <mergeCell ref="O80:P80"/>
    <mergeCell ref="O61:P61"/>
    <mergeCell ref="O62:P62"/>
    <mergeCell ref="O63:P63"/>
    <mergeCell ref="O64:P64"/>
    <mergeCell ref="O65:P65"/>
    <mergeCell ref="O66:P66"/>
    <mergeCell ref="O55:P55"/>
    <mergeCell ref="O56:P56"/>
    <mergeCell ref="O57:P57"/>
    <mergeCell ref="O58:P58"/>
    <mergeCell ref="O59:P59"/>
    <mergeCell ref="O60:P60"/>
    <mergeCell ref="O49:P49"/>
    <mergeCell ref="O50:P50"/>
    <mergeCell ref="O51:P51"/>
    <mergeCell ref="O52:P52"/>
    <mergeCell ref="O53:P53"/>
    <mergeCell ref="O54:P54"/>
    <mergeCell ref="O43:P43"/>
    <mergeCell ref="O44:P44"/>
    <mergeCell ref="O45:P45"/>
    <mergeCell ref="O46:P46"/>
    <mergeCell ref="O47:P47"/>
    <mergeCell ref="O48:P48"/>
    <mergeCell ref="O37:P37"/>
    <mergeCell ref="O38:P38"/>
    <mergeCell ref="O39:P39"/>
    <mergeCell ref="O40:P40"/>
    <mergeCell ref="O41:P41"/>
    <mergeCell ref="O42:P42"/>
    <mergeCell ref="O31:P31"/>
    <mergeCell ref="O32:P32"/>
    <mergeCell ref="O33:P33"/>
    <mergeCell ref="O34:P34"/>
    <mergeCell ref="O35:P35"/>
    <mergeCell ref="O36:P36"/>
    <mergeCell ref="O25:P25"/>
    <mergeCell ref="O26:P26"/>
    <mergeCell ref="O27:P27"/>
    <mergeCell ref="O28:P28"/>
    <mergeCell ref="O29:P29"/>
    <mergeCell ref="O30:P30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O11:P11"/>
    <mergeCell ref="O12:P12"/>
    <mergeCell ref="O13:P13"/>
    <mergeCell ref="O14:P14"/>
    <mergeCell ref="O7:P7"/>
    <mergeCell ref="O8:P8"/>
    <mergeCell ref="O9:P9"/>
    <mergeCell ref="O10:P10"/>
    <mergeCell ref="A1:J1"/>
    <mergeCell ref="L1:P1"/>
    <mergeCell ref="O3:P3"/>
    <mergeCell ref="O5:P5"/>
    <mergeCell ref="O6:P6"/>
  </mergeCells>
  <pageMargins left="0.45" right="0" top="0.25" bottom="0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D8A3-DA89-4F43-AB1E-1E3F1E4039F8}">
  <dimension ref="A1:G37"/>
  <sheetViews>
    <sheetView topLeftCell="A22" zoomScale="80" zoomScaleNormal="80" workbookViewId="0">
      <selection activeCell="I10" sqref="I10"/>
    </sheetView>
  </sheetViews>
  <sheetFormatPr defaultColWidth="8.75" defaultRowHeight="18" x14ac:dyDescent="0.25"/>
  <cols>
    <col min="1" max="1" width="4.5" style="74" customWidth="1"/>
    <col min="2" max="2" width="24.875" style="74" customWidth="1"/>
    <col min="3" max="3" width="8.75" style="74" customWidth="1"/>
    <col min="4" max="4" width="10.875" style="74" customWidth="1"/>
    <col min="5" max="5" width="13.25" style="74" customWidth="1"/>
    <col min="6" max="6" width="14.125" style="74" customWidth="1"/>
    <col min="7" max="7" width="15" style="74" customWidth="1"/>
    <col min="8" max="16384" width="8.75" style="74"/>
  </cols>
  <sheetData>
    <row r="1" spans="1:7" ht="18.75" x14ac:dyDescent="0.3">
      <c r="A1" s="424" t="s">
        <v>947</v>
      </c>
      <c r="B1" s="424"/>
      <c r="C1" s="424"/>
      <c r="D1" s="424"/>
      <c r="E1" s="424"/>
      <c r="F1" s="424"/>
      <c r="G1" s="424"/>
    </row>
    <row r="2" spans="1:7" ht="18.75" x14ac:dyDescent="0.3">
      <c r="A2" s="18"/>
      <c r="B2" s="18"/>
      <c r="C2" s="18"/>
      <c r="D2" s="18"/>
      <c r="E2" s="18"/>
      <c r="F2" s="18"/>
      <c r="G2" s="18"/>
    </row>
    <row r="3" spans="1:7" ht="18.75" x14ac:dyDescent="0.3">
      <c r="A3" s="66" t="s">
        <v>374</v>
      </c>
      <c r="B3" s="66" t="s">
        <v>933</v>
      </c>
      <c r="C3" s="66" t="s">
        <v>934</v>
      </c>
      <c r="D3" s="66" t="s">
        <v>935</v>
      </c>
      <c r="E3" s="66" t="s">
        <v>381</v>
      </c>
      <c r="F3" s="165">
        <v>0.2</v>
      </c>
      <c r="G3" s="166">
        <f>100%-F3</f>
        <v>0.8</v>
      </c>
    </row>
    <row r="4" spans="1:7" ht="18.75" x14ac:dyDescent="0.3">
      <c r="A4" s="66">
        <v>1</v>
      </c>
      <c r="B4" s="167" t="s">
        <v>936</v>
      </c>
      <c r="C4" s="198">
        <v>64</v>
      </c>
      <c r="D4" s="168">
        <v>1000</v>
      </c>
      <c r="E4" s="168">
        <f>C4*D4</f>
        <v>64000</v>
      </c>
      <c r="F4" s="168">
        <f>E4*$F$3</f>
        <v>12800</v>
      </c>
      <c r="G4" s="169">
        <f>E4-F4</f>
        <v>51200</v>
      </c>
    </row>
    <row r="5" spans="1:7" ht="18.75" x14ac:dyDescent="0.3">
      <c r="A5" s="66">
        <f>A4+1</f>
        <v>2</v>
      </c>
      <c r="B5" s="167" t="s">
        <v>936</v>
      </c>
      <c r="C5" s="198">
        <v>61</v>
      </c>
      <c r="D5" s="168">
        <v>600</v>
      </c>
      <c r="E5" s="168">
        <f t="shared" ref="E5:E17" si="0">C5*D5</f>
        <v>36600</v>
      </c>
      <c r="F5" s="168">
        <f t="shared" ref="F5:F17" si="1">E5*$F$3</f>
        <v>7320</v>
      </c>
      <c r="G5" s="169">
        <f t="shared" ref="G5:G17" si="2">E5-F5</f>
        <v>29280</v>
      </c>
    </row>
    <row r="6" spans="1:7" ht="18.75" x14ac:dyDescent="0.3">
      <c r="A6" s="66">
        <f t="shared" ref="A6:A17" si="3">A5+1</f>
        <v>3</v>
      </c>
      <c r="B6" s="167" t="s">
        <v>937</v>
      </c>
      <c r="C6" s="199">
        <v>26.5</v>
      </c>
      <c r="D6" s="168">
        <v>600</v>
      </c>
      <c r="E6" s="168">
        <f t="shared" si="0"/>
        <v>15900</v>
      </c>
      <c r="F6" s="168">
        <f t="shared" si="1"/>
        <v>3180</v>
      </c>
      <c r="G6" s="169">
        <f t="shared" si="2"/>
        <v>12720</v>
      </c>
    </row>
    <row r="7" spans="1:7" ht="18.75" x14ac:dyDescent="0.3">
      <c r="A7" s="66">
        <f t="shared" si="3"/>
        <v>4</v>
      </c>
      <c r="B7" s="167" t="s">
        <v>938</v>
      </c>
      <c r="C7" s="198">
        <v>58</v>
      </c>
      <c r="D7" s="168">
        <v>1050</v>
      </c>
      <c r="E7" s="168">
        <f t="shared" si="0"/>
        <v>60900</v>
      </c>
      <c r="F7" s="168">
        <f>E7*25%</f>
        <v>15225</v>
      </c>
      <c r="G7" s="169">
        <f t="shared" si="2"/>
        <v>45675</v>
      </c>
    </row>
    <row r="8" spans="1:7" ht="18.75" x14ac:dyDescent="0.3">
      <c r="A8" s="66">
        <f t="shared" si="3"/>
        <v>5</v>
      </c>
      <c r="B8" s="167" t="s">
        <v>939</v>
      </c>
      <c r="C8" s="198">
        <v>18</v>
      </c>
      <c r="D8" s="168">
        <v>1050</v>
      </c>
      <c r="E8" s="168">
        <f t="shared" si="0"/>
        <v>18900</v>
      </c>
      <c r="F8" s="171">
        <f t="shared" ref="F8:F10" si="4">E8*25%</f>
        <v>4725</v>
      </c>
      <c r="G8" s="169">
        <f t="shared" si="2"/>
        <v>14175</v>
      </c>
    </row>
    <row r="9" spans="1:7" ht="18.75" x14ac:dyDescent="0.3">
      <c r="A9" s="66">
        <f t="shared" si="3"/>
        <v>6</v>
      </c>
      <c r="B9" s="167" t="s">
        <v>940</v>
      </c>
      <c r="C9" s="198"/>
      <c r="D9" s="168">
        <v>1050</v>
      </c>
      <c r="E9" s="168">
        <f t="shared" si="0"/>
        <v>0</v>
      </c>
      <c r="F9" s="171">
        <f t="shared" si="4"/>
        <v>0</v>
      </c>
      <c r="G9" s="169">
        <f t="shared" si="2"/>
        <v>0</v>
      </c>
    </row>
    <row r="10" spans="1:7" ht="18.75" x14ac:dyDescent="0.3">
      <c r="A10" s="66">
        <f t="shared" si="3"/>
        <v>7</v>
      </c>
      <c r="B10" s="167" t="s">
        <v>941</v>
      </c>
      <c r="C10" s="199">
        <v>32</v>
      </c>
      <c r="D10" s="168">
        <v>700</v>
      </c>
      <c r="E10" s="168">
        <f t="shared" si="0"/>
        <v>22400</v>
      </c>
      <c r="F10" s="171">
        <f t="shared" si="4"/>
        <v>5600</v>
      </c>
      <c r="G10" s="169">
        <f t="shared" si="2"/>
        <v>16800</v>
      </c>
    </row>
    <row r="11" spans="1:7" ht="18.75" x14ac:dyDescent="0.3">
      <c r="A11" s="66">
        <f t="shared" si="3"/>
        <v>8</v>
      </c>
      <c r="B11" s="167" t="s">
        <v>942</v>
      </c>
      <c r="C11" s="198">
        <v>29</v>
      </c>
      <c r="D11" s="168">
        <v>700</v>
      </c>
      <c r="E11" s="168">
        <f t="shared" si="0"/>
        <v>20300</v>
      </c>
      <c r="F11" s="168">
        <f t="shared" si="1"/>
        <v>4060</v>
      </c>
      <c r="G11" s="169">
        <f t="shared" si="2"/>
        <v>16240</v>
      </c>
    </row>
    <row r="12" spans="1:7" ht="18.75" x14ac:dyDescent="0.3">
      <c r="A12" s="66">
        <f t="shared" si="3"/>
        <v>9</v>
      </c>
      <c r="B12" s="167" t="s">
        <v>943</v>
      </c>
      <c r="C12" s="198">
        <v>80</v>
      </c>
      <c r="D12" s="168">
        <v>700</v>
      </c>
      <c r="E12" s="168">
        <f t="shared" si="0"/>
        <v>56000</v>
      </c>
      <c r="F12" s="168">
        <f t="shared" si="1"/>
        <v>11200</v>
      </c>
      <c r="G12" s="169">
        <f t="shared" si="2"/>
        <v>44800</v>
      </c>
    </row>
    <row r="13" spans="1:7" ht="18.75" x14ac:dyDescent="0.3">
      <c r="A13" s="66">
        <f t="shared" si="3"/>
        <v>10</v>
      </c>
      <c r="B13" s="167" t="s">
        <v>944</v>
      </c>
      <c r="C13" s="198">
        <v>106</v>
      </c>
      <c r="D13" s="168">
        <v>700</v>
      </c>
      <c r="E13" s="168">
        <f t="shared" si="0"/>
        <v>74200</v>
      </c>
      <c r="F13" s="168">
        <f t="shared" si="1"/>
        <v>14840</v>
      </c>
      <c r="G13" s="169">
        <f t="shared" si="2"/>
        <v>59360</v>
      </c>
    </row>
    <row r="14" spans="1:7" ht="18.75" x14ac:dyDescent="0.3">
      <c r="A14" s="66">
        <f t="shared" si="3"/>
        <v>11</v>
      </c>
      <c r="B14" s="167" t="s">
        <v>945</v>
      </c>
      <c r="C14" s="198">
        <v>52</v>
      </c>
      <c r="D14" s="168">
        <v>700</v>
      </c>
      <c r="E14" s="168">
        <f t="shared" si="0"/>
        <v>36400</v>
      </c>
      <c r="F14" s="168">
        <f t="shared" si="1"/>
        <v>7280</v>
      </c>
      <c r="G14" s="169">
        <f t="shared" si="2"/>
        <v>29120</v>
      </c>
    </row>
    <row r="15" spans="1:7" ht="18.75" x14ac:dyDescent="0.3">
      <c r="A15" s="66">
        <f t="shared" si="3"/>
        <v>12</v>
      </c>
      <c r="B15" s="167" t="s">
        <v>829</v>
      </c>
      <c r="C15" s="198">
        <v>27</v>
      </c>
      <c r="D15" s="168">
        <v>700</v>
      </c>
      <c r="E15" s="168">
        <f t="shared" si="0"/>
        <v>18900</v>
      </c>
      <c r="F15" s="168">
        <f t="shared" si="1"/>
        <v>3780</v>
      </c>
      <c r="G15" s="169">
        <f t="shared" si="2"/>
        <v>15120</v>
      </c>
    </row>
    <row r="16" spans="1:7" ht="18.75" x14ac:dyDescent="0.3">
      <c r="A16" s="66">
        <f t="shared" si="3"/>
        <v>13</v>
      </c>
      <c r="B16" s="167" t="s">
        <v>946</v>
      </c>
      <c r="C16" s="198">
        <v>51</v>
      </c>
      <c r="D16" s="168">
        <v>700</v>
      </c>
      <c r="E16" s="168">
        <f t="shared" si="0"/>
        <v>35700</v>
      </c>
      <c r="F16" s="168">
        <f t="shared" si="1"/>
        <v>7140</v>
      </c>
      <c r="G16" s="169">
        <f t="shared" si="2"/>
        <v>28560</v>
      </c>
    </row>
    <row r="17" spans="1:7" ht="18.75" x14ac:dyDescent="0.3">
      <c r="A17" s="66">
        <f t="shared" si="3"/>
        <v>14</v>
      </c>
      <c r="B17" s="167" t="s">
        <v>77</v>
      </c>
      <c r="C17" s="199">
        <v>12</v>
      </c>
      <c r="D17" s="168">
        <v>700</v>
      </c>
      <c r="E17" s="168">
        <f t="shared" si="0"/>
        <v>8400</v>
      </c>
      <c r="F17" s="168">
        <f t="shared" si="1"/>
        <v>1680</v>
      </c>
      <c r="G17" s="169">
        <f t="shared" si="2"/>
        <v>6720</v>
      </c>
    </row>
    <row r="18" spans="1:7" ht="18.75" x14ac:dyDescent="0.25">
      <c r="A18" s="66"/>
      <c r="B18" s="66" t="s">
        <v>391</v>
      </c>
      <c r="C18" s="168">
        <f>SUM(C4:C17)</f>
        <v>616.5</v>
      </c>
      <c r="D18" s="168">
        <f t="shared" ref="D18:F18" si="5">SUM(D4:D17)</f>
        <v>10950</v>
      </c>
      <c r="E18" s="168">
        <f t="shared" si="5"/>
        <v>468600</v>
      </c>
      <c r="F18" s="168">
        <f t="shared" si="5"/>
        <v>98830</v>
      </c>
      <c r="G18" s="168">
        <f t="shared" ref="G18" si="6">SUM(G4:G17)</f>
        <v>369770</v>
      </c>
    </row>
    <row r="20" spans="1:7" ht="20.25" x14ac:dyDescent="0.3">
      <c r="A20" s="473" t="str">
        <f>A1</f>
        <v>BẢNG THEO DỎI ĐẦU RA ĐẦU VÀO</v>
      </c>
      <c r="B20" s="473"/>
      <c r="C20" s="473"/>
      <c r="D20" s="473"/>
      <c r="E20" s="473"/>
      <c r="F20" s="473"/>
      <c r="G20" s="473"/>
    </row>
    <row r="21" spans="1:7" ht="18.75" x14ac:dyDescent="0.3">
      <c r="A21" s="18"/>
      <c r="B21" s="18"/>
      <c r="C21" s="18"/>
      <c r="D21" s="18"/>
      <c r="E21" s="18"/>
      <c r="F21" s="18"/>
      <c r="G21" s="18"/>
    </row>
    <row r="22" spans="1:7" ht="24.6" customHeight="1" x14ac:dyDescent="0.3">
      <c r="A22" s="127" t="s">
        <v>374</v>
      </c>
      <c r="B22" s="127" t="s">
        <v>933</v>
      </c>
      <c r="C22" s="127" t="s">
        <v>934</v>
      </c>
      <c r="D22" s="127" t="s">
        <v>935</v>
      </c>
      <c r="E22" s="127" t="s">
        <v>381</v>
      </c>
      <c r="F22" s="172">
        <v>0.2</v>
      </c>
      <c r="G22" s="173">
        <f>100%-F22</f>
        <v>0.8</v>
      </c>
    </row>
    <row r="23" spans="1:7" ht="24.6" customHeight="1" x14ac:dyDescent="0.3">
      <c r="A23" s="66">
        <v>1</v>
      </c>
      <c r="B23" s="167" t="s">
        <v>936</v>
      </c>
      <c r="C23" s="168"/>
      <c r="D23" s="168"/>
      <c r="E23" s="168"/>
      <c r="F23" s="168"/>
      <c r="G23" s="169"/>
    </row>
    <row r="24" spans="1:7" ht="24.6" customHeight="1" x14ac:dyDescent="0.3">
      <c r="A24" s="66">
        <f>A23+1</f>
        <v>2</v>
      </c>
      <c r="B24" s="167" t="s">
        <v>936</v>
      </c>
      <c r="C24" s="168"/>
      <c r="D24" s="168"/>
      <c r="E24" s="168"/>
      <c r="F24" s="168"/>
      <c r="G24" s="169"/>
    </row>
    <row r="25" spans="1:7" ht="24.6" customHeight="1" x14ac:dyDescent="0.3">
      <c r="A25" s="66">
        <f t="shared" ref="A25:A36" si="7">A24+1</f>
        <v>3</v>
      </c>
      <c r="B25" s="167" t="s">
        <v>937</v>
      </c>
      <c r="C25" s="170"/>
      <c r="D25" s="168"/>
      <c r="E25" s="168"/>
      <c r="F25" s="168"/>
      <c r="G25" s="169"/>
    </row>
    <row r="26" spans="1:7" ht="24.6" customHeight="1" x14ac:dyDescent="0.3">
      <c r="A26" s="66">
        <f t="shared" si="7"/>
        <v>4</v>
      </c>
      <c r="B26" s="167" t="s">
        <v>938</v>
      </c>
      <c r="C26" s="168"/>
      <c r="D26" s="168"/>
      <c r="E26" s="168"/>
      <c r="F26" s="168"/>
      <c r="G26" s="169"/>
    </row>
    <row r="27" spans="1:7" ht="24.6" customHeight="1" x14ac:dyDescent="0.3">
      <c r="A27" s="66">
        <f t="shared" si="7"/>
        <v>5</v>
      </c>
      <c r="B27" s="167" t="s">
        <v>939</v>
      </c>
      <c r="C27" s="168"/>
      <c r="D27" s="168"/>
      <c r="E27" s="168"/>
      <c r="F27" s="171"/>
      <c r="G27" s="169"/>
    </row>
    <row r="28" spans="1:7" ht="24.6" customHeight="1" x14ac:dyDescent="0.3">
      <c r="A28" s="66">
        <f t="shared" si="7"/>
        <v>6</v>
      </c>
      <c r="B28" s="167" t="s">
        <v>940</v>
      </c>
      <c r="C28" s="168"/>
      <c r="D28" s="168"/>
      <c r="E28" s="168"/>
      <c r="F28" s="171"/>
      <c r="G28" s="169"/>
    </row>
    <row r="29" spans="1:7" ht="24.6" customHeight="1" x14ac:dyDescent="0.3">
      <c r="A29" s="66">
        <f t="shared" si="7"/>
        <v>7</v>
      </c>
      <c r="B29" s="167" t="s">
        <v>941</v>
      </c>
      <c r="C29" s="170"/>
      <c r="D29" s="168"/>
      <c r="E29" s="168"/>
      <c r="F29" s="171"/>
      <c r="G29" s="169"/>
    </row>
    <row r="30" spans="1:7" ht="24.6" customHeight="1" x14ac:dyDescent="0.3">
      <c r="A30" s="66">
        <f t="shared" si="7"/>
        <v>8</v>
      </c>
      <c r="B30" s="167" t="s">
        <v>942</v>
      </c>
      <c r="C30" s="168"/>
      <c r="D30" s="168"/>
      <c r="E30" s="168"/>
      <c r="F30" s="168"/>
      <c r="G30" s="169"/>
    </row>
    <row r="31" spans="1:7" ht="24.6" customHeight="1" x14ac:dyDescent="0.3">
      <c r="A31" s="66">
        <f t="shared" si="7"/>
        <v>9</v>
      </c>
      <c r="B31" s="167" t="s">
        <v>943</v>
      </c>
      <c r="C31" s="168"/>
      <c r="D31" s="168"/>
      <c r="E31" s="168"/>
      <c r="F31" s="168"/>
      <c r="G31" s="169"/>
    </row>
    <row r="32" spans="1:7" ht="24.6" customHeight="1" x14ac:dyDescent="0.3">
      <c r="A32" s="66">
        <f t="shared" si="7"/>
        <v>10</v>
      </c>
      <c r="B32" s="167" t="s">
        <v>944</v>
      </c>
      <c r="C32" s="168"/>
      <c r="D32" s="168"/>
      <c r="E32" s="168"/>
      <c r="F32" s="168"/>
      <c r="G32" s="169"/>
    </row>
    <row r="33" spans="1:7" ht="24.6" customHeight="1" x14ac:dyDescent="0.3">
      <c r="A33" s="66">
        <f t="shared" si="7"/>
        <v>11</v>
      </c>
      <c r="B33" s="167" t="s">
        <v>945</v>
      </c>
      <c r="C33" s="168"/>
      <c r="D33" s="168"/>
      <c r="E33" s="168"/>
      <c r="F33" s="168"/>
      <c r="G33" s="169"/>
    </row>
    <row r="34" spans="1:7" ht="24.6" customHeight="1" x14ac:dyDescent="0.3">
      <c r="A34" s="66">
        <f t="shared" si="7"/>
        <v>12</v>
      </c>
      <c r="B34" s="167" t="s">
        <v>829</v>
      </c>
      <c r="C34" s="168"/>
      <c r="D34" s="168"/>
      <c r="E34" s="168"/>
      <c r="F34" s="168"/>
      <c r="G34" s="169"/>
    </row>
    <row r="35" spans="1:7" ht="24.6" customHeight="1" x14ac:dyDescent="0.3">
      <c r="A35" s="66">
        <f t="shared" si="7"/>
        <v>13</v>
      </c>
      <c r="B35" s="167" t="s">
        <v>946</v>
      </c>
      <c r="C35" s="170"/>
      <c r="D35" s="168"/>
      <c r="E35" s="168"/>
      <c r="F35" s="168"/>
      <c r="G35" s="169"/>
    </row>
    <row r="36" spans="1:7" ht="24.6" customHeight="1" x14ac:dyDescent="0.3">
      <c r="A36" s="66">
        <f t="shared" si="7"/>
        <v>14</v>
      </c>
      <c r="B36" s="167" t="s">
        <v>77</v>
      </c>
      <c r="C36" s="170"/>
      <c r="D36" s="168"/>
      <c r="E36" s="168"/>
      <c r="F36" s="168"/>
      <c r="G36" s="169"/>
    </row>
    <row r="37" spans="1:7" ht="24.6" customHeight="1" x14ac:dyDescent="0.25">
      <c r="A37" s="66"/>
      <c r="B37" s="66" t="s">
        <v>391</v>
      </c>
      <c r="C37" s="168">
        <f>SUM(C23:C36)</f>
        <v>0</v>
      </c>
      <c r="D37" s="168">
        <f t="shared" ref="D37" si="8">SUM(D23:D36)</f>
        <v>0</v>
      </c>
      <c r="E37" s="168">
        <f t="shared" ref="E37" si="9">SUM(E23:E36)</f>
        <v>0</v>
      </c>
      <c r="F37" s="168">
        <f t="shared" ref="F37" si="10">SUM(F23:F36)</f>
        <v>0</v>
      </c>
      <c r="G37" s="168">
        <f t="shared" ref="G37" si="11">SUM(G23:G36)</f>
        <v>0</v>
      </c>
    </row>
  </sheetData>
  <mergeCells count="2">
    <mergeCell ref="A1:G1"/>
    <mergeCell ref="A20:G20"/>
  </mergeCells>
  <pageMargins left="0.7" right="0.2" top="0.5" bottom="0.2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74F7-E071-4A8C-82D4-FAD1701FAB4D}">
  <dimension ref="A1:Q114"/>
  <sheetViews>
    <sheetView topLeftCell="A43" workbookViewId="0">
      <selection activeCell="R85" sqref="R85"/>
    </sheetView>
  </sheetViews>
  <sheetFormatPr defaultColWidth="8.75" defaultRowHeight="18.75" x14ac:dyDescent="0.3"/>
  <cols>
    <col min="1" max="1" width="3.625" style="203" customWidth="1"/>
    <col min="2" max="2" width="18.625" style="18" customWidth="1"/>
    <col min="3" max="3" width="8.875" style="18" customWidth="1"/>
    <col min="4" max="4" width="6.75" style="18" customWidth="1"/>
    <col min="5" max="5" width="4" style="203" customWidth="1"/>
    <col min="6" max="6" width="18.75" style="18" customWidth="1"/>
    <col min="7" max="7" width="8" style="18" customWidth="1"/>
    <col min="8" max="8" width="6.375" style="18" customWidth="1"/>
    <col min="9" max="9" width="3.375" style="203" customWidth="1"/>
    <col min="10" max="10" width="17.875" style="18" customWidth="1"/>
    <col min="11" max="11" width="8.375" style="18" customWidth="1"/>
    <col min="12" max="12" width="6.875" style="18" customWidth="1"/>
    <col min="13" max="13" width="3.625" style="203" customWidth="1"/>
    <col min="14" max="14" width="17.375" style="18" customWidth="1"/>
    <col min="15" max="16384" width="8.75" style="18"/>
  </cols>
  <sheetData>
    <row r="1" spans="1:15" ht="18" customHeight="1" x14ac:dyDescent="0.3">
      <c r="A1" s="474" t="s">
        <v>1006</v>
      </c>
      <c r="B1" s="475"/>
      <c r="C1" s="476"/>
      <c r="D1" s="43"/>
      <c r="E1" s="474" t="s">
        <v>1007</v>
      </c>
      <c r="F1" s="475"/>
      <c r="G1" s="476"/>
      <c r="H1" s="43"/>
      <c r="I1" s="474" t="s">
        <v>1008</v>
      </c>
      <c r="J1" s="475"/>
      <c r="K1" s="476"/>
      <c r="L1" s="43"/>
      <c r="M1" s="474" t="s">
        <v>1009</v>
      </c>
      <c r="N1" s="475"/>
      <c r="O1" s="476"/>
    </row>
    <row r="2" spans="1:15" ht="18" customHeight="1" x14ac:dyDescent="0.3">
      <c r="A2" s="47">
        <v>1</v>
      </c>
      <c r="B2" s="26" t="s">
        <v>167</v>
      </c>
      <c r="C2" s="26" t="s">
        <v>14</v>
      </c>
      <c r="D2" s="202"/>
      <c r="E2" s="47">
        <v>1</v>
      </c>
      <c r="F2" s="143" t="s">
        <v>952</v>
      </c>
      <c r="G2" s="143" t="s">
        <v>949</v>
      </c>
      <c r="H2" s="202"/>
      <c r="I2" s="47">
        <v>1</v>
      </c>
      <c r="J2" s="24" t="s">
        <v>424</v>
      </c>
      <c r="K2" s="24" t="s">
        <v>10</v>
      </c>
      <c r="L2" s="202"/>
      <c r="M2" s="47">
        <v>1</v>
      </c>
      <c r="N2" s="39" t="s">
        <v>1101</v>
      </c>
      <c r="O2" s="24" t="s">
        <v>49</v>
      </c>
    </row>
    <row r="3" spans="1:15" ht="18" customHeight="1" x14ac:dyDescent="0.3">
      <c r="A3" s="47">
        <v>2</v>
      </c>
      <c r="B3" s="3" t="s">
        <v>869</v>
      </c>
      <c r="C3" s="26" t="s">
        <v>14</v>
      </c>
      <c r="D3" s="202"/>
      <c r="E3" s="47">
        <v>2</v>
      </c>
      <c r="F3" s="26" t="s">
        <v>171</v>
      </c>
      <c r="G3" s="26" t="s">
        <v>732</v>
      </c>
      <c r="H3" s="202"/>
      <c r="I3" s="47">
        <v>2</v>
      </c>
      <c r="J3" s="39" t="s">
        <v>477</v>
      </c>
      <c r="K3" s="24" t="s">
        <v>14</v>
      </c>
      <c r="L3" s="202"/>
      <c r="M3" s="47">
        <v>2</v>
      </c>
      <c r="N3" s="39" t="s">
        <v>1109</v>
      </c>
      <c r="O3" s="24" t="s">
        <v>63</v>
      </c>
    </row>
    <row r="4" spans="1:15" ht="18" customHeight="1" x14ac:dyDescent="0.3">
      <c r="A4" s="47">
        <v>3</v>
      </c>
      <c r="B4" s="27" t="s">
        <v>491</v>
      </c>
      <c r="C4" s="27" t="s">
        <v>4</v>
      </c>
      <c r="D4" s="202"/>
      <c r="E4" s="47">
        <v>3</v>
      </c>
      <c r="F4" s="24" t="s">
        <v>456</v>
      </c>
      <c r="G4" s="24" t="s">
        <v>21</v>
      </c>
      <c r="H4" s="202"/>
      <c r="I4" s="47">
        <v>3</v>
      </c>
      <c r="J4" s="143" t="s">
        <v>816</v>
      </c>
      <c r="K4" s="143" t="s">
        <v>12</v>
      </c>
      <c r="L4" s="202"/>
      <c r="M4" s="47">
        <v>3</v>
      </c>
      <c r="N4" s="39" t="s">
        <v>733</v>
      </c>
      <c r="O4" s="24" t="s">
        <v>108</v>
      </c>
    </row>
    <row r="5" spans="1:15" ht="18" customHeight="1" x14ac:dyDescent="0.3">
      <c r="A5" s="47">
        <v>4</v>
      </c>
      <c r="B5" s="160" t="s">
        <v>868</v>
      </c>
      <c r="C5" s="143" t="s">
        <v>6</v>
      </c>
      <c r="D5" s="202"/>
      <c r="E5" s="47">
        <v>4</v>
      </c>
      <c r="F5" s="143" t="s">
        <v>806</v>
      </c>
      <c r="G5" s="143" t="s">
        <v>71</v>
      </c>
      <c r="H5" s="202"/>
      <c r="I5" s="47">
        <v>4</v>
      </c>
      <c r="J5" s="26" t="s">
        <v>870</v>
      </c>
      <c r="K5" s="26" t="s">
        <v>49</v>
      </c>
      <c r="L5" s="202"/>
      <c r="M5" s="47">
        <v>4</v>
      </c>
      <c r="N5" s="39" t="s">
        <v>733</v>
      </c>
      <c r="O5" s="24" t="s">
        <v>102</v>
      </c>
    </row>
    <row r="6" spans="1:15" ht="18" customHeight="1" x14ac:dyDescent="0.3">
      <c r="A6" s="47">
        <v>5</v>
      </c>
      <c r="B6" s="143" t="s">
        <v>780</v>
      </c>
      <c r="C6" s="143" t="s">
        <v>518</v>
      </c>
      <c r="D6" s="202"/>
      <c r="E6" s="47">
        <v>5</v>
      </c>
      <c r="F6" s="39" t="s">
        <v>989</v>
      </c>
      <c r="G6" s="24" t="s">
        <v>49</v>
      </c>
      <c r="H6" s="202"/>
      <c r="I6" s="47">
        <v>5</v>
      </c>
      <c r="J6" s="143" t="s">
        <v>813</v>
      </c>
      <c r="K6" s="143" t="s">
        <v>814</v>
      </c>
      <c r="L6" s="202"/>
      <c r="M6" s="47">
        <v>5</v>
      </c>
      <c r="N6" s="39" t="s">
        <v>1105</v>
      </c>
      <c r="O6" s="24" t="s">
        <v>18</v>
      </c>
    </row>
    <row r="7" spans="1:15" ht="18" customHeight="1" x14ac:dyDescent="0.3">
      <c r="A7" s="47">
        <v>6</v>
      </c>
      <c r="B7" s="143" t="s">
        <v>738</v>
      </c>
      <c r="C7" s="143" t="s">
        <v>64</v>
      </c>
      <c r="D7" s="202"/>
      <c r="E7" s="47">
        <v>6</v>
      </c>
      <c r="F7" s="143" t="s">
        <v>771</v>
      </c>
      <c r="G7" s="143" t="s">
        <v>530</v>
      </c>
      <c r="H7" s="202"/>
      <c r="I7" s="47">
        <v>6</v>
      </c>
      <c r="J7" s="24" t="s">
        <v>994</v>
      </c>
      <c r="K7" s="24" t="s">
        <v>128</v>
      </c>
      <c r="L7" s="202"/>
      <c r="M7" s="47">
        <v>6</v>
      </c>
      <c r="N7" s="39" t="s">
        <v>1107</v>
      </c>
      <c r="O7" s="24" t="s">
        <v>64</v>
      </c>
    </row>
    <row r="8" spans="1:15" ht="18" customHeight="1" x14ac:dyDescent="0.3">
      <c r="A8" s="47">
        <v>7</v>
      </c>
      <c r="B8" s="26" t="s">
        <v>168</v>
      </c>
      <c r="C8" s="26" t="s">
        <v>29</v>
      </c>
      <c r="D8" s="202"/>
      <c r="E8" s="47">
        <v>7</v>
      </c>
      <c r="F8" s="39" t="s">
        <v>986</v>
      </c>
      <c r="G8" s="24" t="s">
        <v>601</v>
      </c>
      <c r="H8" s="202"/>
      <c r="I8" s="47">
        <v>7</v>
      </c>
      <c r="J8" s="143" t="s">
        <v>962</v>
      </c>
      <c r="K8" s="143" t="s">
        <v>948</v>
      </c>
      <c r="L8" s="202"/>
      <c r="M8" s="47">
        <v>7</v>
      </c>
      <c r="N8" s="39" t="s">
        <v>1108</v>
      </c>
      <c r="O8" s="24" t="s">
        <v>41</v>
      </c>
    </row>
    <row r="9" spans="1:15" ht="18" customHeight="1" x14ac:dyDescent="0.3">
      <c r="A9" s="47">
        <v>8</v>
      </c>
      <c r="B9" s="25" t="s">
        <v>208</v>
      </c>
      <c r="C9" s="25" t="s">
        <v>133</v>
      </c>
      <c r="D9" s="202"/>
      <c r="E9" s="47">
        <v>8</v>
      </c>
      <c r="F9" s="27" t="s">
        <v>531</v>
      </c>
      <c r="G9" s="27" t="s">
        <v>29</v>
      </c>
      <c r="H9" s="202"/>
      <c r="I9" s="47">
        <v>8</v>
      </c>
      <c r="J9" s="26" t="s">
        <v>731</v>
      </c>
      <c r="K9" s="26" t="s">
        <v>18</v>
      </c>
      <c r="L9" s="202"/>
      <c r="M9" s="47">
        <v>8</v>
      </c>
      <c r="N9" s="39" t="s">
        <v>293</v>
      </c>
      <c r="O9" s="24" t="s">
        <v>133</v>
      </c>
    </row>
    <row r="10" spans="1:15" ht="18" customHeight="1" x14ac:dyDescent="0.3">
      <c r="A10" s="47">
        <v>9</v>
      </c>
      <c r="B10" s="143" t="s">
        <v>769</v>
      </c>
      <c r="C10" s="143" t="s">
        <v>34</v>
      </c>
      <c r="D10" s="202"/>
      <c r="E10" s="47">
        <v>9</v>
      </c>
      <c r="F10" s="143" t="s">
        <v>793</v>
      </c>
      <c r="G10" s="143" t="s">
        <v>469</v>
      </c>
      <c r="H10" s="202"/>
      <c r="I10" s="47">
        <v>9</v>
      </c>
      <c r="J10" s="143" t="s">
        <v>162</v>
      </c>
      <c r="K10" s="143" t="s">
        <v>25</v>
      </c>
      <c r="L10" s="202"/>
      <c r="M10" s="47">
        <v>9</v>
      </c>
      <c r="N10" s="39" t="s">
        <v>1096</v>
      </c>
      <c r="O10" s="24" t="s">
        <v>413</v>
      </c>
    </row>
    <row r="11" spans="1:15" ht="18" customHeight="1" x14ac:dyDescent="0.3">
      <c r="A11" s="47">
        <v>10</v>
      </c>
      <c r="B11" s="143" t="s">
        <v>728</v>
      </c>
      <c r="C11" s="143" t="s">
        <v>34</v>
      </c>
      <c r="D11" s="202"/>
      <c r="E11" s="47">
        <v>10</v>
      </c>
      <c r="F11" s="143" t="s">
        <v>306</v>
      </c>
      <c r="G11" s="143" t="s">
        <v>34</v>
      </c>
      <c r="H11" s="202"/>
      <c r="I11" s="47">
        <v>10</v>
      </c>
      <c r="J11" s="39" t="s">
        <v>987</v>
      </c>
      <c r="K11" s="24" t="s">
        <v>126</v>
      </c>
      <c r="L11" s="202"/>
      <c r="M11" s="47">
        <v>10</v>
      </c>
      <c r="N11" s="39" t="s">
        <v>1104</v>
      </c>
      <c r="O11" s="24" t="s">
        <v>737</v>
      </c>
    </row>
    <row r="12" spans="1:15" ht="18" customHeight="1" x14ac:dyDescent="0.3">
      <c r="A12" s="47">
        <v>11</v>
      </c>
      <c r="B12" s="24" t="s">
        <v>511</v>
      </c>
      <c r="C12" s="24" t="s">
        <v>34</v>
      </c>
      <c r="D12" s="202"/>
      <c r="E12" s="47">
        <v>11</v>
      </c>
      <c r="F12" s="143" t="s">
        <v>739</v>
      </c>
      <c r="G12" s="143" t="s">
        <v>19</v>
      </c>
      <c r="H12" s="202"/>
      <c r="I12" s="47">
        <v>11</v>
      </c>
      <c r="J12" s="143" t="s">
        <v>781</v>
      </c>
      <c r="K12" s="143" t="s">
        <v>35</v>
      </c>
      <c r="L12" s="202"/>
      <c r="M12" s="47">
        <v>11</v>
      </c>
      <c r="N12" s="24" t="s">
        <v>1051</v>
      </c>
      <c r="O12" s="24" t="s">
        <v>75</v>
      </c>
    </row>
    <row r="13" spans="1:15" ht="18" customHeight="1" x14ac:dyDescent="0.3">
      <c r="A13" s="47">
        <v>12</v>
      </c>
      <c r="B13" s="26" t="s">
        <v>164</v>
      </c>
      <c r="C13" s="26" t="s">
        <v>26</v>
      </c>
      <c r="D13" s="202"/>
      <c r="E13" s="47">
        <v>12</v>
      </c>
      <c r="F13" s="143" t="s">
        <v>796</v>
      </c>
      <c r="G13" s="143" t="s">
        <v>56</v>
      </c>
      <c r="H13" s="202"/>
      <c r="I13" s="47">
        <v>12</v>
      </c>
      <c r="J13" s="39" t="s">
        <v>887</v>
      </c>
      <c r="K13" s="24" t="s">
        <v>40</v>
      </c>
      <c r="L13" s="202"/>
      <c r="M13" s="47">
        <v>12</v>
      </c>
      <c r="N13" s="39" t="s">
        <v>1103</v>
      </c>
      <c r="O13" s="24" t="s">
        <v>75</v>
      </c>
    </row>
    <row r="14" spans="1:15" ht="18" customHeight="1" x14ac:dyDescent="0.3">
      <c r="A14" s="47">
        <v>13</v>
      </c>
      <c r="B14" s="143" t="s">
        <v>795</v>
      </c>
      <c r="C14" s="143" t="s">
        <v>62</v>
      </c>
      <c r="D14" s="202"/>
      <c r="E14" s="47">
        <v>13</v>
      </c>
      <c r="F14" s="143" t="s">
        <v>787</v>
      </c>
      <c r="G14" s="143" t="s">
        <v>788</v>
      </c>
      <c r="H14" s="202"/>
      <c r="I14" s="47">
        <v>13</v>
      </c>
      <c r="J14" s="143" t="s">
        <v>822</v>
      </c>
      <c r="K14" s="143" t="s">
        <v>91</v>
      </c>
      <c r="L14" s="202"/>
      <c r="M14" s="47">
        <v>13</v>
      </c>
      <c r="N14" s="39" t="s">
        <v>1110</v>
      </c>
      <c r="O14" s="24" t="s">
        <v>34</v>
      </c>
    </row>
    <row r="15" spans="1:15" ht="18" customHeight="1" x14ac:dyDescent="0.3">
      <c r="A15" s="47">
        <v>14</v>
      </c>
      <c r="B15" s="24" t="s">
        <v>457</v>
      </c>
      <c r="C15" s="24" t="s">
        <v>43</v>
      </c>
      <c r="D15" s="202"/>
      <c r="E15" s="47">
        <v>14</v>
      </c>
      <c r="F15" s="143" t="s">
        <v>833</v>
      </c>
      <c r="G15" s="143" t="s">
        <v>92</v>
      </c>
      <c r="H15" s="202"/>
      <c r="I15" s="47">
        <v>14</v>
      </c>
      <c r="J15" s="24" t="s">
        <v>726</v>
      </c>
      <c r="K15" s="24" t="s">
        <v>98</v>
      </c>
      <c r="L15" s="202"/>
      <c r="M15" s="47">
        <v>14</v>
      </c>
      <c r="N15" s="39" t="s">
        <v>1106</v>
      </c>
      <c r="O15" s="24" t="s">
        <v>1100</v>
      </c>
    </row>
    <row r="16" spans="1:15" ht="18" customHeight="1" x14ac:dyDescent="0.3">
      <c r="A16" s="47">
        <v>15</v>
      </c>
      <c r="B16" s="26" t="s">
        <v>198</v>
      </c>
      <c r="C16" s="26" t="s">
        <v>35</v>
      </c>
      <c r="D16" s="202"/>
      <c r="E16" s="47">
        <v>15</v>
      </c>
      <c r="F16" s="39" t="s">
        <v>730</v>
      </c>
      <c r="G16" s="24" t="s">
        <v>91</v>
      </c>
      <c r="H16" s="202"/>
      <c r="I16" s="47">
        <v>15</v>
      </c>
      <c r="J16" s="143" t="s">
        <v>779</v>
      </c>
      <c r="K16" s="143" t="s">
        <v>104</v>
      </c>
      <c r="L16" s="202"/>
      <c r="M16" s="47">
        <v>15</v>
      </c>
      <c r="N16" s="39" t="s">
        <v>198</v>
      </c>
      <c r="O16" s="24" t="s">
        <v>43</v>
      </c>
    </row>
    <row r="17" spans="1:15" ht="18" customHeight="1" x14ac:dyDescent="0.3">
      <c r="A17" s="47">
        <v>16</v>
      </c>
      <c r="B17" s="27" t="s">
        <v>165</v>
      </c>
      <c r="C17" s="27" t="s">
        <v>27</v>
      </c>
      <c r="D17" s="202"/>
      <c r="E17" s="47">
        <v>16</v>
      </c>
      <c r="F17" s="39" t="s">
        <v>211</v>
      </c>
      <c r="G17" s="24" t="s">
        <v>886</v>
      </c>
      <c r="H17" s="202"/>
      <c r="I17" s="47">
        <v>16</v>
      </c>
      <c r="J17" s="143" t="s">
        <v>810</v>
      </c>
      <c r="K17" s="143" t="s">
        <v>110</v>
      </c>
      <c r="L17" s="202"/>
      <c r="M17" s="47">
        <v>16</v>
      </c>
      <c r="N17" s="39" t="s">
        <v>988</v>
      </c>
      <c r="O17" s="24" t="s">
        <v>91</v>
      </c>
    </row>
    <row r="18" spans="1:15" ht="18" customHeight="1" x14ac:dyDescent="0.3">
      <c r="A18" s="47">
        <v>17</v>
      </c>
      <c r="B18" s="26" t="s">
        <v>169</v>
      </c>
      <c r="C18" s="26" t="s">
        <v>30</v>
      </c>
      <c r="D18" s="202"/>
      <c r="E18" s="47">
        <v>17</v>
      </c>
      <c r="F18" s="27" t="s">
        <v>170</v>
      </c>
      <c r="G18" s="27" t="s">
        <v>31</v>
      </c>
      <c r="H18" s="202"/>
      <c r="I18" s="47">
        <v>17</v>
      </c>
      <c r="J18" s="143" t="s">
        <v>1111</v>
      </c>
      <c r="K18" s="143" t="s">
        <v>28</v>
      </c>
      <c r="L18" s="202"/>
      <c r="M18" s="47">
        <v>17</v>
      </c>
      <c r="N18" s="39" t="s">
        <v>1102</v>
      </c>
      <c r="O18" s="24" t="s">
        <v>7</v>
      </c>
    </row>
    <row r="19" spans="1:15" ht="18" customHeight="1" x14ac:dyDescent="0.3">
      <c r="A19" s="47">
        <v>18</v>
      </c>
      <c r="B19" s="26" t="s">
        <v>229</v>
      </c>
      <c r="C19" s="26" t="s">
        <v>74</v>
      </c>
      <c r="D19" s="202"/>
      <c r="E19" s="47">
        <v>18</v>
      </c>
      <c r="F19" s="26" t="s">
        <v>166</v>
      </c>
      <c r="G19" s="26" t="s">
        <v>28</v>
      </c>
      <c r="H19" s="202"/>
      <c r="I19" s="47">
        <v>18</v>
      </c>
      <c r="J19" s="39" t="s">
        <v>888</v>
      </c>
      <c r="K19" s="24" t="s">
        <v>5</v>
      </c>
      <c r="L19" s="202"/>
      <c r="M19" s="47">
        <v>18</v>
      </c>
      <c r="N19" s="39" t="s">
        <v>1097</v>
      </c>
      <c r="O19" s="24" t="s">
        <v>85</v>
      </c>
    </row>
    <row r="20" spans="1:15" ht="18" customHeight="1" x14ac:dyDescent="0.3">
      <c r="A20" s="47">
        <v>19</v>
      </c>
      <c r="B20" s="26" t="s">
        <v>484</v>
      </c>
      <c r="C20" s="26" t="s">
        <v>33</v>
      </c>
      <c r="D20" s="202"/>
      <c r="E20" s="47">
        <v>19</v>
      </c>
      <c r="F20" s="143" t="s">
        <v>171</v>
      </c>
      <c r="G20" s="143" t="s">
        <v>33</v>
      </c>
      <c r="H20" s="202"/>
      <c r="I20" s="47">
        <v>19</v>
      </c>
      <c r="J20" s="24" t="s">
        <v>981</v>
      </c>
      <c r="K20" s="24" t="s">
        <v>982</v>
      </c>
      <c r="L20" s="202"/>
      <c r="M20" s="47">
        <v>19</v>
      </c>
      <c r="N20" s="39" t="s">
        <v>998</v>
      </c>
      <c r="O20" s="24" t="s">
        <v>80</v>
      </c>
    </row>
    <row r="21" spans="1:15" ht="18" customHeight="1" x14ac:dyDescent="0.3">
      <c r="A21" s="47">
        <v>20</v>
      </c>
      <c r="B21" s="202"/>
      <c r="C21" s="202"/>
      <c r="D21" s="202"/>
      <c r="E21" s="47">
        <v>20</v>
      </c>
      <c r="F21" s="143" t="s">
        <v>804</v>
      </c>
      <c r="G21" s="143" t="s">
        <v>69</v>
      </c>
      <c r="H21" s="202"/>
      <c r="I21" s="47">
        <v>20</v>
      </c>
      <c r="J21" s="174" t="s">
        <v>985</v>
      </c>
      <c r="K21" s="24" t="s">
        <v>58</v>
      </c>
      <c r="L21" s="202"/>
      <c r="M21" s="47">
        <v>20</v>
      </c>
      <c r="N21" s="39" t="s">
        <v>1095</v>
      </c>
      <c r="O21" s="24" t="s">
        <v>1002</v>
      </c>
    </row>
    <row r="22" spans="1:15" ht="18" customHeight="1" x14ac:dyDescent="0.3">
      <c r="A22" s="47">
        <v>21</v>
      </c>
      <c r="B22" s="202"/>
      <c r="C22" s="202"/>
      <c r="D22" s="202"/>
      <c r="E22" s="47">
        <v>21</v>
      </c>
      <c r="F22" s="143" t="s">
        <v>705</v>
      </c>
      <c r="G22" s="143" t="s">
        <v>20</v>
      </c>
      <c r="H22" s="202"/>
      <c r="I22" s="47">
        <v>21</v>
      </c>
      <c r="J22" s="24" t="s">
        <v>1084</v>
      </c>
      <c r="K22" s="24" t="s">
        <v>134</v>
      </c>
      <c r="L22" s="202"/>
      <c r="M22" s="47">
        <v>21</v>
      </c>
      <c r="N22" s="39" t="s">
        <v>1075</v>
      </c>
      <c r="O22" s="24" t="s">
        <v>1098</v>
      </c>
    </row>
    <row r="23" spans="1:15" ht="18" customHeight="1" x14ac:dyDescent="0.3">
      <c r="A23" s="47">
        <v>22</v>
      </c>
      <c r="B23" s="202"/>
      <c r="C23" s="202"/>
      <c r="D23" s="202"/>
      <c r="E23" s="47">
        <v>22</v>
      </c>
      <c r="F23" s="26" t="s">
        <v>890</v>
      </c>
      <c r="G23" s="26" t="s">
        <v>20</v>
      </c>
      <c r="H23" s="202"/>
      <c r="I23" s="43"/>
      <c r="J23" s="202"/>
      <c r="K23" s="202"/>
      <c r="L23" s="202"/>
      <c r="M23" s="47">
        <v>22</v>
      </c>
      <c r="N23" s="39" t="s">
        <v>917</v>
      </c>
      <c r="O23" s="24" t="s">
        <v>134</v>
      </c>
    </row>
    <row r="24" spans="1:15" ht="18" customHeight="1" x14ac:dyDescent="0.3">
      <c r="A24" s="47">
        <v>23</v>
      </c>
      <c r="E24" s="246"/>
      <c r="F24" s="247"/>
      <c r="G24" s="247"/>
      <c r="M24" s="47">
        <v>23</v>
      </c>
      <c r="N24" s="39" t="s">
        <v>159</v>
      </c>
      <c r="O24" s="24" t="s">
        <v>134</v>
      </c>
    </row>
    <row r="25" spans="1:15" ht="18" customHeight="1" x14ac:dyDescent="0.3">
      <c r="A25" s="47">
        <v>24</v>
      </c>
      <c r="M25" s="47">
        <v>24</v>
      </c>
      <c r="N25" s="39" t="s">
        <v>465</v>
      </c>
      <c r="O25" s="24" t="s">
        <v>16</v>
      </c>
    </row>
    <row r="26" spans="1:15" ht="18" customHeight="1" x14ac:dyDescent="0.3">
      <c r="A26" s="47">
        <v>25</v>
      </c>
      <c r="M26" s="47">
        <v>25</v>
      </c>
      <c r="N26" s="39" t="s">
        <v>545</v>
      </c>
      <c r="O26" s="24" t="s">
        <v>1099</v>
      </c>
    </row>
    <row r="27" spans="1:15" ht="18" customHeight="1" x14ac:dyDescent="0.3">
      <c r="A27" s="47">
        <v>26</v>
      </c>
      <c r="M27" s="47">
        <v>26</v>
      </c>
      <c r="N27" s="39" t="s">
        <v>159</v>
      </c>
      <c r="O27" s="24" t="s">
        <v>20</v>
      </c>
    </row>
    <row r="28" spans="1:15" ht="49.5" customHeight="1" x14ac:dyDescent="0.3">
      <c r="A28" s="248"/>
    </row>
    <row r="29" spans="1:15" ht="18.600000000000001" customHeight="1" x14ac:dyDescent="0.3">
      <c r="A29" s="474" t="s">
        <v>1010</v>
      </c>
      <c r="B29" s="475"/>
      <c r="C29" s="476"/>
      <c r="D29" s="202"/>
      <c r="E29" s="474" t="s">
        <v>1011</v>
      </c>
      <c r="F29" s="475"/>
      <c r="G29" s="476"/>
      <c r="H29" s="202"/>
      <c r="I29" s="474" t="s">
        <v>1012</v>
      </c>
      <c r="J29" s="475"/>
      <c r="K29" s="476"/>
      <c r="L29" s="202"/>
      <c r="M29" s="474" t="s">
        <v>1013</v>
      </c>
      <c r="N29" s="475"/>
      <c r="O29" s="476"/>
    </row>
    <row r="30" spans="1:15" ht="18.600000000000001" customHeight="1" x14ac:dyDescent="0.3">
      <c r="A30" s="47">
        <v>1</v>
      </c>
      <c r="B30" s="26" t="s">
        <v>582</v>
      </c>
      <c r="C30" s="26" t="s">
        <v>22</v>
      </c>
      <c r="D30" s="202"/>
      <c r="E30" s="47">
        <v>1</v>
      </c>
      <c r="F30" s="24" t="s">
        <v>331</v>
      </c>
      <c r="G30" s="24" t="s">
        <v>14</v>
      </c>
      <c r="H30" s="202"/>
      <c r="I30" s="47">
        <v>1</v>
      </c>
      <c r="J30" s="26" t="s">
        <v>1117</v>
      </c>
      <c r="K30" s="26" t="s">
        <v>14</v>
      </c>
      <c r="L30" s="202"/>
      <c r="M30" s="43"/>
      <c r="N30" s="202"/>
      <c r="O30" s="202"/>
    </row>
    <row r="31" spans="1:15" ht="18.600000000000001" customHeight="1" x14ac:dyDescent="0.3">
      <c r="A31" s="47">
        <v>2</v>
      </c>
      <c r="B31" s="26" t="s">
        <v>584</v>
      </c>
      <c r="C31" s="26" t="s">
        <v>14</v>
      </c>
      <c r="D31" s="202"/>
      <c r="E31" s="47">
        <v>2</v>
      </c>
      <c r="F31" s="25" t="s">
        <v>536</v>
      </c>
      <c r="G31" s="25" t="s">
        <v>12</v>
      </c>
      <c r="H31" s="202"/>
      <c r="I31" s="47">
        <v>2</v>
      </c>
      <c r="J31" s="3" t="s">
        <v>370</v>
      </c>
      <c r="K31" s="26" t="s">
        <v>12</v>
      </c>
      <c r="L31" s="202"/>
      <c r="M31" s="43"/>
      <c r="N31" s="202"/>
      <c r="O31" s="202"/>
    </row>
    <row r="32" spans="1:15" ht="18.600000000000001" customHeight="1" x14ac:dyDescent="0.3">
      <c r="A32" s="47">
        <v>3</v>
      </c>
      <c r="B32" s="25" t="s">
        <v>179</v>
      </c>
      <c r="C32" s="25" t="s">
        <v>39</v>
      </c>
      <c r="D32" s="202"/>
      <c r="E32" s="47">
        <v>3</v>
      </c>
      <c r="F32" s="24" t="s">
        <v>181</v>
      </c>
      <c r="G32" s="24" t="s">
        <v>4</v>
      </c>
      <c r="H32" s="202"/>
      <c r="I32" s="47">
        <v>3</v>
      </c>
      <c r="J32" s="24" t="s">
        <v>172</v>
      </c>
      <c r="K32" s="24" t="s">
        <v>4</v>
      </c>
      <c r="L32" s="202"/>
      <c r="M32" s="43"/>
      <c r="N32" s="202"/>
      <c r="O32" s="202"/>
    </row>
    <row r="33" spans="1:15" ht="18.600000000000001" customHeight="1" x14ac:dyDescent="0.3">
      <c r="A33" s="47">
        <v>4</v>
      </c>
      <c r="B33" s="24" t="s">
        <v>175</v>
      </c>
      <c r="C33" s="24" t="s">
        <v>36</v>
      </c>
      <c r="D33" s="202"/>
      <c r="E33" s="47">
        <v>4</v>
      </c>
      <c r="F33" s="26" t="s">
        <v>437</v>
      </c>
      <c r="G33" s="26" t="s">
        <v>4</v>
      </c>
      <c r="H33" s="202"/>
      <c r="I33" s="47">
        <v>4</v>
      </c>
      <c r="J33" s="3" t="s">
        <v>273</v>
      </c>
      <c r="K33" s="26" t="s">
        <v>59</v>
      </c>
      <c r="L33" s="202"/>
      <c r="M33" s="43"/>
      <c r="N33" s="202"/>
      <c r="O33" s="202"/>
    </row>
    <row r="34" spans="1:15" ht="18.600000000000001" customHeight="1" x14ac:dyDescent="0.3">
      <c r="A34" s="47">
        <v>5</v>
      </c>
      <c r="B34" s="26" t="s">
        <v>450</v>
      </c>
      <c r="C34" s="26" t="s">
        <v>68</v>
      </c>
      <c r="D34" s="202"/>
      <c r="E34" s="47">
        <v>5</v>
      </c>
      <c r="F34" s="26" t="s">
        <v>424</v>
      </c>
      <c r="G34" s="26" t="s">
        <v>425</v>
      </c>
      <c r="H34" s="202"/>
      <c r="I34" s="47">
        <v>5</v>
      </c>
      <c r="J34" s="26" t="s">
        <v>435</v>
      </c>
      <c r="K34" s="26" t="s">
        <v>6</v>
      </c>
      <c r="L34" s="202"/>
      <c r="M34" s="43"/>
      <c r="N34" s="202"/>
      <c r="O34" s="202"/>
    </row>
    <row r="35" spans="1:15" ht="18.600000000000001" customHeight="1" x14ac:dyDescent="0.3">
      <c r="A35" s="47">
        <v>6</v>
      </c>
      <c r="B35" s="26" t="s">
        <v>429</v>
      </c>
      <c r="C35" s="26" t="s">
        <v>430</v>
      </c>
      <c r="D35" s="202"/>
      <c r="E35" s="47">
        <v>6</v>
      </c>
      <c r="F35" s="25" t="s">
        <v>176</v>
      </c>
      <c r="G35" s="25" t="s">
        <v>18</v>
      </c>
      <c r="H35" s="202"/>
      <c r="I35" s="47">
        <v>6</v>
      </c>
      <c r="J35" s="26" t="s">
        <v>448</v>
      </c>
      <c r="K35" s="26" t="s">
        <v>123</v>
      </c>
      <c r="L35" s="202"/>
      <c r="M35" s="43"/>
      <c r="N35" s="202"/>
      <c r="O35" s="202"/>
    </row>
    <row r="36" spans="1:15" ht="18.600000000000001" customHeight="1" x14ac:dyDescent="0.3">
      <c r="A36" s="47">
        <v>7</v>
      </c>
      <c r="B36" s="25" t="s">
        <v>182</v>
      </c>
      <c r="C36" s="25" t="s">
        <v>41</v>
      </c>
      <c r="D36" s="202"/>
      <c r="E36" s="47">
        <v>7</v>
      </c>
      <c r="F36" s="24" t="s">
        <v>1114</v>
      </c>
      <c r="G36" s="24" t="s">
        <v>23</v>
      </c>
      <c r="H36" s="202"/>
      <c r="I36" s="47">
        <v>7</v>
      </c>
      <c r="J36" s="26" t="s">
        <v>159</v>
      </c>
      <c r="K36" s="26" t="s">
        <v>49</v>
      </c>
      <c r="L36" s="202"/>
      <c r="M36" s="43"/>
      <c r="N36" s="202"/>
      <c r="O36" s="202"/>
    </row>
    <row r="37" spans="1:15" ht="18.600000000000001" customHeight="1" x14ac:dyDescent="0.3">
      <c r="A37" s="47">
        <v>8</v>
      </c>
      <c r="B37" s="26" t="s">
        <v>538</v>
      </c>
      <c r="C37" s="26" t="s">
        <v>73</v>
      </c>
      <c r="D37" s="202"/>
      <c r="E37" s="47">
        <v>8</v>
      </c>
      <c r="F37" s="24" t="s">
        <v>1112</v>
      </c>
      <c r="G37" s="24" t="s">
        <v>133</v>
      </c>
      <c r="H37" s="202"/>
      <c r="I37" s="47">
        <v>8</v>
      </c>
      <c r="J37" s="26" t="s">
        <v>586</v>
      </c>
      <c r="K37" s="26" t="s">
        <v>587</v>
      </c>
      <c r="L37" s="202"/>
      <c r="M37" s="43"/>
      <c r="N37" s="202"/>
      <c r="O37" s="202"/>
    </row>
    <row r="38" spans="1:15" ht="18.600000000000001" customHeight="1" x14ac:dyDescent="0.3">
      <c r="A38" s="47">
        <v>9</v>
      </c>
      <c r="B38" s="26" t="s">
        <v>426</v>
      </c>
      <c r="C38" s="26" t="s">
        <v>34</v>
      </c>
      <c r="D38" s="202"/>
      <c r="E38" s="47">
        <v>9</v>
      </c>
      <c r="F38" s="24" t="s">
        <v>1113</v>
      </c>
      <c r="G38" s="24" t="s">
        <v>73</v>
      </c>
      <c r="H38" s="202"/>
      <c r="I38" s="47">
        <v>9</v>
      </c>
      <c r="J38" s="26" t="s">
        <v>537</v>
      </c>
      <c r="K38" s="26" t="s">
        <v>86</v>
      </c>
      <c r="L38" s="202"/>
      <c r="M38" s="43"/>
      <c r="N38" s="202"/>
      <c r="O38" s="202"/>
    </row>
    <row r="39" spans="1:15" ht="18.600000000000001" customHeight="1" x14ac:dyDescent="0.3">
      <c r="A39" s="47">
        <v>10</v>
      </c>
      <c r="B39" s="24" t="s">
        <v>173</v>
      </c>
      <c r="C39" s="24" t="s">
        <v>34</v>
      </c>
      <c r="D39" s="202"/>
      <c r="E39" s="47">
        <v>10</v>
      </c>
      <c r="F39" s="26" t="s">
        <v>585</v>
      </c>
      <c r="G39" s="26" t="s">
        <v>75</v>
      </c>
      <c r="H39" s="202"/>
      <c r="I39" s="47">
        <v>10</v>
      </c>
      <c r="J39" s="26" t="s">
        <v>790</v>
      </c>
      <c r="K39" s="26" t="s">
        <v>68</v>
      </c>
      <c r="L39" s="202"/>
      <c r="M39" s="43"/>
      <c r="N39" s="202"/>
      <c r="O39" s="202"/>
    </row>
    <row r="40" spans="1:15" ht="18.600000000000001" customHeight="1" x14ac:dyDescent="0.3">
      <c r="A40" s="47">
        <v>11</v>
      </c>
      <c r="B40" s="26" t="s">
        <v>439</v>
      </c>
      <c r="C40" s="26" t="s">
        <v>535</v>
      </c>
      <c r="D40" s="202"/>
      <c r="E40" s="47">
        <v>11</v>
      </c>
      <c r="F40" s="26" t="s">
        <v>440</v>
      </c>
      <c r="G40" s="26" t="s">
        <v>34</v>
      </c>
      <c r="H40" s="202"/>
      <c r="I40" s="47">
        <v>11</v>
      </c>
      <c r="J40" s="26" t="s">
        <v>955</v>
      </c>
      <c r="K40" s="26" t="s">
        <v>68</v>
      </c>
      <c r="L40" s="202"/>
      <c r="M40" s="43"/>
      <c r="N40" s="202"/>
      <c r="O40" s="202"/>
    </row>
    <row r="41" spans="1:15" ht="18.600000000000001" customHeight="1" x14ac:dyDescent="0.3">
      <c r="A41" s="47">
        <v>12</v>
      </c>
      <c r="B41" s="26" t="s">
        <v>423</v>
      </c>
      <c r="C41" s="26" t="s">
        <v>55</v>
      </c>
      <c r="D41" s="202"/>
      <c r="E41" s="47">
        <v>12</v>
      </c>
      <c r="F41" s="26" t="s">
        <v>451</v>
      </c>
      <c r="G41" s="26" t="s">
        <v>26</v>
      </c>
      <c r="H41" s="202"/>
      <c r="I41" s="47">
        <v>12</v>
      </c>
      <c r="J41" s="143" t="s">
        <v>449</v>
      </c>
      <c r="K41" s="143" t="s">
        <v>68</v>
      </c>
      <c r="L41" s="202"/>
      <c r="M41" s="43"/>
      <c r="N41" s="202"/>
      <c r="O41" s="202"/>
    </row>
    <row r="42" spans="1:15" ht="18.600000000000001" customHeight="1" x14ac:dyDescent="0.3">
      <c r="A42" s="47">
        <v>13</v>
      </c>
      <c r="B42" s="26" t="s">
        <v>433</v>
      </c>
      <c r="C42" s="26" t="s">
        <v>98</v>
      </c>
      <c r="D42" s="202"/>
      <c r="E42" s="47">
        <v>13</v>
      </c>
      <c r="F42" s="26" t="s">
        <v>434</v>
      </c>
      <c r="G42" s="26" t="s">
        <v>26</v>
      </c>
      <c r="H42" s="202"/>
      <c r="I42" s="47">
        <v>13</v>
      </c>
      <c r="J42" s="26" t="s">
        <v>549</v>
      </c>
      <c r="K42" s="26" t="s">
        <v>23</v>
      </c>
      <c r="L42" s="202"/>
      <c r="M42" s="43"/>
      <c r="N42" s="202"/>
      <c r="O42" s="202"/>
    </row>
    <row r="43" spans="1:15" ht="18.600000000000001" customHeight="1" x14ac:dyDescent="0.3">
      <c r="A43" s="47">
        <v>14</v>
      </c>
      <c r="B43" s="26" t="s">
        <v>579</v>
      </c>
      <c r="C43" s="26" t="s">
        <v>5</v>
      </c>
      <c r="D43" s="202"/>
      <c r="E43" s="47">
        <v>14</v>
      </c>
      <c r="F43" s="24" t="s">
        <v>178</v>
      </c>
      <c r="G43" s="24" t="s">
        <v>38</v>
      </c>
      <c r="H43" s="202"/>
      <c r="I43" s="47">
        <v>14</v>
      </c>
      <c r="J43" s="3" t="s">
        <v>996</v>
      </c>
      <c r="K43" s="26" t="s">
        <v>23</v>
      </c>
      <c r="L43" s="202"/>
      <c r="M43" s="43"/>
      <c r="N43" s="202"/>
      <c r="O43" s="202"/>
    </row>
    <row r="44" spans="1:15" ht="18.600000000000001" customHeight="1" x14ac:dyDescent="0.3">
      <c r="A44" s="47">
        <v>15</v>
      </c>
      <c r="B44" s="26" t="s">
        <v>209</v>
      </c>
      <c r="C44" s="26" t="s">
        <v>109</v>
      </c>
      <c r="D44" s="202"/>
      <c r="E44" s="47">
        <v>15</v>
      </c>
      <c r="F44" s="25" t="s">
        <v>177</v>
      </c>
      <c r="G44" s="25" t="s">
        <v>37</v>
      </c>
      <c r="H44" s="202"/>
      <c r="I44" s="47">
        <v>15</v>
      </c>
      <c r="J44" s="26" t="s">
        <v>441</v>
      </c>
      <c r="K44" s="26" t="s">
        <v>13</v>
      </c>
      <c r="L44" s="202"/>
      <c r="M44" s="43"/>
      <c r="N44" s="202"/>
      <c r="O44" s="202"/>
    </row>
    <row r="45" spans="1:15" ht="18.600000000000001" customHeight="1" x14ac:dyDescent="0.3">
      <c r="A45" s="47">
        <v>16</v>
      </c>
      <c r="B45" s="26" t="s">
        <v>534</v>
      </c>
      <c r="C45" s="26" t="s">
        <v>47</v>
      </c>
      <c r="D45" s="202"/>
      <c r="E45" s="47">
        <v>16</v>
      </c>
      <c r="F45" s="26" t="s">
        <v>442</v>
      </c>
      <c r="G45" s="26" t="s">
        <v>92</v>
      </c>
      <c r="H45" s="202"/>
      <c r="I45" s="47">
        <v>16</v>
      </c>
      <c r="J45" s="26" t="s">
        <v>539</v>
      </c>
      <c r="K45" s="26" t="s">
        <v>26</v>
      </c>
      <c r="L45" s="202"/>
      <c r="M45" s="43"/>
      <c r="N45" s="202"/>
      <c r="O45" s="202"/>
    </row>
    <row r="46" spans="1:15" ht="18.600000000000001" customHeight="1" x14ac:dyDescent="0.3">
      <c r="A46" s="47">
        <v>17</v>
      </c>
      <c r="B46" s="26" t="s">
        <v>431</v>
      </c>
      <c r="C46" s="26" t="s">
        <v>432</v>
      </c>
      <c r="D46" s="202"/>
      <c r="E46" s="47">
        <v>17</v>
      </c>
      <c r="F46" s="26" t="s">
        <v>172</v>
      </c>
      <c r="G46" s="26" t="s">
        <v>92</v>
      </c>
      <c r="H46" s="202"/>
      <c r="I46" s="47">
        <v>17</v>
      </c>
      <c r="J46" s="26" t="s">
        <v>1119</v>
      </c>
      <c r="K46" s="26" t="s">
        <v>997</v>
      </c>
      <c r="L46" s="202"/>
      <c r="M46" s="43"/>
      <c r="N46" s="202"/>
      <c r="O46" s="202"/>
    </row>
    <row r="47" spans="1:15" ht="18.600000000000001" customHeight="1" x14ac:dyDescent="0.3">
      <c r="A47" s="47">
        <v>18</v>
      </c>
      <c r="B47" s="26" t="s">
        <v>436</v>
      </c>
      <c r="C47" s="26" t="s">
        <v>94</v>
      </c>
      <c r="D47" s="202"/>
      <c r="E47" s="47">
        <v>18</v>
      </c>
      <c r="F47" s="26" t="s">
        <v>540</v>
      </c>
      <c r="G47" s="26" t="s">
        <v>43</v>
      </c>
      <c r="H47" s="202"/>
      <c r="I47" s="47">
        <v>18</v>
      </c>
      <c r="J47" s="26" t="s">
        <v>511</v>
      </c>
      <c r="K47" s="26" t="s">
        <v>56</v>
      </c>
      <c r="L47" s="202"/>
      <c r="M47" s="43"/>
      <c r="N47" s="202"/>
      <c r="O47" s="202"/>
    </row>
    <row r="48" spans="1:15" ht="18.600000000000001" customHeight="1" x14ac:dyDescent="0.3">
      <c r="A48" s="43">
        <v>19</v>
      </c>
      <c r="B48" s="202"/>
      <c r="C48" s="202"/>
      <c r="D48" s="202"/>
      <c r="E48" s="47">
        <v>19</v>
      </c>
      <c r="F48" s="39" t="s">
        <v>984</v>
      </c>
      <c r="G48" s="24" t="s">
        <v>9</v>
      </c>
      <c r="H48" s="202"/>
      <c r="I48" s="47">
        <v>19</v>
      </c>
      <c r="J48" s="26" t="s">
        <v>149</v>
      </c>
      <c r="K48" s="26" t="s">
        <v>43</v>
      </c>
      <c r="L48" s="202"/>
      <c r="M48" s="43"/>
      <c r="N48" s="202"/>
      <c r="O48" s="202"/>
    </row>
    <row r="49" spans="1:15" ht="18.600000000000001" customHeight="1" x14ac:dyDescent="0.3">
      <c r="A49" s="43"/>
      <c r="B49" s="202"/>
      <c r="C49" s="202"/>
      <c r="D49" s="202"/>
      <c r="E49" s="47">
        <v>20</v>
      </c>
      <c r="F49" s="24" t="s">
        <v>180</v>
      </c>
      <c r="G49" s="24" t="s">
        <v>40</v>
      </c>
      <c r="H49" s="202"/>
      <c r="I49" s="47">
        <v>20</v>
      </c>
      <c r="J49" s="24" t="s">
        <v>174</v>
      </c>
      <c r="K49" s="24" t="s">
        <v>35</v>
      </c>
      <c r="L49" s="202"/>
      <c r="M49" s="43"/>
      <c r="N49" s="202"/>
      <c r="O49" s="202"/>
    </row>
    <row r="50" spans="1:15" ht="18.600000000000001" customHeight="1" x14ac:dyDescent="0.3">
      <c r="A50" s="43"/>
      <c r="B50" s="202"/>
      <c r="C50" s="202"/>
      <c r="D50" s="202"/>
      <c r="E50" s="47">
        <v>21</v>
      </c>
      <c r="F50" s="24" t="s">
        <v>640</v>
      </c>
      <c r="G50" s="24" t="s">
        <v>20</v>
      </c>
      <c r="H50" s="202"/>
      <c r="I50" s="47">
        <v>21</v>
      </c>
      <c r="J50" s="26" t="s">
        <v>445</v>
      </c>
      <c r="K50" s="26" t="s">
        <v>446</v>
      </c>
      <c r="L50" s="202"/>
      <c r="M50" s="43"/>
      <c r="N50" s="202"/>
      <c r="O50" s="202"/>
    </row>
    <row r="51" spans="1:15" ht="18.600000000000001" customHeight="1" x14ac:dyDescent="0.3">
      <c r="A51" s="43"/>
      <c r="B51" s="202"/>
      <c r="C51" s="202"/>
      <c r="D51" s="202"/>
      <c r="E51" s="47">
        <v>22</v>
      </c>
      <c r="F51" s="26" t="s">
        <v>583</v>
      </c>
      <c r="G51" s="26" t="s">
        <v>42</v>
      </c>
      <c r="H51" s="202"/>
      <c r="I51" s="47">
        <v>22</v>
      </c>
      <c r="J51" s="26" t="s">
        <v>588</v>
      </c>
      <c r="K51" s="26" t="s">
        <v>33</v>
      </c>
      <c r="L51" s="202"/>
      <c r="M51" s="43"/>
      <c r="N51" s="202"/>
      <c r="O51" s="202"/>
    </row>
    <row r="52" spans="1:15" ht="18.600000000000001" customHeight="1" x14ac:dyDescent="0.3">
      <c r="A52" s="43"/>
      <c r="B52" s="202"/>
      <c r="C52" s="202"/>
      <c r="D52" s="202"/>
      <c r="E52" s="249"/>
      <c r="F52" s="250"/>
      <c r="G52" s="250"/>
      <c r="H52" s="202"/>
      <c r="I52" s="47">
        <v>23</v>
      </c>
      <c r="J52" s="26" t="s">
        <v>422</v>
      </c>
      <c r="K52" s="26" t="s">
        <v>101</v>
      </c>
      <c r="L52" s="202"/>
      <c r="M52" s="43"/>
      <c r="N52" s="202"/>
      <c r="O52" s="202"/>
    </row>
    <row r="53" spans="1:15" ht="18.600000000000001" customHeight="1" x14ac:dyDescent="0.3">
      <c r="A53" s="43"/>
      <c r="B53" s="202"/>
      <c r="C53" s="202"/>
      <c r="D53" s="202"/>
      <c r="E53" s="249"/>
      <c r="F53" s="250"/>
      <c r="G53" s="250"/>
      <c r="H53" s="202"/>
      <c r="I53" s="47">
        <v>24</v>
      </c>
      <c r="J53" s="143" t="s">
        <v>1115</v>
      </c>
      <c r="K53" s="143" t="s">
        <v>16</v>
      </c>
      <c r="L53" s="202"/>
      <c r="M53" s="43"/>
      <c r="N53" s="202"/>
      <c r="O53" s="202"/>
    </row>
    <row r="54" spans="1:15" ht="18.600000000000001" customHeight="1" x14ac:dyDescent="0.3">
      <c r="A54" s="43"/>
      <c r="B54" s="202"/>
      <c r="C54" s="202"/>
      <c r="D54" s="202"/>
      <c r="E54" s="249"/>
      <c r="F54" s="250"/>
      <c r="G54" s="250"/>
      <c r="H54" s="202"/>
      <c r="I54" s="47">
        <v>25</v>
      </c>
      <c r="J54" s="26" t="s">
        <v>851</v>
      </c>
      <c r="K54" s="26" t="s">
        <v>1118</v>
      </c>
      <c r="L54" s="202"/>
      <c r="M54" s="43"/>
      <c r="N54" s="202"/>
      <c r="O54" s="202"/>
    </row>
    <row r="55" spans="1:15" ht="18.600000000000001" customHeight="1" x14ac:dyDescent="0.3">
      <c r="A55" s="43"/>
      <c r="B55" s="202"/>
      <c r="C55" s="202"/>
      <c r="D55" s="202"/>
      <c r="E55" s="249"/>
      <c r="F55" s="250"/>
      <c r="G55" s="250"/>
      <c r="H55" s="202"/>
      <c r="I55" s="47">
        <v>26</v>
      </c>
      <c r="J55" s="26" t="s">
        <v>1116</v>
      </c>
      <c r="K55" s="26" t="s">
        <v>79</v>
      </c>
      <c r="L55" s="202"/>
      <c r="M55" s="43"/>
      <c r="N55" s="202"/>
      <c r="O55" s="202"/>
    </row>
    <row r="56" spans="1:15" ht="18.600000000000001" customHeight="1" x14ac:dyDescent="0.3">
      <c r="A56" s="43"/>
      <c r="B56" s="202"/>
      <c r="C56" s="202"/>
      <c r="D56" s="202"/>
      <c r="E56" s="249"/>
      <c r="F56" s="250"/>
      <c r="G56" s="250"/>
      <c r="H56" s="202"/>
      <c r="I56" s="47">
        <v>27</v>
      </c>
      <c r="J56" s="24" t="s">
        <v>1085</v>
      </c>
      <c r="K56" s="244" t="s">
        <v>79</v>
      </c>
      <c r="L56" s="202"/>
      <c r="M56" s="43"/>
      <c r="N56" s="202"/>
      <c r="O56" s="202"/>
    </row>
    <row r="57" spans="1:15" ht="18.600000000000001" customHeight="1" x14ac:dyDescent="0.3">
      <c r="A57" s="43"/>
      <c r="B57" s="202"/>
      <c r="C57" s="202"/>
      <c r="D57" s="202"/>
      <c r="E57" s="43"/>
      <c r="F57" s="202"/>
      <c r="G57" s="202"/>
      <c r="H57" s="202"/>
      <c r="I57" s="47">
        <v>28</v>
      </c>
      <c r="J57" s="26" t="s">
        <v>591</v>
      </c>
      <c r="K57" s="26" t="s">
        <v>42</v>
      </c>
      <c r="L57" s="202"/>
      <c r="M57" s="43"/>
      <c r="N57" s="202"/>
      <c r="O57" s="202"/>
    </row>
    <row r="58" spans="1:15" ht="12" customHeight="1" x14ac:dyDescent="0.3"/>
    <row r="59" spans="1:15" ht="18" customHeight="1" x14ac:dyDescent="0.3">
      <c r="A59" s="449" t="s">
        <v>1014</v>
      </c>
      <c r="B59" s="449"/>
      <c r="C59" s="449"/>
      <c r="D59" s="43"/>
      <c r="E59" s="449" t="s">
        <v>1015</v>
      </c>
      <c r="F59" s="449"/>
      <c r="G59" s="449"/>
      <c r="H59" s="43"/>
      <c r="I59" s="449" t="s">
        <v>1016</v>
      </c>
      <c r="J59" s="449"/>
      <c r="K59" s="449"/>
      <c r="L59" s="43"/>
      <c r="M59" s="449" t="s">
        <v>1017</v>
      </c>
      <c r="N59" s="449"/>
      <c r="O59" s="449"/>
    </row>
    <row r="60" spans="1:15" ht="18" customHeight="1" x14ac:dyDescent="0.3">
      <c r="A60" s="47">
        <v>1</v>
      </c>
      <c r="B60" s="24" t="s">
        <v>186</v>
      </c>
      <c r="C60" s="24" t="s">
        <v>10</v>
      </c>
      <c r="D60" s="202"/>
      <c r="E60" s="47">
        <v>1</v>
      </c>
      <c r="F60" s="24" t="s">
        <v>484</v>
      </c>
      <c r="G60" s="24" t="s">
        <v>48</v>
      </c>
      <c r="H60" s="202"/>
      <c r="I60" s="47">
        <v>1</v>
      </c>
      <c r="J60" s="24" t="s">
        <v>159</v>
      </c>
      <c r="K60" s="24" t="s">
        <v>76</v>
      </c>
      <c r="L60" s="202"/>
      <c r="M60" s="47">
        <v>1</v>
      </c>
      <c r="N60" s="25" t="s">
        <v>597</v>
      </c>
      <c r="O60" s="25" t="s">
        <v>10</v>
      </c>
    </row>
    <row r="61" spans="1:15" ht="18" customHeight="1" x14ac:dyDescent="0.3">
      <c r="A61" s="47">
        <v>2</v>
      </c>
      <c r="B61" s="24" t="s">
        <v>195</v>
      </c>
      <c r="C61" s="24" t="s">
        <v>12</v>
      </c>
      <c r="D61" s="202"/>
      <c r="E61" s="47">
        <v>2</v>
      </c>
      <c r="F61" s="24" t="s">
        <v>204</v>
      </c>
      <c r="G61" s="24" t="s">
        <v>8</v>
      </c>
      <c r="H61" s="202"/>
      <c r="I61" s="47">
        <v>2</v>
      </c>
      <c r="J61" s="143" t="s">
        <v>1121</v>
      </c>
      <c r="K61" s="143" t="s">
        <v>829</v>
      </c>
      <c r="L61" s="202"/>
      <c r="M61" s="47">
        <v>2</v>
      </c>
      <c r="N61" s="24" t="s">
        <v>218</v>
      </c>
      <c r="O61" s="24" t="s">
        <v>14</v>
      </c>
    </row>
    <row r="62" spans="1:15" ht="18" customHeight="1" x14ac:dyDescent="0.3">
      <c r="A62" s="47">
        <v>3</v>
      </c>
      <c r="B62" s="24" t="s">
        <v>592</v>
      </c>
      <c r="C62" s="24" t="s">
        <v>12</v>
      </c>
      <c r="D62" s="202"/>
      <c r="E62" s="47">
        <v>3</v>
      </c>
      <c r="F62" s="25" t="s">
        <v>210</v>
      </c>
      <c r="G62" s="25" t="s">
        <v>63</v>
      </c>
      <c r="H62" s="202"/>
      <c r="I62" s="47">
        <v>3</v>
      </c>
      <c r="J62" s="24" t="s">
        <v>203</v>
      </c>
      <c r="K62" s="24" t="s">
        <v>59</v>
      </c>
      <c r="L62" s="202"/>
      <c r="M62" s="47">
        <v>3</v>
      </c>
      <c r="N62" s="25" t="s">
        <v>222</v>
      </c>
      <c r="O62" s="25" t="s">
        <v>70</v>
      </c>
    </row>
    <row r="63" spans="1:15" ht="18" customHeight="1" x14ac:dyDescent="0.3">
      <c r="A63" s="47">
        <v>4</v>
      </c>
      <c r="B63" s="24" t="s">
        <v>191</v>
      </c>
      <c r="C63" s="24" t="s">
        <v>49</v>
      </c>
      <c r="D63" s="202"/>
      <c r="E63" s="47">
        <v>4</v>
      </c>
      <c r="F63" s="24" t="s">
        <v>673</v>
      </c>
      <c r="G63" s="24" t="s">
        <v>530</v>
      </c>
      <c r="H63" s="202"/>
      <c r="I63" s="47">
        <v>4</v>
      </c>
      <c r="J63" s="25" t="s">
        <v>362</v>
      </c>
      <c r="K63" s="25" t="s">
        <v>53</v>
      </c>
      <c r="L63" s="202"/>
      <c r="M63" s="47">
        <v>4</v>
      </c>
      <c r="N63" s="25" t="s">
        <v>1122</v>
      </c>
      <c r="O63" s="25" t="s">
        <v>12</v>
      </c>
    </row>
    <row r="64" spans="1:15" ht="18" customHeight="1" x14ac:dyDescent="0.3">
      <c r="A64" s="47">
        <v>5</v>
      </c>
      <c r="B64" s="24" t="s">
        <v>187</v>
      </c>
      <c r="C64" s="24" t="s">
        <v>44</v>
      </c>
      <c r="D64" s="202"/>
      <c r="E64" s="47">
        <v>5</v>
      </c>
      <c r="F64" s="25" t="s">
        <v>220</v>
      </c>
      <c r="G64" s="25" t="s">
        <v>68</v>
      </c>
      <c r="H64" s="202"/>
      <c r="I64" s="47">
        <v>5</v>
      </c>
      <c r="J64" s="24" t="s">
        <v>479</v>
      </c>
      <c r="K64" s="24" t="s">
        <v>18</v>
      </c>
      <c r="L64" s="202"/>
      <c r="M64" s="47">
        <v>5</v>
      </c>
      <c r="N64" s="24" t="s">
        <v>1091</v>
      </c>
      <c r="O64" s="24" t="s">
        <v>95</v>
      </c>
    </row>
    <row r="65" spans="1:15" ht="18" customHeight="1" x14ac:dyDescent="0.3">
      <c r="A65" s="47">
        <v>6</v>
      </c>
      <c r="B65" s="25" t="s">
        <v>504</v>
      </c>
      <c r="C65" s="25" t="s">
        <v>126</v>
      </c>
      <c r="D65" s="202"/>
      <c r="E65" s="47">
        <v>6</v>
      </c>
      <c r="F65" s="24" t="s">
        <v>414</v>
      </c>
      <c r="G65" s="24" t="s">
        <v>64</v>
      </c>
      <c r="H65" s="202"/>
      <c r="I65" s="47">
        <v>6</v>
      </c>
      <c r="J65" s="143" t="s">
        <v>198</v>
      </c>
      <c r="K65" s="143" t="s">
        <v>413</v>
      </c>
      <c r="L65" s="202"/>
      <c r="M65" s="47">
        <v>6</v>
      </c>
      <c r="N65" s="24" t="s">
        <v>1086</v>
      </c>
      <c r="O65" s="24" t="s">
        <v>66</v>
      </c>
    </row>
    <row r="66" spans="1:15" ht="18" customHeight="1" x14ac:dyDescent="0.3">
      <c r="A66" s="47">
        <v>7</v>
      </c>
      <c r="B66" s="24" t="s">
        <v>215</v>
      </c>
      <c r="C66" s="24" t="s">
        <v>24</v>
      </c>
      <c r="D66" s="202"/>
      <c r="E66" s="47">
        <v>7</v>
      </c>
      <c r="F66" s="24" t="s">
        <v>211</v>
      </c>
      <c r="G66" s="24" t="s">
        <v>64</v>
      </c>
      <c r="H66" s="202"/>
      <c r="I66" s="47">
        <v>7</v>
      </c>
      <c r="J66" s="24" t="s">
        <v>225</v>
      </c>
      <c r="K66" s="24" t="s">
        <v>73</v>
      </c>
      <c r="L66" s="202"/>
      <c r="M66" s="47">
        <v>7</v>
      </c>
      <c r="N66" s="25" t="s">
        <v>1123</v>
      </c>
      <c r="O66" s="25" t="s">
        <v>6</v>
      </c>
    </row>
    <row r="67" spans="1:15" ht="18" customHeight="1" x14ac:dyDescent="0.3">
      <c r="A67" s="47">
        <v>8</v>
      </c>
      <c r="B67" s="24" t="s">
        <v>193</v>
      </c>
      <c r="C67" s="24" t="s">
        <v>34</v>
      </c>
      <c r="D67" s="202"/>
      <c r="E67" s="47">
        <v>8</v>
      </c>
      <c r="F67" s="25" t="s">
        <v>217</v>
      </c>
      <c r="G67" s="25" t="s">
        <v>67</v>
      </c>
      <c r="H67" s="202"/>
      <c r="I67" s="47">
        <v>8</v>
      </c>
      <c r="J67" s="24" t="s">
        <v>483</v>
      </c>
      <c r="K67" s="24" t="s">
        <v>26</v>
      </c>
      <c r="L67" s="202"/>
      <c r="M67" s="47">
        <v>8</v>
      </c>
      <c r="N67" s="24" t="s">
        <v>231</v>
      </c>
      <c r="O67" s="24" t="s">
        <v>77</v>
      </c>
    </row>
    <row r="68" spans="1:15" ht="18" customHeight="1" x14ac:dyDescent="0.3">
      <c r="A68" s="47">
        <v>9</v>
      </c>
      <c r="B68" s="24" t="s">
        <v>444</v>
      </c>
      <c r="C68" s="24" t="s">
        <v>19</v>
      </c>
      <c r="D68" s="202"/>
      <c r="E68" s="47">
        <v>9</v>
      </c>
      <c r="F68" s="25" t="s">
        <v>198</v>
      </c>
      <c r="G68" s="25" t="s">
        <v>13</v>
      </c>
      <c r="H68" s="202"/>
      <c r="I68" s="47">
        <v>9</v>
      </c>
      <c r="J68" s="24" t="s">
        <v>541</v>
      </c>
      <c r="K68" s="24" t="s">
        <v>542</v>
      </c>
      <c r="L68" s="202"/>
      <c r="M68" s="47">
        <v>9</v>
      </c>
      <c r="N68" s="24" t="s">
        <v>503</v>
      </c>
      <c r="O68" s="24" t="s">
        <v>23</v>
      </c>
    </row>
    <row r="69" spans="1:15" ht="18" customHeight="1" x14ac:dyDescent="0.3">
      <c r="A69" s="47">
        <v>10</v>
      </c>
      <c r="B69" s="24" t="s">
        <v>185</v>
      </c>
      <c r="C69" s="24" t="s">
        <v>43</v>
      </c>
      <c r="D69" s="202"/>
      <c r="E69" s="47">
        <v>10</v>
      </c>
      <c r="F69" s="143" t="s">
        <v>990</v>
      </c>
      <c r="G69" s="143" t="s">
        <v>478</v>
      </c>
      <c r="H69" s="202"/>
      <c r="I69" s="47">
        <v>10</v>
      </c>
      <c r="J69" s="24" t="s">
        <v>519</v>
      </c>
      <c r="K69" s="24" t="s">
        <v>19</v>
      </c>
      <c r="L69" s="202"/>
      <c r="M69" s="47">
        <v>10</v>
      </c>
      <c r="N69" s="24" t="s">
        <v>931</v>
      </c>
      <c r="O69" s="24" t="s">
        <v>932</v>
      </c>
    </row>
    <row r="70" spans="1:15" ht="18" customHeight="1" x14ac:dyDescent="0.3">
      <c r="A70" s="47">
        <v>11</v>
      </c>
      <c r="B70" s="24" t="s">
        <v>212</v>
      </c>
      <c r="C70" s="24" t="s">
        <v>35</v>
      </c>
      <c r="D70" s="202"/>
      <c r="E70" s="47">
        <v>11</v>
      </c>
      <c r="F70" s="24" t="s">
        <v>196</v>
      </c>
      <c r="G70" s="24" t="s">
        <v>34</v>
      </c>
      <c r="H70" s="202"/>
      <c r="I70" s="47">
        <v>11</v>
      </c>
      <c r="J70" s="24" t="s">
        <v>481</v>
      </c>
      <c r="K70" s="24" t="s">
        <v>19</v>
      </c>
      <c r="L70" s="202"/>
      <c r="M70" s="47">
        <v>11</v>
      </c>
      <c r="N70" s="25" t="s">
        <v>1124</v>
      </c>
      <c r="O70" s="25" t="s">
        <v>463</v>
      </c>
    </row>
    <row r="71" spans="1:15" ht="18" customHeight="1" x14ac:dyDescent="0.3">
      <c r="A71" s="47">
        <v>12</v>
      </c>
      <c r="B71" s="24" t="s">
        <v>199</v>
      </c>
      <c r="C71" s="24" t="s">
        <v>11</v>
      </c>
      <c r="D71" s="202"/>
      <c r="E71" s="47">
        <v>12</v>
      </c>
      <c r="F71" s="24" t="s">
        <v>293</v>
      </c>
      <c r="G71" s="24" t="s">
        <v>56</v>
      </c>
      <c r="H71" s="202"/>
      <c r="I71" s="47">
        <v>12</v>
      </c>
      <c r="J71" s="24" t="s">
        <v>258</v>
      </c>
      <c r="K71" s="24" t="s">
        <v>19</v>
      </c>
      <c r="L71" s="202"/>
      <c r="M71" s="47">
        <v>12</v>
      </c>
      <c r="N71" s="24" t="s">
        <v>1072</v>
      </c>
      <c r="O71" s="24" t="s">
        <v>1073</v>
      </c>
    </row>
    <row r="72" spans="1:15" ht="18" customHeight="1" x14ac:dyDescent="0.3">
      <c r="A72" s="47">
        <v>13</v>
      </c>
      <c r="B72" s="25" t="s">
        <v>194</v>
      </c>
      <c r="C72" s="25" t="s">
        <v>51</v>
      </c>
      <c r="D72" s="202"/>
      <c r="E72" s="47">
        <v>13</v>
      </c>
      <c r="F72" s="24" t="s">
        <v>502</v>
      </c>
      <c r="G72" s="24" t="s">
        <v>45</v>
      </c>
      <c r="H72" s="202"/>
      <c r="I72" s="47">
        <v>13</v>
      </c>
      <c r="J72" s="160" t="s">
        <v>1090</v>
      </c>
      <c r="K72" s="143" t="s">
        <v>56</v>
      </c>
      <c r="L72" s="202"/>
      <c r="M72" s="47">
        <v>13</v>
      </c>
      <c r="N72" s="24" t="s">
        <v>1000</v>
      </c>
      <c r="O72" s="24" t="s">
        <v>13</v>
      </c>
    </row>
    <row r="73" spans="1:15" ht="18" customHeight="1" x14ac:dyDescent="0.3">
      <c r="A73" s="47">
        <v>14</v>
      </c>
      <c r="B73" s="24" t="s">
        <v>514</v>
      </c>
      <c r="C73" s="24" t="s">
        <v>47</v>
      </c>
      <c r="D73" s="202"/>
      <c r="E73" s="47">
        <v>14</v>
      </c>
      <c r="F73" s="25" t="s">
        <v>197</v>
      </c>
      <c r="G73" s="25" t="s">
        <v>52</v>
      </c>
      <c r="H73" s="202"/>
      <c r="I73" s="47">
        <v>14</v>
      </c>
      <c r="J73" s="25" t="s">
        <v>208</v>
      </c>
      <c r="K73" s="25" t="s">
        <v>61</v>
      </c>
      <c r="L73" s="202"/>
      <c r="M73" s="47">
        <v>14</v>
      </c>
      <c r="N73" s="25" t="s">
        <v>192</v>
      </c>
      <c r="O73" s="25" t="s">
        <v>24</v>
      </c>
    </row>
    <row r="74" spans="1:15" ht="18" customHeight="1" x14ac:dyDescent="0.3">
      <c r="A74" s="47">
        <v>15</v>
      </c>
      <c r="B74" s="24" t="s">
        <v>192</v>
      </c>
      <c r="C74" s="24" t="s">
        <v>50</v>
      </c>
      <c r="D74" s="202"/>
      <c r="E74" s="47">
        <v>15</v>
      </c>
      <c r="F74" s="24" t="s">
        <v>186</v>
      </c>
      <c r="G74" s="24" t="s">
        <v>5</v>
      </c>
      <c r="H74" s="202"/>
      <c r="I74" s="47">
        <v>15</v>
      </c>
      <c r="J74" s="24" t="s">
        <v>545</v>
      </c>
      <c r="K74" s="24" t="s">
        <v>92</v>
      </c>
      <c r="L74" s="202"/>
      <c r="M74" s="47">
        <v>15</v>
      </c>
      <c r="N74" s="143" t="s">
        <v>230</v>
      </c>
      <c r="O74" s="143" t="s">
        <v>24</v>
      </c>
    </row>
    <row r="75" spans="1:15" ht="18" customHeight="1" x14ac:dyDescent="0.3">
      <c r="A75" s="47">
        <v>16</v>
      </c>
      <c r="B75" s="25" t="s">
        <v>1120</v>
      </c>
      <c r="C75" s="25" t="s">
        <v>659</v>
      </c>
      <c r="D75" s="202"/>
      <c r="E75" s="47">
        <v>16</v>
      </c>
      <c r="F75" s="24" t="s">
        <v>190</v>
      </c>
      <c r="G75" s="24" t="s">
        <v>5</v>
      </c>
      <c r="H75" s="202"/>
      <c r="I75" s="47">
        <v>16</v>
      </c>
      <c r="J75" s="143" t="s">
        <v>755</v>
      </c>
      <c r="K75" s="143" t="s">
        <v>35</v>
      </c>
      <c r="L75" s="202"/>
      <c r="M75" s="47">
        <v>16</v>
      </c>
      <c r="N75" s="25" t="s">
        <v>594</v>
      </c>
      <c r="O75" s="25" t="s">
        <v>72</v>
      </c>
    </row>
    <row r="76" spans="1:15" ht="18" customHeight="1" x14ac:dyDescent="0.3">
      <c r="A76" s="47"/>
      <c r="B76" s="24"/>
      <c r="C76" s="24"/>
      <c r="D76" s="202"/>
      <c r="E76" s="47">
        <v>17</v>
      </c>
      <c r="F76" s="24" t="s">
        <v>515</v>
      </c>
      <c r="G76" s="24" t="s">
        <v>85</v>
      </c>
      <c r="H76" s="202"/>
      <c r="I76" s="47">
        <v>17</v>
      </c>
      <c r="J76" s="24" t="s">
        <v>137</v>
      </c>
      <c r="K76" s="24" t="s">
        <v>5</v>
      </c>
      <c r="L76" s="202"/>
      <c r="M76" s="47">
        <v>17</v>
      </c>
      <c r="N76" s="24" t="s">
        <v>209</v>
      </c>
      <c r="O76" s="24" t="s">
        <v>62</v>
      </c>
    </row>
    <row r="77" spans="1:15" ht="18" customHeight="1" x14ac:dyDescent="0.3">
      <c r="A77" s="47"/>
      <c r="B77" s="25"/>
      <c r="C77" s="25"/>
      <c r="D77" s="202"/>
      <c r="E77" s="47">
        <v>18</v>
      </c>
      <c r="F77" s="25" t="s">
        <v>202</v>
      </c>
      <c r="G77" s="25" t="s">
        <v>57</v>
      </c>
      <c r="H77" s="202"/>
      <c r="I77" s="47">
        <v>18</v>
      </c>
      <c r="J77" s="24" t="s">
        <v>636</v>
      </c>
      <c r="K77" s="24" t="s">
        <v>85</v>
      </c>
      <c r="L77" s="202"/>
      <c r="M77" s="47">
        <v>18</v>
      </c>
      <c r="N77" s="24" t="s">
        <v>227</v>
      </c>
      <c r="O77" s="24" t="s">
        <v>46</v>
      </c>
    </row>
    <row r="78" spans="1:15" ht="18" customHeight="1" x14ac:dyDescent="0.3">
      <c r="A78" s="47"/>
      <c r="B78" s="24"/>
      <c r="C78" s="24"/>
      <c r="D78" s="202"/>
      <c r="E78" s="47">
        <v>19</v>
      </c>
      <c r="F78" s="24" t="s">
        <v>206</v>
      </c>
      <c r="G78" s="24" t="s">
        <v>60</v>
      </c>
      <c r="H78" s="202"/>
      <c r="I78" s="47">
        <v>19</v>
      </c>
      <c r="J78" s="24" t="s">
        <v>544</v>
      </c>
      <c r="K78" s="24" t="s">
        <v>1002</v>
      </c>
      <c r="L78" s="202"/>
      <c r="M78" s="47">
        <v>19</v>
      </c>
      <c r="N78" s="24" t="s">
        <v>1087</v>
      </c>
      <c r="O78" s="24" t="s">
        <v>45</v>
      </c>
    </row>
    <row r="79" spans="1:15" ht="18" customHeight="1" x14ac:dyDescent="0.3">
      <c r="A79" s="47"/>
      <c r="B79" s="24"/>
      <c r="C79" s="24"/>
      <c r="D79" s="202"/>
      <c r="E79" s="47">
        <v>20</v>
      </c>
      <c r="F79" s="24" t="s">
        <v>362</v>
      </c>
      <c r="G79" s="24" t="s">
        <v>54</v>
      </c>
      <c r="H79" s="202"/>
      <c r="I79" s="47">
        <v>20</v>
      </c>
      <c r="J79" s="24" t="s">
        <v>226</v>
      </c>
      <c r="K79" s="24" t="s">
        <v>74</v>
      </c>
      <c r="L79" s="202"/>
      <c r="M79" s="47">
        <v>20</v>
      </c>
      <c r="N79" s="24" t="s">
        <v>670</v>
      </c>
      <c r="O79" s="24" t="s">
        <v>121</v>
      </c>
    </row>
    <row r="80" spans="1:15" ht="18" customHeight="1" x14ac:dyDescent="0.3">
      <c r="A80" s="47"/>
      <c r="B80" s="24"/>
      <c r="C80" s="24"/>
      <c r="D80" s="202"/>
      <c r="E80" s="47">
        <v>21</v>
      </c>
      <c r="F80" s="24" t="s">
        <v>213</v>
      </c>
      <c r="G80" s="24" t="s">
        <v>65</v>
      </c>
      <c r="H80" s="202"/>
      <c r="I80" s="47">
        <v>21</v>
      </c>
      <c r="J80" s="24" t="s">
        <v>221</v>
      </c>
      <c r="K80" s="24" t="s">
        <v>69</v>
      </c>
      <c r="L80" s="202"/>
      <c r="M80" s="47">
        <v>21</v>
      </c>
      <c r="N80" s="24" t="s">
        <v>1001</v>
      </c>
      <c r="O80" s="24" t="s">
        <v>89</v>
      </c>
    </row>
    <row r="81" spans="1:17" ht="18" customHeight="1" x14ac:dyDescent="0.3">
      <c r="A81" s="47"/>
      <c r="B81" s="24"/>
      <c r="C81" s="24"/>
      <c r="D81" s="202"/>
      <c r="E81" s="47">
        <v>22</v>
      </c>
      <c r="F81" s="24" t="s">
        <v>205</v>
      </c>
      <c r="G81" s="24" t="s">
        <v>32</v>
      </c>
      <c r="H81" s="202"/>
      <c r="I81" s="47">
        <v>22</v>
      </c>
      <c r="J81" s="25" t="s">
        <v>516</v>
      </c>
      <c r="K81" s="25" t="s">
        <v>32</v>
      </c>
      <c r="L81" s="202"/>
      <c r="M81" s="47">
        <v>22</v>
      </c>
      <c r="N81" s="143" t="s">
        <v>259</v>
      </c>
      <c r="O81" s="143" t="s">
        <v>27</v>
      </c>
      <c r="Q81" s="206"/>
    </row>
    <row r="82" spans="1:17" ht="18" customHeight="1" x14ac:dyDescent="0.3">
      <c r="A82" s="47"/>
      <c r="B82" s="24"/>
      <c r="C82" s="24"/>
      <c r="D82" s="202"/>
      <c r="E82" s="47">
        <v>23</v>
      </c>
      <c r="F82" s="24" t="s">
        <v>669</v>
      </c>
      <c r="G82" s="24" t="s">
        <v>20</v>
      </c>
      <c r="H82" s="202"/>
      <c r="I82" s="47">
        <v>23</v>
      </c>
      <c r="J82" s="24" t="s">
        <v>223</v>
      </c>
      <c r="K82" s="24" t="s">
        <v>20</v>
      </c>
      <c r="L82" s="202"/>
      <c r="M82" s="47">
        <v>23</v>
      </c>
      <c r="N82" s="26" t="s">
        <v>521</v>
      </c>
      <c r="O82" s="26" t="s">
        <v>31</v>
      </c>
    </row>
    <row r="83" spans="1:17" ht="18" customHeight="1" x14ac:dyDescent="0.3">
      <c r="A83" s="47"/>
      <c r="B83" s="24"/>
      <c r="C83" s="24"/>
      <c r="D83" s="202"/>
      <c r="E83" s="47">
        <v>24</v>
      </c>
      <c r="F83" s="24" t="s">
        <v>409</v>
      </c>
      <c r="G83" s="24" t="s">
        <v>20</v>
      </c>
      <c r="H83" s="202"/>
      <c r="I83" s="47">
        <v>24</v>
      </c>
      <c r="J83" s="24" t="s">
        <v>496</v>
      </c>
      <c r="K83" s="24" t="s">
        <v>79</v>
      </c>
      <c r="L83" s="202"/>
      <c r="M83" s="47">
        <v>24</v>
      </c>
      <c r="N83" s="25" t="s">
        <v>593</v>
      </c>
      <c r="O83" s="25" t="s">
        <v>74</v>
      </c>
    </row>
    <row r="84" spans="1:17" ht="18" customHeight="1" x14ac:dyDescent="0.3">
      <c r="A84" s="47"/>
      <c r="B84" s="24"/>
      <c r="C84" s="24"/>
      <c r="D84" s="202"/>
      <c r="E84" s="249"/>
      <c r="F84" s="251"/>
      <c r="G84" s="251"/>
      <c r="H84" s="202"/>
      <c r="I84" s="47">
        <v>25</v>
      </c>
      <c r="J84" s="24" t="s">
        <v>267</v>
      </c>
      <c r="K84" s="24" t="s">
        <v>79</v>
      </c>
      <c r="L84" s="202"/>
      <c r="M84" s="47">
        <v>25</v>
      </c>
      <c r="N84" s="143" t="s">
        <v>238</v>
      </c>
      <c r="O84" s="143" t="s">
        <v>131</v>
      </c>
    </row>
    <row r="85" spans="1:17" ht="18" customHeight="1" x14ac:dyDescent="0.3">
      <c r="A85" s="47"/>
      <c r="B85" s="24"/>
      <c r="C85" s="24"/>
      <c r="D85" s="202"/>
      <c r="E85" s="249"/>
      <c r="F85" s="251"/>
      <c r="G85" s="251"/>
      <c r="H85" s="202"/>
      <c r="I85" s="47">
        <v>26</v>
      </c>
      <c r="J85" s="25" t="s">
        <v>207</v>
      </c>
      <c r="K85" s="25" t="s">
        <v>79</v>
      </c>
      <c r="L85" s="202"/>
      <c r="M85" s="47">
        <v>26</v>
      </c>
      <c r="N85" s="25" t="s">
        <v>190</v>
      </c>
      <c r="O85" s="25" t="s">
        <v>499</v>
      </c>
    </row>
    <row r="86" spans="1:17" ht="18" customHeight="1" x14ac:dyDescent="0.3">
      <c r="A86" s="47"/>
      <c r="B86" s="24"/>
      <c r="C86" s="24"/>
      <c r="D86" s="202"/>
      <c r="E86" s="43"/>
      <c r="F86" s="202"/>
      <c r="G86" s="202"/>
      <c r="H86" s="202"/>
      <c r="L86" s="202"/>
      <c r="M86" s="47">
        <v>27</v>
      </c>
      <c r="N86" s="24" t="s">
        <v>484</v>
      </c>
      <c r="O86" s="24" t="s">
        <v>485</v>
      </c>
    </row>
    <row r="87" spans="1:17" ht="21" customHeight="1" x14ac:dyDescent="0.3">
      <c r="A87" s="47"/>
      <c r="B87" s="25"/>
      <c r="C87" s="25"/>
      <c r="D87" s="205"/>
      <c r="E87" s="204"/>
      <c r="F87" s="205"/>
      <c r="G87" s="205"/>
      <c r="H87" s="205"/>
      <c r="L87" s="205"/>
      <c r="M87" s="204"/>
      <c r="N87" s="205"/>
      <c r="O87" s="205"/>
    </row>
    <row r="88" spans="1:17" ht="15.6" customHeight="1" x14ac:dyDescent="0.3">
      <c r="A88" s="449" t="s">
        <v>1018</v>
      </c>
      <c r="B88" s="449"/>
      <c r="C88" s="449"/>
      <c r="D88" s="43"/>
      <c r="E88" s="449" t="s">
        <v>1019</v>
      </c>
      <c r="F88" s="449"/>
      <c r="G88" s="449"/>
      <c r="H88" s="43"/>
      <c r="I88" s="449" t="s">
        <v>1020</v>
      </c>
      <c r="J88" s="449"/>
      <c r="K88" s="449"/>
      <c r="L88" s="43"/>
      <c r="M88" s="449" t="s">
        <v>1021</v>
      </c>
      <c r="N88" s="449"/>
      <c r="O88" s="449"/>
    </row>
    <row r="89" spans="1:17" ht="21" customHeight="1" x14ac:dyDescent="0.3">
      <c r="A89" s="47">
        <v>1</v>
      </c>
      <c r="B89" s="24" t="s">
        <v>232</v>
      </c>
      <c r="C89" s="24" t="s">
        <v>14</v>
      </c>
      <c r="D89" s="202"/>
      <c r="E89" s="47">
        <v>1</v>
      </c>
      <c r="F89" s="24" t="s">
        <v>159</v>
      </c>
      <c r="G89" s="24" t="s">
        <v>76</v>
      </c>
      <c r="H89" s="202"/>
      <c r="I89" s="47">
        <v>1</v>
      </c>
      <c r="J89" s="24" t="s">
        <v>1094</v>
      </c>
      <c r="K89" s="24" t="s">
        <v>14</v>
      </c>
      <c r="L89" s="202"/>
      <c r="M89" s="47">
        <v>1</v>
      </c>
      <c r="N89" s="24" t="s">
        <v>304</v>
      </c>
      <c r="O89" s="24" t="s">
        <v>14</v>
      </c>
    </row>
    <row r="90" spans="1:17" ht="21" customHeight="1" x14ac:dyDescent="0.3">
      <c r="A90" s="47">
        <v>2</v>
      </c>
      <c r="B90" s="24" t="s">
        <v>238</v>
      </c>
      <c r="C90" s="24" t="s">
        <v>70</v>
      </c>
      <c r="D90" s="202"/>
      <c r="E90" s="47">
        <v>2</v>
      </c>
      <c r="F90" s="24" t="s">
        <v>294</v>
      </c>
      <c r="G90" s="24" t="s">
        <v>12</v>
      </c>
      <c r="H90" s="202"/>
      <c r="I90" s="47">
        <v>2</v>
      </c>
      <c r="J90" s="25" t="s">
        <v>298</v>
      </c>
      <c r="K90" s="25" t="s">
        <v>95</v>
      </c>
      <c r="L90" s="202"/>
      <c r="M90" s="47">
        <v>2</v>
      </c>
      <c r="N90" s="24" t="s">
        <v>1126</v>
      </c>
      <c r="O90" s="24" t="s">
        <v>14</v>
      </c>
    </row>
    <row r="91" spans="1:17" ht="21" customHeight="1" x14ac:dyDescent="0.3">
      <c r="A91" s="47">
        <v>3</v>
      </c>
      <c r="B91" s="25" t="s">
        <v>598</v>
      </c>
      <c r="C91" s="25" t="s">
        <v>599</v>
      </c>
      <c r="D91" s="202"/>
      <c r="E91" s="47">
        <v>3</v>
      </c>
      <c r="F91" s="143" t="s">
        <v>256</v>
      </c>
      <c r="G91" s="143" t="s">
        <v>12</v>
      </c>
      <c r="H91" s="202"/>
      <c r="I91" s="47">
        <v>3</v>
      </c>
      <c r="J91" s="24" t="s">
        <v>299</v>
      </c>
      <c r="K91" s="24" t="s">
        <v>97</v>
      </c>
      <c r="L91" s="202"/>
      <c r="M91" s="47">
        <v>3</v>
      </c>
      <c r="N91" s="24" t="s">
        <v>251</v>
      </c>
      <c r="O91" s="24" t="s">
        <v>88</v>
      </c>
    </row>
    <row r="92" spans="1:17" ht="21" customHeight="1" x14ac:dyDescent="0.3">
      <c r="A92" s="47">
        <v>4</v>
      </c>
      <c r="B92" s="24" t="s">
        <v>237</v>
      </c>
      <c r="C92" s="24" t="s">
        <v>81</v>
      </c>
      <c r="D92" s="202"/>
      <c r="E92" s="47">
        <v>4</v>
      </c>
      <c r="F92" s="24" t="s">
        <v>297</v>
      </c>
      <c r="G92" s="24" t="s">
        <v>4</v>
      </c>
      <c r="H92" s="202"/>
      <c r="I92" s="47">
        <v>4</v>
      </c>
      <c r="J92" s="143" t="s">
        <v>827</v>
      </c>
      <c r="K92" s="143" t="s">
        <v>68</v>
      </c>
      <c r="L92" s="202"/>
      <c r="M92" s="47">
        <v>4</v>
      </c>
      <c r="N92" s="24" t="s">
        <v>300</v>
      </c>
      <c r="O92" s="24" t="s">
        <v>95</v>
      </c>
    </row>
    <row r="93" spans="1:17" ht="21" customHeight="1" x14ac:dyDescent="0.3">
      <c r="A93" s="47">
        <v>5</v>
      </c>
      <c r="B93" s="24" t="s">
        <v>307</v>
      </c>
      <c r="C93" s="24" t="s">
        <v>15</v>
      </c>
      <c r="D93" s="202"/>
      <c r="E93" s="47">
        <v>5</v>
      </c>
      <c r="F93" s="25" t="s">
        <v>1004</v>
      </c>
      <c r="G93" s="25" t="s">
        <v>49</v>
      </c>
      <c r="H93" s="202"/>
      <c r="I93" s="47">
        <v>5</v>
      </c>
      <c r="J93" s="25" t="s">
        <v>549</v>
      </c>
      <c r="K93" s="25" t="s">
        <v>23</v>
      </c>
      <c r="L93" s="202"/>
      <c r="M93" s="47">
        <v>5</v>
      </c>
      <c r="N93" s="64" t="s">
        <v>1132</v>
      </c>
      <c r="O93" s="25" t="s">
        <v>21</v>
      </c>
    </row>
    <row r="94" spans="1:17" ht="21" customHeight="1" x14ac:dyDescent="0.3">
      <c r="A94" s="47">
        <v>6</v>
      </c>
      <c r="B94" s="25" t="s">
        <v>1005</v>
      </c>
      <c r="C94" s="25" t="s">
        <v>49</v>
      </c>
      <c r="D94" s="202"/>
      <c r="E94" s="47">
        <v>6</v>
      </c>
      <c r="F94" s="24" t="s">
        <v>245</v>
      </c>
      <c r="G94" s="24" t="s">
        <v>63</v>
      </c>
      <c r="H94" s="202"/>
      <c r="I94" s="47">
        <v>6</v>
      </c>
      <c r="J94" s="26" t="s">
        <v>708</v>
      </c>
      <c r="K94" s="26" t="s">
        <v>64</v>
      </c>
      <c r="L94" s="202"/>
      <c r="M94" s="47">
        <v>6</v>
      </c>
      <c r="N94" s="143" t="s">
        <v>266</v>
      </c>
      <c r="O94" s="143" t="s">
        <v>45</v>
      </c>
    </row>
    <row r="95" spans="1:17" ht="21" customHeight="1" x14ac:dyDescent="0.3">
      <c r="A95" s="47">
        <v>7</v>
      </c>
      <c r="B95" s="24" t="s">
        <v>240</v>
      </c>
      <c r="C95" s="24" t="s">
        <v>19</v>
      </c>
      <c r="D95" s="202"/>
      <c r="E95" s="47">
        <v>7</v>
      </c>
      <c r="F95" s="143" t="s">
        <v>267</v>
      </c>
      <c r="G95" s="143" t="s">
        <v>102</v>
      </c>
      <c r="H95" s="202"/>
      <c r="I95" s="47">
        <v>7</v>
      </c>
      <c r="J95" s="24" t="s">
        <v>285</v>
      </c>
      <c r="K95" s="24" t="s">
        <v>13</v>
      </c>
      <c r="L95" s="202"/>
      <c r="M95" s="47">
        <v>7</v>
      </c>
      <c r="N95" s="24" t="s">
        <v>159</v>
      </c>
      <c r="O95" s="24" t="s">
        <v>601</v>
      </c>
    </row>
    <row r="96" spans="1:17" ht="21" customHeight="1" x14ac:dyDescent="0.3">
      <c r="A96" s="47">
        <v>8</v>
      </c>
      <c r="B96" s="24" t="s">
        <v>233</v>
      </c>
      <c r="C96" s="24" t="s">
        <v>56</v>
      </c>
      <c r="D96" s="202"/>
      <c r="E96" s="47">
        <v>8</v>
      </c>
      <c r="F96" s="24" t="s">
        <v>267</v>
      </c>
      <c r="G96" s="24" t="s">
        <v>102</v>
      </c>
      <c r="H96" s="202"/>
      <c r="I96" s="47">
        <v>8</v>
      </c>
      <c r="J96" s="26" t="s">
        <v>647</v>
      </c>
      <c r="K96" s="26" t="s">
        <v>24</v>
      </c>
      <c r="L96" s="202"/>
      <c r="M96" s="47">
        <v>8</v>
      </c>
      <c r="N96" s="25" t="s">
        <v>509</v>
      </c>
      <c r="O96" s="25" t="s">
        <v>124</v>
      </c>
    </row>
    <row r="97" spans="1:15" ht="21" customHeight="1" x14ac:dyDescent="0.3">
      <c r="A97" s="47">
        <v>9</v>
      </c>
      <c r="B97" s="25" t="s">
        <v>149</v>
      </c>
      <c r="C97" s="25" t="s">
        <v>43</v>
      </c>
      <c r="D97" s="202"/>
      <c r="E97" s="47">
        <v>9</v>
      </c>
      <c r="F97" s="24" t="s">
        <v>302</v>
      </c>
      <c r="G97" s="24" t="s">
        <v>99</v>
      </c>
      <c r="H97" s="202"/>
      <c r="I97" s="47">
        <v>9</v>
      </c>
      <c r="J97" s="24" t="s">
        <v>288</v>
      </c>
      <c r="K97" s="24" t="s">
        <v>26</v>
      </c>
      <c r="L97" s="202"/>
      <c r="M97" s="47">
        <v>9</v>
      </c>
      <c r="N97" s="64" t="s">
        <v>1130</v>
      </c>
      <c r="O97" s="25" t="s">
        <v>126</v>
      </c>
    </row>
    <row r="98" spans="1:15" ht="21" customHeight="1" x14ac:dyDescent="0.3">
      <c r="A98" s="47">
        <v>10</v>
      </c>
      <c r="B98" s="24" t="s">
        <v>239</v>
      </c>
      <c r="C98" s="24" t="s">
        <v>9</v>
      </c>
      <c r="D98" s="202"/>
      <c r="E98" s="47">
        <v>10</v>
      </c>
      <c r="F98" s="24" t="s">
        <v>241</v>
      </c>
      <c r="G98" s="24" t="s">
        <v>82</v>
      </c>
      <c r="H98" s="202"/>
      <c r="I98" s="47">
        <v>10</v>
      </c>
      <c r="J98" s="26" t="s">
        <v>181</v>
      </c>
      <c r="K98" s="26" t="s">
        <v>19</v>
      </c>
      <c r="L98" s="202"/>
      <c r="M98" s="47">
        <v>10</v>
      </c>
      <c r="N98" s="24" t="s">
        <v>289</v>
      </c>
      <c r="O98" s="24" t="s">
        <v>90</v>
      </c>
    </row>
    <row r="99" spans="1:15" ht="21" customHeight="1" x14ac:dyDescent="0.3">
      <c r="A99" s="47">
        <v>11</v>
      </c>
      <c r="B99" s="24" t="s">
        <v>290</v>
      </c>
      <c r="C99" s="24" t="s">
        <v>91</v>
      </c>
      <c r="D99" s="202"/>
      <c r="E99" s="47">
        <v>11</v>
      </c>
      <c r="F99" s="25" t="s">
        <v>241</v>
      </c>
      <c r="G99" s="25" t="s">
        <v>82</v>
      </c>
      <c r="H99" s="202"/>
      <c r="I99" s="47">
        <v>11</v>
      </c>
      <c r="J99" s="24" t="s">
        <v>293</v>
      </c>
      <c r="K99" s="24" t="s">
        <v>56</v>
      </c>
      <c r="L99" s="202"/>
      <c r="M99" s="47">
        <v>11</v>
      </c>
      <c r="N99" s="143" t="s">
        <v>818</v>
      </c>
      <c r="O99" s="143" t="s">
        <v>19</v>
      </c>
    </row>
    <row r="100" spans="1:15" ht="21" customHeight="1" x14ac:dyDescent="0.3">
      <c r="A100" s="47">
        <v>12</v>
      </c>
      <c r="B100" s="24" t="s">
        <v>247</v>
      </c>
      <c r="C100" s="24" t="s">
        <v>85</v>
      </c>
      <c r="D100" s="202"/>
      <c r="E100" s="47">
        <v>12</v>
      </c>
      <c r="F100" s="25" t="s">
        <v>477</v>
      </c>
      <c r="G100" s="25" t="s">
        <v>73</v>
      </c>
      <c r="H100" s="202"/>
      <c r="I100" s="47">
        <v>12</v>
      </c>
      <c r="J100" s="24" t="s">
        <v>266</v>
      </c>
      <c r="K100" s="24" t="s">
        <v>45</v>
      </c>
      <c r="L100" s="202"/>
      <c r="M100" s="47">
        <v>12</v>
      </c>
      <c r="N100" s="24" t="s">
        <v>303</v>
      </c>
      <c r="O100" s="24" t="s">
        <v>63</v>
      </c>
    </row>
    <row r="101" spans="1:15" ht="21" customHeight="1" x14ac:dyDescent="0.3">
      <c r="A101" s="47">
        <v>13</v>
      </c>
      <c r="B101" s="25" t="s">
        <v>236</v>
      </c>
      <c r="C101" s="25" t="s">
        <v>80</v>
      </c>
      <c r="D101" s="202"/>
      <c r="E101" s="47">
        <v>13</v>
      </c>
      <c r="F101" s="3" t="s">
        <v>709</v>
      </c>
      <c r="G101" s="26" t="s">
        <v>26</v>
      </c>
      <c r="H101" s="202"/>
      <c r="I101" s="47">
        <v>13</v>
      </c>
      <c r="J101" s="24" t="s">
        <v>292</v>
      </c>
      <c r="K101" s="24" t="s">
        <v>92</v>
      </c>
      <c r="L101" s="202"/>
      <c r="M101" s="47">
        <v>13</v>
      </c>
      <c r="N101" s="24" t="s">
        <v>1066</v>
      </c>
      <c r="O101" s="24" t="s">
        <v>31</v>
      </c>
    </row>
    <row r="102" spans="1:15" ht="21" customHeight="1" x14ac:dyDescent="0.3">
      <c r="A102" s="47">
        <v>14</v>
      </c>
      <c r="B102" s="24" t="s">
        <v>178</v>
      </c>
      <c r="C102" s="24" t="s">
        <v>93</v>
      </c>
      <c r="D102" s="202"/>
      <c r="E102" s="47">
        <v>14</v>
      </c>
      <c r="F102" s="24" t="s">
        <v>506</v>
      </c>
      <c r="G102" s="24" t="s">
        <v>26</v>
      </c>
      <c r="H102" s="202"/>
      <c r="I102" s="47">
        <v>14</v>
      </c>
      <c r="J102" s="64" t="s">
        <v>1093</v>
      </c>
      <c r="K102" s="25" t="s">
        <v>40</v>
      </c>
      <c r="L102" s="202"/>
      <c r="M102" s="47">
        <v>14</v>
      </c>
      <c r="N102" s="64" t="s">
        <v>640</v>
      </c>
      <c r="O102" s="25" t="s">
        <v>127</v>
      </c>
    </row>
    <row r="103" spans="1:15" ht="21" customHeight="1" x14ac:dyDescent="0.3">
      <c r="A103" s="47">
        <v>15</v>
      </c>
      <c r="B103" s="25" t="s">
        <v>211</v>
      </c>
      <c r="C103" s="25" t="s">
        <v>57</v>
      </c>
      <c r="D103" s="202"/>
      <c r="E103" s="47">
        <v>15</v>
      </c>
      <c r="F103" s="24" t="s">
        <v>293</v>
      </c>
      <c r="G103" s="63" t="s">
        <v>56</v>
      </c>
      <c r="H103" s="202"/>
      <c r="I103" s="47">
        <v>15</v>
      </c>
      <c r="J103" s="25" t="s">
        <v>301</v>
      </c>
      <c r="K103" s="25" t="s">
        <v>98</v>
      </c>
      <c r="L103" s="202"/>
      <c r="M103" s="47">
        <v>15</v>
      </c>
      <c r="N103" s="25" t="s">
        <v>1127</v>
      </c>
      <c r="O103" s="25" t="s">
        <v>85</v>
      </c>
    </row>
    <row r="104" spans="1:15" ht="21" customHeight="1" x14ac:dyDescent="0.3">
      <c r="A104" s="47">
        <v>16</v>
      </c>
      <c r="B104" s="24" t="s">
        <v>234</v>
      </c>
      <c r="C104" s="24" t="s">
        <v>78</v>
      </c>
      <c r="D104" s="202"/>
      <c r="E104" s="47">
        <v>16</v>
      </c>
      <c r="F104" s="25" t="s">
        <v>243</v>
      </c>
      <c r="G104" s="25" t="s">
        <v>56</v>
      </c>
      <c r="H104" s="202"/>
      <c r="I104" s="47">
        <v>16</v>
      </c>
      <c r="J104" s="25" t="s">
        <v>893</v>
      </c>
      <c r="K104" s="25" t="s">
        <v>129</v>
      </c>
      <c r="L104" s="202"/>
      <c r="M104" s="47">
        <v>16</v>
      </c>
      <c r="N104" s="26" t="s">
        <v>1060</v>
      </c>
      <c r="O104" s="26" t="s">
        <v>47</v>
      </c>
    </row>
    <row r="105" spans="1:15" ht="21" customHeight="1" x14ac:dyDescent="0.3">
      <c r="A105" s="47">
        <v>17</v>
      </c>
      <c r="B105" s="26" t="s">
        <v>707</v>
      </c>
      <c r="C105" s="26" t="s">
        <v>20</v>
      </c>
      <c r="D105" s="202"/>
      <c r="E105" s="47">
        <v>17</v>
      </c>
      <c r="F105" s="25" t="s">
        <v>252</v>
      </c>
      <c r="G105" s="25" t="s">
        <v>92</v>
      </c>
      <c r="H105" s="202"/>
      <c r="I105" s="47">
        <v>17</v>
      </c>
      <c r="J105" s="143" t="s">
        <v>777</v>
      </c>
      <c r="K105" s="143" t="s">
        <v>778</v>
      </c>
      <c r="L105" s="202"/>
      <c r="M105" s="47">
        <v>17</v>
      </c>
      <c r="N105" s="24" t="s">
        <v>600</v>
      </c>
      <c r="O105" s="24" t="s">
        <v>101</v>
      </c>
    </row>
    <row r="106" spans="1:15" ht="21" customHeight="1" x14ac:dyDescent="0.3">
      <c r="A106" s="47">
        <v>18</v>
      </c>
      <c r="B106" s="25" t="s">
        <v>1133</v>
      </c>
      <c r="C106" s="25" t="s">
        <v>20</v>
      </c>
      <c r="D106" s="202"/>
      <c r="E106" s="47">
        <v>18</v>
      </c>
      <c r="F106" s="25" t="s">
        <v>246</v>
      </c>
      <c r="G106" s="25" t="s">
        <v>40</v>
      </c>
      <c r="H106" s="202"/>
      <c r="I106" s="47">
        <v>18</v>
      </c>
      <c r="J106" s="25" t="s">
        <v>236</v>
      </c>
      <c r="K106" s="25" t="s">
        <v>96</v>
      </c>
      <c r="L106" s="202"/>
      <c r="M106" s="47">
        <v>18</v>
      </c>
      <c r="N106" s="64" t="s">
        <v>1131</v>
      </c>
      <c r="O106" s="25" t="s">
        <v>57</v>
      </c>
    </row>
    <row r="107" spans="1:15" ht="21" customHeight="1" x14ac:dyDescent="0.3">
      <c r="A107" s="43"/>
      <c r="B107" s="202"/>
      <c r="C107" s="202"/>
      <c r="D107" s="202"/>
      <c r="E107" s="47">
        <v>19</v>
      </c>
      <c r="F107" s="24" t="s">
        <v>252</v>
      </c>
      <c r="G107" s="24" t="s">
        <v>89</v>
      </c>
      <c r="H107" s="202"/>
      <c r="I107" s="47">
        <v>19</v>
      </c>
      <c r="J107" s="143" t="s">
        <v>895</v>
      </c>
      <c r="K107" s="143" t="s">
        <v>20</v>
      </c>
      <c r="L107" s="202"/>
      <c r="M107" s="47">
        <v>19</v>
      </c>
      <c r="N107" s="64" t="s">
        <v>200</v>
      </c>
      <c r="O107" s="25" t="s">
        <v>54</v>
      </c>
    </row>
    <row r="108" spans="1:15" ht="21" customHeight="1" x14ac:dyDescent="0.3">
      <c r="A108" s="43"/>
      <c r="B108" s="202"/>
      <c r="C108" s="202"/>
      <c r="D108" s="202"/>
      <c r="E108" s="47">
        <v>20</v>
      </c>
      <c r="F108" s="143" t="s">
        <v>674</v>
      </c>
      <c r="G108" s="143" t="s">
        <v>109</v>
      </c>
      <c r="H108" s="202"/>
      <c r="I108" s="47">
        <v>20</v>
      </c>
      <c r="J108" s="24" t="s">
        <v>488</v>
      </c>
      <c r="K108" s="24" t="s">
        <v>94</v>
      </c>
      <c r="L108" s="202"/>
      <c r="M108" s="47">
        <v>20</v>
      </c>
      <c r="N108" s="64" t="s">
        <v>1134</v>
      </c>
      <c r="O108" s="25" t="s">
        <v>54</v>
      </c>
    </row>
    <row r="109" spans="1:15" ht="21" customHeight="1" x14ac:dyDescent="0.3">
      <c r="A109" s="43"/>
      <c r="B109" s="202"/>
      <c r="C109" s="202"/>
      <c r="D109" s="202"/>
      <c r="E109" s="47">
        <v>21</v>
      </c>
      <c r="F109" s="25" t="s">
        <v>1003</v>
      </c>
      <c r="G109" s="25" t="s">
        <v>1002</v>
      </c>
      <c r="H109" s="202"/>
      <c r="I109" s="47">
        <v>21</v>
      </c>
      <c r="J109" s="143" t="s">
        <v>811</v>
      </c>
      <c r="K109" s="143" t="s">
        <v>79</v>
      </c>
      <c r="L109" s="202"/>
      <c r="M109" s="47">
        <v>21</v>
      </c>
      <c r="N109" s="64" t="s">
        <v>1128</v>
      </c>
      <c r="O109" s="25" t="s">
        <v>20</v>
      </c>
    </row>
    <row r="110" spans="1:15" ht="21" customHeight="1" x14ac:dyDescent="0.3">
      <c r="A110" s="43"/>
      <c r="B110" s="202"/>
      <c r="C110" s="202"/>
      <c r="D110" s="202"/>
      <c r="E110" s="47">
        <v>22</v>
      </c>
      <c r="F110" s="25" t="s">
        <v>244</v>
      </c>
      <c r="G110" s="25" t="s">
        <v>84</v>
      </c>
      <c r="H110" s="202"/>
      <c r="I110" s="47">
        <v>22</v>
      </c>
      <c r="J110" s="24" t="s">
        <v>235</v>
      </c>
      <c r="K110" s="24" t="s">
        <v>79</v>
      </c>
      <c r="L110" s="202"/>
      <c r="M110" s="47">
        <v>22</v>
      </c>
      <c r="N110" s="25" t="s">
        <v>487</v>
      </c>
      <c r="O110" s="25" t="s">
        <v>20</v>
      </c>
    </row>
    <row r="111" spans="1:15" x14ac:dyDescent="0.3">
      <c r="A111" s="43"/>
      <c r="B111" s="202"/>
      <c r="C111" s="202"/>
      <c r="D111" s="202"/>
      <c r="E111" s="47">
        <v>23</v>
      </c>
      <c r="F111" s="143" t="s">
        <v>1125</v>
      </c>
      <c r="G111" s="143" t="s">
        <v>57</v>
      </c>
      <c r="H111" s="202"/>
      <c r="I111" s="43"/>
      <c r="J111" s="202"/>
      <c r="K111" s="202"/>
      <c r="L111" s="202"/>
      <c r="M111" s="47">
        <v>23</v>
      </c>
      <c r="N111" s="24" t="s">
        <v>286</v>
      </c>
      <c r="O111" s="24" t="s">
        <v>20</v>
      </c>
    </row>
    <row r="112" spans="1:15" x14ac:dyDescent="0.3">
      <c r="A112" s="43"/>
      <c r="B112" s="202"/>
      <c r="C112" s="202"/>
      <c r="D112" s="202"/>
      <c r="E112" s="47">
        <v>24</v>
      </c>
      <c r="F112" s="26" t="s">
        <v>646</v>
      </c>
      <c r="G112" s="26" t="s">
        <v>20</v>
      </c>
      <c r="H112" s="202"/>
      <c r="I112" s="43"/>
      <c r="J112" s="202"/>
      <c r="K112" s="202"/>
      <c r="L112" s="202"/>
      <c r="M112" s="47">
        <v>24</v>
      </c>
      <c r="N112" s="24" t="s">
        <v>823</v>
      </c>
      <c r="O112" s="24" t="s">
        <v>42</v>
      </c>
    </row>
    <row r="113" spans="1:15" x14ac:dyDescent="0.3">
      <c r="A113" s="43"/>
      <c r="B113" s="202"/>
      <c r="C113" s="202"/>
      <c r="D113" s="202"/>
      <c r="E113" s="47">
        <v>25</v>
      </c>
      <c r="F113" s="143" t="s">
        <v>267</v>
      </c>
      <c r="G113" s="143" t="s">
        <v>79</v>
      </c>
      <c r="H113" s="202"/>
      <c r="I113" s="43"/>
      <c r="J113" s="202"/>
      <c r="K113" s="202"/>
      <c r="L113" s="202"/>
      <c r="M113" s="43"/>
      <c r="N113" s="202"/>
      <c r="O113" s="202"/>
    </row>
    <row r="114" spans="1:15" x14ac:dyDescent="0.3">
      <c r="E114" s="47">
        <v>26</v>
      </c>
      <c r="F114" s="24" t="s">
        <v>291</v>
      </c>
      <c r="G114" s="63" t="s">
        <v>79</v>
      </c>
    </row>
  </sheetData>
  <mergeCells count="16">
    <mergeCell ref="A1:C1"/>
    <mergeCell ref="E1:G1"/>
    <mergeCell ref="I1:K1"/>
    <mergeCell ref="M1:O1"/>
    <mergeCell ref="A29:C29"/>
    <mergeCell ref="E29:G29"/>
    <mergeCell ref="I29:K29"/>
    <mergeCell ref="M29:O29"/>
    <mergeCell ref="A88:C88"/>
    <mergeCell ref="E88:G88"/>
    <mergeCell ref="I88:K88"/>
    <mergeCell ref="M88:O88"/>
    <mergeCell ref="A59:C59"/>
    <mergeCell ref="E59:G59"/>
    <mergeCell ref="I59:K59"/>
    <mergeCell ref="M59:O59"/>
  </mergeCells>
  <phoneticPr fontId="6" type="noConversion"/>
  <pageMargins left="0.2" right="0" top="0.5" bottom="0" header="0.3" footer="0.3"/>
  <pageSetup paperSize="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FCBD-DFA0-4819-AEA0-B54BC482376E}">
  <dimension ref="A1:AC270"/>
  <sheetViews>
    <sheetView topLeftCell="A176" workbookViewId="0">
      <selection activeCell="B185" sqref="B185:D194"/>
    </sheetView>
  </sheetViews>
  <sheetFormatPr defaultRowHeight="14.25" x14ac:dyDescent="0.2"/>
  <cols>
    <col min="1" max="1" width="5.5" customWidth="1"/>
    <col min="2" max="2" width="19.375" customWidth="1"/>
    <col min="3" max="3" width="8.25" customWidth="1"/>
    <col min="4" max="4" width="13" customWidth="1"/>
    <col min="5" max="16" width="7.75" customWidth="1"/>
  </cols>
  <sheetData>
    <row r="1" spans="1:29" ht="18.600000000000001" customHeight="1" x14ac:dyDescent="0.2">
      <c r="A1" s="434" t="s">
        <v>1059</v>
      </c>
      <c r="B1" s="434"/>
      <c r="C1" s="434"/>
      <c r="D1" s="434"/>
      <c r="E1" s="434"/>
      <c r="F1" s="434"/>
      <c r="G1" s="434"/>
      <c r="H1" s="434"/>
      <c r="I1" s="92">
        <v>2</v>
      </c>
      <c r="J1" s="48"/>
      <c r="K1" s="48"/>
      <c r="L1" s="48"/>
      <c r="M1" s="41"/>
      <c r="N1" s="41"/>
      <c r="O1" s="41"/>
      <c r="P1" s="41"/>
      <c r="R1" s="440" t="s">
        <v>1163</v>
      </c>
      <c r="S1" s="441"/>
      <c r="T1" s="440" t="s">
        <v>1164</v>
      </c>
      <c r="U1" s="441"/>
      <c r="V1" s="440" t="s">
        <v>1165</v>
      </c>
      <c r="W1" s="441"/>
      <c r="X1" s="440" t="s">
        <v>1166</v>
      </c>
      <c r="Y1" s="441"/>
      <c r="Z1" s="440" t="s">
        <v>1167</v>
      </c>
      <c r="AA1" s="441"/>
      <c r="AB1" s="438" t="s">
        <v>748</v>
      </c>
      <c r="AC1" s="439"/>
    </row>
    <row r="2" spans="1:29" ht="18.600000000000001" customHeight="1" x14ac:dyDescent="0.2">
      <c r="A2" s="28"/>
      <c r="B2" s="29"/>
      <c r="C2" s="30"/>
      <c r="D2" s="36"/>
      <c r="E2" s="28"/>
      <c r="F2" s="28"/>
      <c r="G2" s="28"/>
      <c r="H2" s="28"/>
      <c r="I2" s="79"/>
      <c r="J2" s="28"/>
      <c r="K2" s="28"/>
      <c r="L2" s="28"/>
      <c r="M2" s="28"/>
      <c r="N2" s="28"/>
      <c r="O2" s="28"/>
      <c r="P2" s="28"/>
      <c r="R2" s="442">
        <f>SUBTOTAL(9,G5:G60)</f>
        <v>0</v>
      </c>
      <c r="S2" s="443"/>
      <c r="T2" s="442">
        <f>SUBTOTAL(9,I5:I60)</f>
        <v>3</v>
      </c>
      <c r="U2" s="443"/>
      <c r="V2" s="442">
        <f>SUBTOTAL(9,K5:K60)</f>
        <v>0</v>
      </c>
      <c r="W2" s="443"/>
      <c r="X2" s="442">
        <f t="shared" ref="X2" si="0">SUBTOTAL(9,M5:M60)</f>
        <v>0</v>
      </c>
      <c r="Y2" s="443"/>
      <c r="Z2" s="442">
        <f>SUBTOTAL(9,O5:O60)</f>
        <v>0</v>
      </c>
      <c r="AA2" s="443"/>
      <c r="AB2" s="444">
        <f>SUM(R2:Z2)</f>
        <v>3</v>
      </c>
      <c r="AC2" s="444"/>
    </row>
    <row r="3" spans="1:29" ht="18.600000000000001" customHeight="1" x14ac:dyDescent="0.3">
      <c r="A3" s="435" t="s">
        <v>374</v>
      </c>
      <c r="B3" s="435" t="s">
        <v>380</v>
      </c>
      <c r="C3" s="435" t="s">
        <v>383</v>
      </c>
      <c r="D3" s="437" t="s">
        <v>384</v>
      </c>
      <c r="E3" s="438" t="s">
        <v>385</v>
      </c>
      <c r="F3" s="439"/>
      <c r="G3" s="432" t="str">
        <f>$R$1</f>
        <v>Đợt 6</v>
      </c>
      <c r="H3" s="433"/>
      <c r="I3" s="432" t="str">
        <f>$T$1</f>
        <v>Đợt 7</v>
      </c>
      <c r="J3" s="433"/>
      <c r="K3" s="432" t="str">
        <f>$V$1</f>
        <v>Đợt 8</v>
      </c>
      <c r="L3" s="433"/>
      <c r="M3" s="432" t="str">
        <f>$X$1</f>
        <v>Đợt 9</v>
      </c>
      <c r="N3" s="433"/>
      <c r="O3" s="432" t="str">
        <f>$Z$1</f>
        <v>Đợt 10</v>
      </c>
      <c r="P3" s="433"/>
      <c r="R3" s="89"/>
      <c r="S3" s="90"/>
    </row>
    <row r="4" spans="1:29" ht="18.600000000000001" customHeight="1" x14ac:dyDescent="0.2">
      <c r="A4" s="436"/>
      <c r="B4" s="436"/>
      <c r="C4" s="436"/>
      <c r="D4" s="436"/>
      <c r="E4" s="31" t="s">
        <v>381</v>
      </c>
      <c r="F4" s="31" t="s">
        <v>382</v>
      </c>
      <c r="G4" s="31" t="s">
        <v>381</v>
      </c>
      <c r="H4" s="31" t="s">
        <v>382</v>
      </c>
      <c r="I4" s="80" t="s">
        <v>381</v>
      </c>
      <c r="J4" s="31" t="s">
        <v>382</v>
      </c>
      <c r="K4" s="80" t="s">
        <v>381</v>
      </c>
      <c r="L4" s="31" t="s">
        <v>382</v>
      </c>
      <c r="M4" s="31" t="s">
        <v>381</v>
      </c>
      <c r="N4" s="31" t="s">
        <v>382</v>
      </c>
      <c r="O4" s="31" t="s">
        <v>381</v>
      </c>
      <c r="P4" s="31" t="s">
        <v>382</v>
      </c>
    </row>
    <row r="5" spans="1:29" ht="18.600000000000001" customHeight="1" x14ac:dyDescent="0.3">
      <c r="A5" s="32">
        <v>1</v>
      </c>
      <c r="B5" s="143" t="s">
        <v>823</v>
      </c>
      <c r="C5" s="143" t="s">
        <v>14</v>
      </c>
      <c r="D5" s="143">
        <v>914886617</v>
      </c>
      <c r="E5" s="32"/>
      <c r="F5" s="34"/>
      <c r="G5" s="32"/>
      <c r="H5" s="34"/>
      <c r="I5" s="81"/>
      <c r="J5" s="34"/>
      <c r="K5" s="34"/>
      <c r="L5" s="34"/>
      <c r="M5" s="32"/>
      <c r="N5" s="34"/>
      <c r="O5" s="32"/>
      <c r="P5" s="34"/>
    </row>
    <row r="6" spans="1:29" ht="18.600000000000001" customHeight="1" x14ac:dyDescent="0.3">
      <c r="A6" s="7">
        <f t="shared" ref="A6:A29" si="1">A5+1</f>
        <v>2</v>
      </c>
      <c r="B6" s="143" t="s">
        <v>825</v>
      </c>
      <c r="C6" s="143" t="s">
        <v>14</v>
      </c>
      <c r="D6" s="143">
        <v>969937517</v>
      </c>
      <c r="E6" s="7"/>
      <c r="F6" s="7"/>
      <c r="G6" s="7"/>
      <c r="H6" s="7"/>
      <c r="I6" s="82"/>
      <c r="J6" s="7"/>
      <c r="K6" s="7"/>
      <c r="L6" s="7"/>
      <c r="M6" s="7"/>
      <c r="N6" s="7"/>
      <c r="O6" s="7"/>
      <c r="P6" s="7"/>
    </row>
    <row r="7" spans="1:29" ht="18.600000000000001" customHeight="1" x14ac:dyDescent="0.2">
      <c r="A7" s="7">
        <f t="shared" si="1"/>
        <v>3</v>
      </c>
      <c r="B7" s="26" t="s">
        <v>884</v>
      </c>
      <c r="C7" s="26" t="s">
        <v>15</v>
      </c>
      <c r="D7" s="26">
        <v>907370931</v>
      </c>
      <c r="E7" s="7"/>
      <c r="F7" s="7"/>
      <c r="G7" s="7"/>
      <c r="H7" s="7"/>
      <c r="I7" s="82"/>
      <c r="J7" s="7"/>
      <c r="K7" s="7"/>
      <c r="L7" s="7"/>
      <c r="M7" s="7"/>
      <c r="N7" s="7"/>
      <c r="O7" s="7"/>
      <c r="P7" s="7"/>
    </row>
    <row r="8" spans="1:29" ht="18.600000000000001" customHeight="1" x14ac:dyDescent="0.3">
      <c r="A8" s="7">
        <f t="shared" si="1"/>
        <v>4</v>
      </c>
      <c r="B8" s="143" t="s">
        <v>831</v>
      </c>
      <c r="C8" s="143" t="s">
        <v>49</v>
      </c>
      <c r="D8" s="143" t="s">
        <v>974</v>
      </c>
      <c r="E8" s="7"/>
      <c r="F8" s="7"/>
      <c r="G8" s="7"/>
      <c r="H8" s="7"/>
      <c r="I8" s="82"/>
      <c r="J8" s="7"/>
      <c r="K8" s="7"/>
      <c r="L8" s="7"/>
      <c r="M8" s="7"/>
      <c r="N8" s="7"/>
      <c r="O8" s="7"/>
      <c r="P8" s="7"/>
      <c r="Z8" s="91"/>
    </row>
    <row r="9" spans="1:29" ht="18.600000000000001" customHeight="1" x14ac:dyDescent="0.3">
      <c r="A9" s="6">
        <f t="shared" si="1"/>
        <v>5</v>
      </c>
      <c r="B9" s="143" t="s">
        <v>844</v>
      </c>
      <c r="C9" s="143" t="s">
        <v>56</v>
      </c>
      <c r="D9" s="143">
        <v>947999822</v>
      </c>
      <c r="E9" s="16"/>
      <c r="F9" s="16"/>
      <c r="G9" s="16"/>
      <c r="H9" s="16"/>
      <c r="I9" s="83"/>
      <c r="J9" s="16"/>
      <c r="K9" s="16"/>
      <c r="L9" s="16"/>
      <c r="M9" s="16"/>
      <c r="N9" s="16"/>
      <c r="O9" s="16"/>
      <c r="P9" s="16"/>
      <c r="R9" s="18"/>
      <c r="S9" s="431" t="s">
        <v>403</v>
      </c>
      <c r="T9" s="431"/>
      <c r="U9" s="18"/>
      <c r="V9" s="18"/>
      <c r="W9" s="18"/>
      <c r="X9" s="18"/>
    </row>
    <row r="10" spans="1:29" ht="18.600000000000001" customHeight="1" x14ac:dyDescent="0.3">
      <c r="A10" s="56">
        <f t="shared" si="1"/>
        <v>6</v>
      </c>
      <c r="B10" s="25" t="s">
        <v>976</v>
      </c>
      <c r="C10" s="25" t="s">
        <v>91</v>
      </c>
      <c r="D10" s="24"/>
      <c r="E10" s="2"/>
      <c r="F10" s="2"/>
      <c r="G10" s="2"/>
      <c r="H10" s="2"/>
      <c r="I10" s="84"/>
      <c r="J10" s="2"/>
      <c r="K10" s="2"/>
      <c r="L10" s="2"/>
      <c r="M10" s="2"/>
      <c r="N10" s="2"/>
      <c r="O10" s="2"/>
      <c r="P10" s="2"/>
      <c r="R10" s="18">
        <v>1</v>
      </c>
      <c r="S10" s="18" t="s">
        <v>404</v>
      </c>
      <c r="T10" s="18"/>
      <c r="U10" s="18"/>
      <c r="V10" s="18"/>
      <c r="W10" s="18"/>
      <c r="X10" s="18"/>
    </row>
    <row r="11" spans="1:29" ht="18.600000000000001" customHeight="1" x14ac:dyDescent="0.3">
      <c r="A11" s="6">
        <f t="shared" si="1"/>
        <v>7</v>
      </c>
      <c r="B11" s="143" t="s">
        <v>209</v>
      </c>
      <c r="C11" s="143" t="s">
        <v>799</v>
      </c>
      <c r="D11" s="143"/>
      <c r="E11" s="4"/>
      <c r="F11" s="4"/>
      <c r="G11" s="4"/>
      <c r="H11" s="4"/>
      <c r="I11" s="85"/>
      <c r="J11" s="4"/>
      <c r="K11" s="4"/>
      <c r="L11" s="4"/>
      <c r="M11" s="4"/>
      <c r="N11" s="4"/>
      <c r="O11" s="4"/>
      <c r="P11" s="4"/>
      <c r="R11" s="18">
        <v>2</v>
      </c>
      <c r="S11" s="18" t="s">
        <v>405</v>
      </c>
      <c r="T11" s="18"/>
      <c r="U11" s="18"/>
      <c r="V11" s="18"/>
      <c r="W11" s="18"/>
      <c r="X11" s="18"/>
    </row>
    <row r="12" spans="1:29" ht="18.600000000000001" customHeight="1" x14ac:dyDescent="0.3">
      <c r="A12" s="6">
        <f t="shared" si="1"/>
        <v>8</v>
      </c>
      <c r="B12" s="143" t="s">
        <v>809</v>
      </c>
      <c r="C12" s="143" t="s">
        <v>104</v>
      </c>
      <c r="D12" s="143">
        <v>333988666</v>
      </c>
      <c r="E12" s="4"/>
      <c r="F12" s="4"/>
      <c r="G12" s="4"/>
      <c r="H12" s="4"/>
      <c r="I12" s="85"/>
      <c r="J12" s="4"/>
      <c r="K12" s="4"/>
      <c r="L12" s="4"/>
      <c r="M12" s="4"/>
      <c r="N12" s="4"/>
      <c r="O12" s="4"/>
      <c r="P12" s="4"/>
      <c r="R12" s="18">
        <v>3</v>
      </c>
      <c r="S12" s="18" t="s">
        <v>406</v>
      </c>
      <c r="T12" s="18"/>
      <c r="U12" s="18"/>
      <c r="V12" s="18"/>
      <c r="W12" s="18"/>
      <c r="X12" s="18"/>
    </row>
    <row r="13" spans="1:29" ht="18.600000000000001" customHeight="1" x14ac:dyDescent="0.3">
      <c r="A13" s="6">
        <f t="shared" si="1"/>
        <v>9</v>
      </c>
      <c r="B13" s="26" t="s">
        <v>301</v>
      </c>
      <c r="C13" s="26" t="s">
        <v>5</v>
      </c>
      <c r="D13" s="26">
        <v>395736449</v>
      </c>
      <c r="E13" s="4"/>
      <c r="F13" s="4"/>
      <c r="G13" s="4"/>
      <c r="H13" s="4"/>
      <c r="I13" s="85"/>
      <c r="J13" s="4"/>
      <c r="K13" s="4"/>
      <c r="L13" s="4"/>
      <c r="M13" s="4"/>
      <c r="N13" s="4"/>
      <c r="O13" s="4"/>
      <c r="P13" s="4"/>
      <c r="R13" s="18">
        <v>4</v>
      </c>
      <c r="S13" s="18" t="s">
        <v>407</v>
      </c>
      <c r="T13" s="18"/>
      <c r="U13" s="18"/>
      <c r="V13" s="18"/>
      <c r="W13" s="18"/>
      <c r="X13" s="18"/>
    </row>
    <row r="14" spans="1:29" ht="18.600000000000001" customHeight="1" x14ac:dyDescent="0.3">
      <c r="A14" s="10">
        <f t="shared" si="1"/>
        <v>10</v>
      </c>
      <c r="B14" s="143" t="s">
        <v>800</v>
      </c>
      <c r="C14" s="143" t="s">
        <v>499</v>
      </c>
      <c r="D14" s="143">
        <v>338072410</v>
      </c>
      <c r="E14" s="12"/>
      <c r="F14" s="12"/>
      <c r="G14" s="12"/>
      <c r="H14" s="12"/>
      <c r="I14" s="86"/>
      <c r="J14" s="12"/>
      <c r="K14" s="12"/>
      <c r="L14" s="12"/>
      <c r="M14" s="12"/>
      <c r="N14" s="12"/>
      <c r="O14" s="12"/>
      <c r="P14" s="12"/>
      <c r="R14" s="18">
        <v>5</v>
      </c>
      <c r="S14" s="18" t="s">
        <v>408</v>
      </c>
      <c r="T14" s="18"/>
      <c r="U14" s="18"/>
      <c r="V14" s="18"/>
      <c r="W14" s="18"/>
      <c r="X14" s="18"/>
    </row>
    <row r="15" spans="1:29" ht="18.600000000000001" customHeight="1" x14ac:dyDescent="0.2">
      <c r="A15" s="35">
        <f t="shared" si="1"/>
        <v>11</v>
      </c>
      <c r="B15" s="60"/>
      <c r="C15" s="60"/>
      <c r="D15" s="61"/>
      <c r="E15" s="14"/>
      <c r="F15" s="14"/>
      <c r="G15" s="14"/>
      <c r="H15" s="14"/>
      <c r="I15" s="87"/>
      <c r="J15" s="14"/>
      <c r="K15" s="14"/>
      <c r="L15" s="14"/>
      <c r="M15" s="14"/>
      <c r="N15" s="14"/>
      <c r="O15" s="14"/>
      <c r="P15" s="14"/>
    </row>
    <row r="16" spans="1:29" ht="18.600000000000001" customHeight="1" x14ac:dyDescent="0.2">
      <c r="A16" s="7">
        <f t="shared" si="1"/>
        <v>12</v>
      </c>
      <c r="B16" s="26"/>
      <c r="C16" s="26"/>
      <c r="D16" s="22"/>
      <c r="E16" s="4"/>
      <c r="F16" s="4"/>
      <c r="G16" s="4"/>
      <c r="H16" s="4"/>
      <c r="I16" s="85"/>
      <c r="J16" s="4"/>
      <c r="K16" s="4"/>
      <c r="L16" s="4"/>
      <c r="M16" s="4"/>
      <c r="N16" s="4"/>
      <c r="O16" s="4"/>
      <c r="P16" s="4"/>
    </row>
    <row r="17" spans="1:19" ht="18.600000000000001" customHeight="1" x14ac:dyDescent="0.3">
      <c r="A17" s="7">
        <f t="shared" si="1"/>
        <v>13</v>
      </c>
      <c r="B17" s="26"/>
      <c r="C17" s="26"/>
      <c r="D17" s="22"/>
      <c r="E17" s="4"/>
      <c r="F17" s="4"/>
      <c r="G17" s="4"/>
      <c r="H17" s="4"/>
      <c r="I17" s="85"/>
      <c r="J17" s="4"/>
      <c r="K17" s="4"/>
      <c r="L17" s="4"/>
      <c r="M17" s="4"/>
      <c r="N17" s="4"/>
      <c r="O17" s="4"/>
      <c r="P17" s="4"/>
      <c r="S17" s="18" t="s">
        <v>856</v>
      </c>
    </row>
    <row r="18" spans="1:19" ht="18.600000000000001" customHeight="1" x14ac:dyDescent="0.2">
      <c r="A18" s="7">
        <f t="shared" si="1"/>
        <v>14</v>
      </c>
      <c r="B18" s="3"/>
      <c r="C18" s="4"/>
      <c r="D18" s="8"/>
      <c r="E18" s="4"/>
      <c r="F18" s="4"/>
      <c r="G18" s="4"/>
      <c r="H18" s="4"/>
      <c r="I18" s="85"/>
      <c r="J18" s="4"/>
      <c r="K18" s="4"/>
      <c r="L18" s="4"/>
      <c r="M18" s="4"/>
      <c r="N18" s="4"/>
      <c r="O18" s="4"/>
      <c r="P18" s="4"/>
    </row>
    <row r="19" spans="1:19" ht="18.600000000000001" customHeight="1" x14ac:dyDescent="0.2">
      <c r="A19" s="6">
        <f t="shared" si="1"/>
        <v>15</v>
      </c>
      <c r="B19" s="15"/>
      <c r="C19" s="16"/>
      <c r="D19" s="5"/>
      <c r="E19" s="16"/>
      <c r="F19" s="16"/>
      <c r="G19" s="16"/>
      <c r="H19" s="16"/>
      <c r="I19" s="83"/>
      <c r="J19" s="16"/>
      <c r="K19" s="16"/>
      <c r="L19" s="16"/>
      <c r="M19" s="16"/>
      <c r="N19" s="16"/>
      <c r="O19" s="16"/>
      <c r="P19" s="16"/>
    </row>
    <row r="20" spans="1:19" ht="18.600000000000001" customHeight="1" x14ac:dyDescent="0.2">
      <c r="A20" s="32">
        <f t="shared" si="1"/>
        <v>16</v>
      </c>
      <c r="B20" s="1"/>
      <c r="C20" s="2"/>
      <c r="D20" s="33"/>
      <c r="E20" s="2"/>
      <c r="F20" s="2"/>
      <c r="G20" s="2"/>
      <c r="H20" s="2"/>
      <c r="I20" s="84"/>
      <c r="J20" s="2"/>
      <c r="K20" s="2"/>
      <c r="L20" s="2"/>
      <c r="M20" s="2"/>
      <c r="N20" s="2"/>
      <c r="O20" s="2"/>
      <c r="P20" s="2"/>
    </row>
    <row r="21" spans="1:19" ht="18.600000000000001" customHeight="1" x14ac:dyDescent="0.2">
      <c r="A21" s="7">
        <f t="shared" si="1"/>
        <v>17</v>
      </c>
      <c r="B21" s="3"/>
      <c r="C21" s="4"/>
      <c r="D21" s="8"/>
      <c r="E21" s="4"/>
      <c r="F21" s="4"/>
      <c r="G21" s="4"/>
      <c r="H21" s="4"/>
      <c r="I21" s="85"/>
      <c r="J21" s="4"/>
      <c r="K21" s="4"/>
      <c r="L21" s="4"/>
      <c r="M21" s="4"/>
      <c r="N21" s="4"/>
      <c r="O21" s="4"/>
      <c r="P21" s="4"/>
    </row>
    <row r="22" spans="1:19" ht="18.600000000000001" customHeight="1" x14ac:dyDescent="0.2">
      <c r="A22" s="7">
        <f t="shared" si="1"/>
        <v>18</v>
      </c>
      <c r="B22" s="3"/>
      <c r="C22" s="4"/>
      <c r="D22" s="8"/>
      <c r="E22" s="4"/>
      <c r="F22" s="4"/>
      <c r="G22" s="4"/>
      <c r="H22" s="4"/>
      <c r="I22" s="85"/>
      <c r="J22" s="4"/>
      <c r="K22" s="4"/>
      <c r="L22" s="4"/>
      <c r="M22" s="4"/>
      <c r="N22" s="4"/>
      <c r="O22" s="4"/>
      <c r="P22" s="4"/>
    </row>
    <row r="23" spans="1:19" ht="18.600000000000001" customHeight="1" x14ac:dyDescent="0.2">
      <c r="A23" s="7">
        <f t="shared" si="1"/>
        <v>19</v>
      </c>
      <c r="B23" s="3"/>
      <c r="C23" s="4"/>
      <c r="D23" s="8"/>
      <c r="E23" s="4"/>
      <c r="F23" s="4"/>
      <c r="G23" s="4"/>
      <c r="H23" s="4"/>
      <c r="I23" s="85"/>
      <c r="J23" s="4"/>
      <c r="K23" s="4"/>
      <c r="L23" s="4"/>
      <c r="M23" s="4"/>
      <c r="N23" s="4"/>
      <c r="O23" s="4"/>
      <c r="P23" s="4"/>
    </row>
    <row r="24" spans="1:19" ht="18.600000000000001" customHeight="1" x14ac:dyDescent="0.2">
      <c r="A24" s="10">
        <f t="shared" si="1"/>
        <v>20</v>
      </c>
      <c r="B24" s="11"/>
      <c r="C24" s="12"/>
      <c r="D24" s="9"/>
      <c r="E24" s="12"/>
      <c r="F24" s="12"/>
      <c r="G24" s="12"/>
      <c r="H24" s="12"/>
      <c r="I24" s="86"/>
      <c r="J24" s="12"/>
      <c r="K24" s="12"/>
      <c r="L24" s="12"/>
      <c r="M24" s="12"/>
      <c r="N24" s="12"/>
      <c r="O24" s="12"/>
      <c r="P24" s="12"/>
    </row>
    <row r="25" spans="1:19" ht="18.600000000000001" customHeight="1" x14ac:dyDescent="0.2">
      <c r="A25" s="35">
        <f t="shared" si="1"/>
        <v>21</v>
      </c>
      <c r="B25" s="13"/>
      <c r="C25" s="14"/>
      <c r="D25" s="37"/>
      <c r="E25" s="14"/>
      <c r="F25" s="14"/>
      <c r="G25" s="14"/>
      <c r="H25" s="14"/>
      <c r="I25" s="87"/>
      <c r="J25" s="14"/>
      <c r="K25" s="14"/>
      <c r="L25" s="14"/>
      <c r="M25" s="14"/>
      <c r="N25" s="14"/>
      <c r="O25" s="14"/>
      <c r="P25" s="14"/>
    </row>
    <row r="26" spans="1:19" ht="18.600000000000001" customHeight="1" x14ac:dyDescent="0.2">
      <c r="A26" s="7">
        <f t="shared" si="1"/>
        <v>22</v>
      </c>
      <c r="B26" s="3"/>
      <c r="C26" s="4"/>
      <c r="D26" s="8"/>
      <c r="E26" s="4"/>
      <c r="F26" s="4"/>
      <c r="G26" s="4"/>
      <c r="H26" s="4"/>
      <c r="I26" s="85"/>
      <c r="J26" s="4"/>
      <c r="K26" s="4"/>
      <c r="L26" s="4"/>
      <c r="M26" s="4"/>
      <c r="N26" s="4"/>
      <c r="O26" s="4"/>
      <c r="P26" s="4"/>
    </row>
    <row r="27" spans="1:19" ht="18.600000000000001" customHeight="1" x14ac:dyDescent="0.2">
      <c r="A27" s="35">
        <f t="shared" si="1"/>
        <v>23</v>
      </c>
      <c r="B27" s="3"/>
      <c r="C27" s="4"/>
      <c r="D27" s="8"/>
      <c r="E27" s="4"/>
      <c r="F27" s="4"/>
      <c r="G27" s="4"/>
      <c r="H27" s="4"/>
      <c r="I27" s="85"/>
      <c r="J27" s="4"/>
      <c r="K27" s="4"/>
      <c r="L27" s="4"/>
      <c r="M27" s="4"/>
      <c r="N27" s="4"/>
      <c r="O27" s="4"/>
      <c r="P27" s="4"/>
    </row>
    <row r="28" spans="1:19" ht="18.600000000000001" customHeight="1" x14ac:dyDescent="0.2">
      <c r="A28" s="7">
        <f t="shared" si="1"/>
        <v>24</v>
      </c>
      <c r="B28" s="3"/>
      <c r="C28" s="4"/>
      <c r="D28" s="8"/>
      <c r="E28" s="4"/>
      <c r="F28" s="4"/>
      <c r="G28" s="4"/>
      <c r="H28" s="4"/>
      <c r="I28" s="85"/>
      <c r="J28" s="4"/>
      <c r="K28" s="4"/>
      <c r="L28" s="4"/>
      <c r="M28" s="4"/>
      <c r="N28" s="4"/>
      <c r="O28" s="4"/>
      <c r="P28" s="4"/>
    </row>
    <row r="29" spans="1:19" ht="18.600000000000001" customHeight="1" x14ac:dyDescent="0.2">
      <c r="A29" s="35">
        <f t="shared" si="1"/>
        <v>25</v>
      </c>
      <c r="B29" s="11"/>
      <c r="C29" s="12"/>
      <c r="D29" s="9"/>
      <c r="E29" s="12"/>
      <c r="F29" s="12"/>
      <c r="G29" s="12"/>
      <c r="H29" s="12"/>
      <c r="I29" s="86"/>
      <c r="J29" s="12"/>
      <c r="K29" s="12"/>
      <c r="L29" s="12"/>
      <c r="M29" s="12"/>
      <c r="N29" s="12"/>
      <c r="O29" s="12"/>
      <c r="P29" s="12"/>
    </row>
    <row r="30" spans="1:19" ht="18.600000000000001" customHeight="1" x14ac:dyDescent="0.3">
      <c r="A30" s="147"/>
      <c r="B30" s="148"/>
      <c r="C30" s="147"/>
      <c r="D30" s="149"/>
      <c r="E30" s="150">
        <f>SUBTOTAL(9,E5:E29)</f>
        <v>0</v>
      </c>
      <c r="F30" s="151"/>
      <c r="G30" s="150">
        <f t="shared" ref="G30" si="2">SUBTOTAL(9,G5:G29)</f>
        <v>0</v>
      </c>
      <c r="H30" s="151"/>
      <c r="I30" s="150">
        <f t="shared" ref="I30" si="3">SUBTOTAL(9,I5:I29)</f>
        <v>0</v>
      </c>
      <c r="J30" s="151"/>
      <c r="K30" s="151"/>
      <c r="L30" s="151"/>
      <c r="M30" s="150">
        <f t="shared" ref="M30" si="4">SUBTOTAL(9,M5:M29)</f>
        <v>0</v>
      </c>
      <c r="N30" s="151"/>
      <c r="O30" s="150">
        <f t="shared" ref="O30" si="5">SUBTOTAL(9,O5:O29)</f>
        <v>0</v>
      </c>
      <c r="P30" s="151"/>
    </row>
    <row r="31" spans="1:19" ht="18.600000000000001" customHeight="1" x14ac:dyDescent="0.2">
      <c r="A31" s="434" t="str">
        <f>A1</f>
        <v>DANH SÁCH LỚP TA NƯỚC NGOÀI</v>
      </c>
      <c r="B31" s="434"/>
      <c r="C31" s="434"/>
      <c r="D31" s="434"/>
      <c r="E31" s="434"/>
      <c r="F31" s="434"/>
      <c r="G31" s="434"/>
      <c r="H31" s="434"/>
      <c r="I31" s="92">
        <v>3</v>
      </c>
      <c r="J31" s="48"/>
      <c r="K31" s="48"/>
      <c r="L31" s="48"/>
      <c r="M31" s="41"/>
      <c r="N31" s="41"/>
      <c r="O31" s="41"/>
      <c r="P31" s="41"/>
    </row>
    <row r="32" spans="1:19" ht="18.600000000000001" customHeight="1" x14ac:dyDescent="0.2">
      <c r="A32" s="28"/>
      <c r="B32" s="29"/>
      <c r="C32" s="30"/>
      <c r="D32" s="36"/>
      <c r="E32" s="28"/>
      <c r="F32" s="28"/>
      <c r="G32" s="28"/>
      <c r="H32" s="28"/>
      <c r="I32" s="79"/>
      <c r="J32" s="28"/>
      <c r="K32" s="28"/>
      <c r="L32" s="28"/>
      <c r="M32" s="28"/>
      <c r="N32" s="28"/>
      <c r="O32" s="28"/>
      <c r="P32" s="28"/>
    </row>
    <row r="33" spans="1:16" ht="18.600000000000001" customHeight="1" x14ac:dyDescent="0.2">
      <c r="A33" s="435" t="s">
        <v>374</v>
      </c>
      <c r="B33" s="435" t="s">
        <v>380</v>
      </c>
      <c r="C33" s="435" t="s">
        <v>383</v>
      </c>
      <c r="D33" s="437" t="s">
        <v>384</v>
      </c>
      <c r="E33" s="438" t="s">
        <v>385</v>
      </c>
      <c r="F33" s="439"/>
      <c r="G33" s="432" t="str">
        <f>$R$1</f>
        <v>Đợt 6</v>
      </c>
      <c r="H33" s="433"/>
      <c r="I33" s="432" t="str">
        <f>$T$1</f>
        <v>Đợt 7</v>
      </c>
      <c r="J33" s="433"/>
      <c r="K33" s="432" t="str">
        <f>$V$1</f>
        <v>Đợt 8</v>
      </c>
      <c r="L33" s="433"/>
      <c r="M33" s="432" t="str">
        <f>$X$1</f>
        <v>Đợt 9</v>
      </c>
      <c r="N33" s="433"/>
      <c r="O33" s="432" t="str">
        <f>$Z$1</f>
        <v>Đợt 10</v>
      </c>
      <c r="P33" s="433"/>
    </row>
    <row r="34" spans="1:16" ht="18.600000000000001" customHeight="1" x14ac:dyDescent="0.2">
      <c r="A34" s="436"/>
      <c r="B34" s="436"/>
      <c r="C34" s="436"/>
      <c r="D34" s="436"/>
      <c r="E34" s="31" t="s">
        <v>381</v>
      </c>
      <c r="F34" s="31" t="s">
        <v>382</v>
      </c>
      <c r="G34" s="31" t="s">
        <v>381</v>
      </c>
      <c r="H34" s="31" t="s">
        <v>382</v>
      </c>
      <c r="I34" s="80" t="s">
        <v>381</v>
      </c>
      <c r="J34" s="31" t="s">
        <v>382</v>
      </c>
      <c r="K34" s="80" t="s">
        <v>381</v>
      </c>
      <c r="L34" s="31" t="s">
        <v>382</v>
      </c>
      <c r="M34" s="31" t="s">
        <v>381</v>
      </c>
      <c r="N34" s="31" t="s">
        <v>382</v>
      </c>
      <c r="O34" s="31" t="s">
        <v>381</v>
      </c>
      <c r="P34" s="31" t="s">
        <v>382</v>
      </c>
    </row>
    <row r="35" spans="1:16" ht="18.600000000000001" customHeight="1" x14ac:dyDescent="0.2">
      <c r="A35" s="32">
        <v>1</v>
      </c>
      <c r="B35" s="26" t="s">
        <v>882</v>
      </c>
      <c r="C35" s="26" t="s">
        <v>10</v>
      </c>
      <c r="D35" s="26" t="s">
        <v>883</v>
      </c>
      <c r="E35" s="32"/>
      <c r="F35" s="34"/>
      <c r="G35" s="32"/>
      <c r="H35" s="93"/>
      <c r="I35" s="81"/>
      <c r="J35" s="34"/>
      <c r="K35" s="34"/>
      <c r="L35" s="34"/>
      <c r="M35" s="32"/>
      <c r="N35" s="34"/>
      <c r="O35" s="32"/>
      <c r="P35" s="34"/>
    </row>
    <row r="36" spans="1:16" ht="18.600000000000001" customHeight="1" x14ac:dyDescent="0.2">
      <c r="A36" s="7">
        <f t="shared" ref="A36:A59" si="6">A35+1</f>
        <v>2</v>
      </c>
      <c r="B36" s="26" t="s">
        <v>879</v>
      </c>
      <c r="C36" s="26" t="s">
        <v>22</v>
      </c>
      <c r="D36" s="163">
        <v>585305030</v>
      </c>
      <c r="E36" s="7"/>
      <c r="F36" s="7"/>
      <c r="G36" s="7"/>
      <c r="H36" s="7"/>
      <c r="I36" s="82"/>
      <c r="J36" s="7"/>
      <c r="K36" s="7"/>
      <c r="L36" s="7"/>
      <c r="M36" s="7"/>
      <c r="N36" s="7"/>
      <c r="O36" s="7"/>
      <c r="P36" s="7"/>
    </row>
    <row r="37" spans="1:16" ht="18.600000000000001" customHeight="1" x14ac:dyDescent="0.2">
      <c r="A37" s="7">
        <f t="shared" si="6"/>
        <v>3</v>
      </c>
      <c r="B37" s="26" t="s">
        <v>1141</v>
      </c>
      <c r="C37" s="26" t="s">
        <v>111</v>
      </c>
      <c r="D37" s="26"/>
      <c r="E37" s="7"/>
      <c r="F37" s="7"/>
      <c r="G37" s="7"/>
      <c r="H37" s="7"/>
      <c r="I37" s="82"/>
      <c r="J37" s="7"/>
      <c r="K37" s="7"/>
      <c r="L37" s="7"/>
      <c r="M37" s="7"/>
      <c r="N37" s="7"/>
      <c r="O37" s="7"/>
      <c r="P37" s="7"/>
    </row>
    <row r="38" spans="1:16" ht="18.600000000000001" customHeight="1" x14ac:dyDescent="0.2">
      <c r="A38" s="7">
        <f t="shared" si="6"/>
        <v>4</v>
      </c>
      <c r="B38" s="26" t="s">
        <v>473</v>
      </c>
      <c r="C38" s="26" t="s">
        <v>95</v>
      </c>
      <c r="D38" s="163">
        <v>975695597</v>
      </c>
      <c r="E38" s="7"/>
      <c r="F38" s="7"/>
      <c r="G38" s="7"/>
      <c r="H38" s="7"/>
      <c r="I38" s="82"/>
      <c r="J38" s="7"/>
      <c r="K38" s="7"/>
      <c r="L38" s="7"/>
      <c r="M38" s="7"/>
      <c r="N38" s="7"/>
      <c r="O38" s="7"/>
      <c r="P38" s="7"/>
    </row>
    <row r="39" spans="1:16" ht="18.600000000000001" customHeight="1" x14ac:dyDescent="0.2">
      <c r="A39" s="6">
        <f t="shared" si="6"/>
        <v>5</v>
      </c>
      <c r="B39" s="26" t="s">
        <v>475</v>
      </c>
      <c r="C39" s="26" t="s">
        <v>106</v>
      </c>
      <c r="D39" s="163">
        <v>366300151</v>
      </c>
      <c r="E39" s="16"/>
      <c r="F39" s="16"/>
      <c r="G39" s="16"/>
      <c r="H39" s="16"/>
      <c r="I39" s="83"/>
      <c r="J39" s="16"/>
      <c r="K39" s="16"/>
      <c r="L39" s="16"/>
      <c r="M39" s="16"/>
      <c r="N39" s="16"/>
      <c r="O39" s="16"/>
      <c r="P39" s="16"/>
    </row>
    <row r="40" spans="1:16" ht="18.600000000000001" customHeight="1" x14ac:dyDescent="0.3">
      <c r="A40" s="56">
        <f t="shared" si="6"/>
        <v>6</v>
      </c>
      <c r="B40" s="143" t="s">
        <v>474</v>
      </c>
      <c r="C40" s="143" t="s">
        <v>75</v>
      </c>
      <c r="D40" s="143" t="s">
        <v>880</v>
      </c>
      <c r="E40" s="2"/>
      <c r="F40" s="2"/>
      <c r="G40" s="2"/>
      <c r="H40" s="2"/>
      <c r="I40" s="84"/>
      <c r="J40" s="2"/>
      <c r="K40" s="2"/>
      <c r="L40" s="2"/>
      <c r="M40" s="2"/>
      <c r="N40" s="2"/>
      <c r="O40" s="2"/>
      <c r="P40" s="2"/>
    </row>
    <row r="41" spans="1:16" ht="18.600000000000001" customHeight="1" x14ac:dyDescent="0.2">
      <c r="A41" s="6">
        <f t="shared" si="6"/>
        <v>7</v>
      </c>
      <c r="B41" s="26" t="s">
        <v>356</v>
      </c>
      <c r="C41" s="26" t="s">
        <v>34</v>
      </c>
      <c r="D41" s="163">
        <v>393133744</v>
      </c>
      <c r="E41" s="4"/>
      <c r="F41" s="4"/>
      <c r="G41" s="4"/>
      <c r="H41" s="4"/>
      <c r="I41" s="85"/>
      <c r="J41" s="4"/>
      <c r="K41" s="4"/>
      <c r="L41" s="4"/>
      <c r="M41" s="4"/>
      <c r="N41" s="4"/>
      <c r="O41" s="4"/>
      <c r="P41" s="4"/>
    </row>
    <row r="42" spans="1:16" ht="18.600000000000001" customHeight="1" x14ac:dyDescent="0.2">
      <c r="A42" s="6">
        <f t="shared" si="6"/>
        <v>8</v>
      </c>
      <c r="B42" s="26" t="s">
        <v>528</v>
      </c>
      <c r="C42" s="26" t="s">
        <v>43</v>
      </c>
      <c r="D42" s="163">
        <v>985952120</v>
      </c>
      <c r="E42" s="4"/>
      <c r="F42" s="4"/>
      <c r="G42" s="4"/>
      <c r="H42" s="4"/>
      <c r="I42" s="85"/>
      <c r="J42" s="4"/>
      <c r="K42" s="4"/>
      <c r="L42" s="4"/>
      <c r="M42" s="4"/>
      <c r="N42" s="4"/>
      <c r="O42" s="4"/>
      <c r="P42" s="4"/>
    </row>
    <row r="43" spans="1:16" ht="18.600000000000001" customHeight="1" x14ac:dyDescent="0.2">
      <c r="A43" s="6">
        <f t="shared" si="6"/>
        <v>9</v>
      </c>
      <c r="B43" s="26" t="s">
        <v>881</v>
      </c>
      <c r="C43" s="26" t="s">
        <v>55</v>
      </c>
      <c r="D43" s="26"/>
      <c r="E43" s="4"/>
      <c r="F43" s="4"/>
      <c r="G43" s="4"/>
      <c r="H43" s="4"/>
      <c r="I43" s="85"/>
      <c r="J43" s="4"/>
      <c r="K43" s="4"/>
      <c r="L43" s="4"/>
      <c r="M43" s="4"/>
      <c r="N43" s="4"/>
      <c r="O43" s="4"/>
      <c r="P43" s="4"/>
    </row>
    <row r="44" spans="1:16" ht="18.600000000000001" customHeight="1" x14ac:dyDescent="0.2">
      <c r="A44" s="10">
        <f t="shared" si="6"/>
        <v>10</v>
      </c>
      <c r="B44" s="24" t="s">
        <v>137</v>
      </c>
      <c r="C44" s="24" t="s">
        <v>5</v>
      </c>
      <c r="D44" s="163"/>
      <c r="E44" s="12"/>
      <c r="F44" s="12"/>
      <c r="G44" s="12"/>
      <c r="H44" s="12"/>
      <c r="I44" s="86"/>
      <c r="J44" s="12"/>
      <c r="K44" s="12"/>
      <c r="L44" s="12"/>
      <c r="M44" s="12"/>
      <c r="N44" s="12"/>
      <c r="O44" s="12"/>
      <c r="P44" s="12"/>
    </row>
    <row r="45" spans="1:16" ht="18.600000000000001" customHeight="1" x14ac:dyDescent="0.2">
      <c r="A45" s="35">
        <f t="shared" si="6"/>
        <v>11</v>
      </c>
      <c r="B45" s="60"/>
      <c r="C45" s="60"/>
      <c r="D45" s="61"/>
      <c r="E45" s="14"/>
      <c r="F45" s="14"/>
      <c r="G45" s="14"/>
      <c r="H45" s="14"/>
      <c r="I45" s="87"/>
      <c r="J45" s="14"/>
      <c r="K45" s="14"/>
      <c r="L45" s="14"/>
      <c r="M45" s="14"/>
      <c r="N45" s="14"/>
      <c r="O45" s="14"/>
      <c r="P45" s="14"/>
    </row>
    <row r="46" spans="1:16" ht="18.600000000000001" customHeight="1" x14ac:dyDescent="0.2">
      <c r="A46" s="7">
        <f t="shared" si="6"/>
        <v>12</v>
      </c>
      <c r="B46" s="26"/>
      <c r="C46" s="26"/>
      <c r="D46" s="22"/>
      <c r="E46" s="4"/>
      <c r="F46" s="4"/>
      <c r="G46" s="4"/>
      <c r="H46" s="4"/>
      <c r="I46" s="85"/>
      <c r="J46" s="4"/>
      <c r="K46" s="4"/>
      <c r="L46" s="4"/>
      <c r="M46" s="4"/>
      <c r="N46" s="4"/>
      <c r="O46" s="4"/>
      <c r="P46" s="4"/>
    </row>
    <row r="47" spans="1:16" ht="18.600000000000001" customHeight="1" x14ac:dyDescent="0.2">
      <c r="A47" s="7">
        <f t="shared" si="6"/>
        <v>13</v>
      </c>
      <c r="B47" s="26"/>
      <c r="C47" s="26"/>
      <c r="D47" s="22"/>
      <c r="E47" s="4"/>
      <c r="F47" s="4"/>
      <c r="G47" s="4"/>
      <c r="H47" s="4"/>
      <c r="I47" s="85"/>
      <c r="J47" s="4"/>
      <c r="K47" s="4"/>
      <c r="L47" s="4"/>
      <c r="M47" s="4"/>
      <c r="N47" s="4"/>
      <c r="O47" s="4"/>
      <c r="P47" s="4"/>
    </row>
    <row r="48" spans="1:16" ht="18.600000000000001" customHeight="1" x14ac:dyDescent="0.2">
      <c r="A48" s="7">
        <f t="shared" si="6"/>
        <v>14</v>
      </c>
      <c r="B48" s="3"/>
      <c r="C48" s="4"/>
      <c r="D48" s="8"/>
      <c r="E48" s="4"/>
      <c r="F48" s="4"/>
      <c r="G48" s="4"/>
      <c r="H48" s="4"/>
      <c r="I48" s="85"/>
      <c r="J48" s="4"/>
      <c r="K48" s="4"/>
      <c r="L48" s="4"/>
      <c r="M48" s="4"/>
      <c r="N48" s="4"/>
      <c r="O48" s="4"/>
      <c r="P48" s="4"/>
    </row>
    <row r="49" spans="1:16" ht="18.600000000000001" customHeight="1" x14ac:dyDescent="0.2">
      <c r="A49" s="6">
        <f t="shared" si="6"/>
        <v>15</v>
      </c>
      <c r="B49" s="15"/>
      <c r="C49" s="16"/>
      <c r="D49" s="5"/>
      <c r="E49" s="16"/>
      <c r="F49" s="16"/>
      <c r="G49" s="16"/>
      <c r="H49" s="16"/>
      <c r="I49" s="83"/>
      <c r="J49" s="16"/>
      <c r="K49" s="16"/>
      <c r="L49" s="16"/>
      <c r="M49" s="16"/>
      <c r="N49" s="16"/>
      <c r="O49" s="16"/>
      <c r="P49" s="16"/>
    </row>
    <row r="50" spans="1:16" ht="18.600000000000001" customHeight="1" x14ac:dyDescent="0.2">
      <c r="A50" s="32">
        <f t="shared" si="6"/>
        <v>16</v>
      </c>
      <c r="B50" s="1"/>
      <c r="C50" s="2"/>
      <c r="D50" s="33"/>
      <c r="E50" s="2"/>
      <c r="F50" s="2"/>
      <c r="G50" s="2"/>
      <c r="H50" s="2"/>
      <c r="I50" s="84"/>
      <c r="J50" s="2"/>
      <c r="K50" s="2"/>
      <c r="L50" s="2"/>
      <c r="M50" s="2"/>
      <c r="N50" s="2"/>
      <c r="O50" s="2"/>
      <c r="P50" s="2"/>
    </row>
    <row r="51" spans="1:16" ht="18.600000000000001" customHeight="1" x14ac:dyDescent="0.2">
      <c r="A51" s="7">
        <f t="shared" si="6"/>
        <v>17</v>
      </c>
      <c r="B51" s="3"/>
      <c r="C51" s="4"/>
      <c r="D51" s="8"/>
      <c r="E51" s="4"/>
      <c r="F51" s="4"/>
      <c r="G51" s="4"/>
      <c r="H51" s="4"/>
      <c r="I51" s="85"/>
      <c r="J51" s="4"/>
      <c r="K51" s="4"/>
      <c r="L51" s="4"/>
      <c r="M51" s="4"/>
      <c r="N51" s="4"/>
      <c r="O51" s="4"/>
      <c r="P51" s="4"/>
    </row>
    <row r="52" spans="1:16" ht="18.600000000000001" customHeight="1" x14ac:dyDescent="0.2">
      <c r="A52" s="7">
        <f t="shared" si="6"/>
        <v>18</v>
      </c>
      <c r="B52" s="3"/>
      <c r="C52" s="4"/>
      <c r="D52" s="8"/>
      <c r="E52" s="4"/>
      <c r="F52" s="4"/>
      <c r="G52" s="4"/>
      <c r="H52" s="4"/>
      <c r="I52" s="85"/>
      <c r="J52" s="4"/>
      <c r="K52" s="4"/>
      <c r="L52" s="4"/>
      <c r="M52" s="4"/>
      <c r="N52" s="4"/>
      <c r="O52" s="4"/>
      <c r="P52" s="4"/>
    </row>
    <row r="53" spans="1:16" ht="18.600000000000001" customHeight="1" x14ac:dyDescent="0.2">
      <c r="A53" s="7">
        <f t="shared" si="6"/>
        <v>19</v>
      </c>
      <c r="B53" s="3"/>
      <c r="C53" s="4"/>
      <c r="D53" s="8"/>
      <c r="E53" s="4"/>
      <c r="F53" s="4"/>
      <c r="G53" s="4"/>
      <c r="H53" s="4"/>
      <c r="I53" s="85"/>
      <c r="J53" s="4"/>
      <c r="K53" s="4"/>
      <c r="L53" s="4"/>
      <c r="M53" s="4"/>
      <c r="N53" s="4"/>
      <c r="O53" s="4"/>
      <c r="P53" s="4"/>
    </row>
    <row r="54" spans="1:16" ht="18.600000000000001" customHeight="1" x14ac:dyDescent="0.2">
      <c r="A54" s="10">
        <f t="shared" si="6"/>
        <v>20</v>
      </c>
      <c r="B54" s="11"/>
      <c r="C54" s="12"/>
      <c r="D54" s="9"/>
      <c r="E54" s="12"/>
      <c r="F54" s="12"/>
      <c r="G54" s="12"/>
      <c r="H54" s="12"/>
      <c r="I54" s="86"/>
      <c r="J54" s="12"/>
      <c r="K54" s="12"/>
      <c r="L54" s="12"/>
      <c r="M54" s="12"/>
      <c r="N54" s="12"/>
      <c r="O54" s="12"/>
      <c r="P54" s="12"/>
    </row>
    <row r="55" spans="1:16" ht="18.600000000000001" customHeight="1" x14ac:dyDescent="0.2">
      <c r="A55" s="35">
        <f t="shared" si="6"/>
        <v>21</v>
      </c>
      <c r="B55" s="13"/>
      <c r="C55" s="14"/>
      <c r="D55" s="37"/>
      <c r="E55" s="14"/>
      <c r="F55" s="14"/>
      <c r="G55" s="14"/>
      <c r="H55" s="14"/>
      <c r="I55" s="87"/>
      <c r="J55" s="14"/>
      <c r="K55" s="14"/>
      <c r="L55" s="14"/>
      <c r="M55" s="14"/>
      <c r="N55" s="14"/>
      <c r="O55" s="14"/>
      <c r="P55" s="14"/>
    </row>
    <row r="56" spans="1:16" ht="18.600000000000001" customHeight="1" x14ac:dyDescent="0.2">
      <c r="A56" s="7">
        <f t="shared" si="6"/>
        <v>22</v>
      </c>
      <c r="B56" s="3"/>
      <c r="C56" s="4"/>
      <c r="D56" s="8"/>
      <c r="E56" s="4"/>
      <c r="F56" s="4"/>
      <c r="G56" s="4"/>
      <c r="H56" s="4"/>
      <c r="I56" s="85"/>
      <c r="J56" s="4"/>
      <c r="K56" s="4"/>
      <c r="L56" s="4"/>
      <c r="M56" s="4"/>
      <c r="N56" s="4"/>
      <c r="O56" s="4"/>
      <c r="P56" s="4"/>
    </row>
    <row r="57" spans="1:16" ht="18.600000000000001" customHeight="1" x14ac:dyDescent="0.2">
      <c r="A57" s="35">
        <f t="shared" si="6"/>
        <v>23</v>
      </c>
      <c r="B57" s="3"/>
      <c r="C57" s="4"/>
      <c r="D57" s="8"/>
      <c r="E57" s="4"/>
      <c r="F57" s="4"/>
      <c r="G57" s="4"/>
      <c r="H57" s="4"/>
      <c r="I57" s="85"/>
      <c r="J57" s="4"/>
      <c r="K57" s="4"/>
      <c r="L57" s="4"/>
      <c r="M57" s="4"/>
      <c r="N57" s="4"/>
      <c r="O57" s="4"/>
      <c r="P57" s="4"/>
    </row>
    <row r="58" spans="1:16" ht="18.600000000000001" customHeight="1" x14ac:dyDescent="0.2">
      <c r="A58" s="7">
        <f t="shared" si="6"/>
        <v>24</v>
      </c>
      <c r="B58" s="3"/>
      <c r="C58" s="4"/>
      <c r="D58" s="8"/>
      <c r="E58" s="4"/>
      <c r="F58" s="4"/>
      <c r="G58" s="4"/>
      <c r="H58" s="4"/>
      <c r="I58" s="85"/>
      <c r="J58" s="4"/>
      <c r="K58" s="4"/>
      <c r="L58" s="4"/>
      <c r="M58" s="4"/>
      <c r="N58" s="4"/>
      <c r="O58" s="4"/>
      <c r="P58" s="4"/>
    </row>
    <row r="59" spans="1:16" ht="18.600000000000001" customHeight="1" x14ac:dyDescent="0.2">
      <c r="A59" s="35">
        <f t="shared" si="6"/>
        <v>25</v>
      </c>
      <c r="B59" s="11"/>
      <c r="C59" s="12"/>
      <c r="D59" s="9"/>
      <c r="E59" s="12"/>
      <c r="F59" s="12"/>
      <c r="G59" s="12"/>
      <c r="H59" s="12"/>
      <c r="I59" s="86"/>
      <c r="J59" s="12"/>
      <c r="K59" s="12"/>
      <c r="L59" s="12"/>
      <c r="M59" s="12"/>
      <c r="N59" s="12"/>
      <c r="O59" s="12"/>
      <c r="P59" s="12"/>
    </row>
    <row r="60" spans="1:16" ht="18.600000000000001" customHeight="1" x14ac:dyDescent="0.3">
      <c r="A60" s="147"/>
      <c r="B60" s="148"/>
      <c r="C60" s="147"/>
      <c r="D60" s="149"/>
      <c r="E60" s="150">
        <f>SUBTOTAL(9,E35:E59)</f>
        <v>0</v>
      </c>
      <c r="F60" s="152"/>
      <c r="G60" s="150">
        <f t="shared" ref="G60" si="7">SUBTOTAL(9,G35:G59)</f>
        <v>0</v>
      </c>
      <c r="H60" s="152"/>
      <c r="I60" s="150">
        <f t="shared" ref="I60" si="8">SUBTOTAL(9,I35:I59)</f>
        <v>0</v>
      </c>
      <c r="J60" s="152"/>
      <c r="K60" s="152"/>
      <c r="L60" s="152"/>
      <c r="M60" s="150">
        <f t="shared" ref="M60" si="9">SUBTOTAL(9,M35:M59)</f>
        <v>0</v>
      </c>
      <c r="N60" s="152"/>
      <c r="O60" s="150">
        <f t="shared" ref="O60" si="10">SUBTOTAL(9,O35:O59)</f>
        <v>0</v>
      </c>
      <c r="P60" s="152"/>
    </row>
    <row r="61" spans="1:16" ht="18.600000000000001" customHeight="1" x14ac:dyDescent="0.2">
      <c r="A61" s="434" t="str">
        <f>A31</f>
        <v>DANH SÁCH LỚP TA NƯỚC NGOÀI</v>
      </c>
      <c r="B61" s="434"/>
      <c r="C61" s="434"/>
      <c r="D61" s="434"/>
      <c r="E61" s="434"/>
      <c r="F61" s="434"/>
      <c r="G61" s="434"/>
      <c r="H61" s="434"/>
      <c r="I61" s="92">
        <v>4</v>
      </c>
      <c r="J61" s="48"/>
      <c r="K61" s="48"/>
      <c r="L61" s="48"/>
      <c r="M61" s="41"/>
      <c r="N61" s="41"/>
      <c r="O61" s="41"/>
      <c r="P61" s="41"/>
    </row>
    <row r="62" spans="1:16" ht="18.600000000000001" customHeight="1" x14ac:dyDescent="0.2">
      <c r="A62" s="28"/>
      <c r="B62" s="29"/>
      <c r="C62" s="30"/>
      <c r="D62" s="36"/>
      <c r="E62" s="28"/>
      <c r="F62" s="28"/>
      <c r="G62" s="28"/>
      <c r="H62" s="28"/>
      <c r="I62" s="79"/>
      <c r="J62" s="28"/>
      <c r="K62" s="28"/>
      <c r="L62" s="28"/>
      <c r="M62" s="28"/>
      <c r="N62" s="28"/>
      <c r="O62" s="28"/>
      <c r="P62" s="28"/>
    </row>
    <row r="63" spans="1:16" ht="18.600000000000001" customHeight="1" x14ac:dyDescent="0.2">
      <c r="A63" s="435" t="s">
        <v>374</v>
      </c>
      <c r="B63" s="435" t="s">
        <v>380</v>
      </c>
      <c r="C63" s="435" t="s">
        <v>383</v>
      </c>
      <c r="D63" s="437" t="s">
        <v>384</v>
      </c>
      <c r="E63" s="438" t="s">
        <v>385</v>
      </c>
      <c r="F63" s="439"/>
      <c r="G63" s="432" t="str">
        <f>$R$1</f>
        <v>Đợt 6</v>
      </c>
      <c r="H63" s="433"/>
      <c r="I63" s="432" t="str">
        <f>$T$1</f>
        <v>Đợt 7</v>
      </c>
      <c r="J63" s="433"/>
      <c r="K63" s="432" t="str">
        <f>$V$1</f>
        <v>Đợt 8</v>
      </c>
      <c r="L63" s="433"/>
      <c r="M63" s="432" t="str">
        <f>$X$1</f>
        <v>Đợt 9</v>
      </c>
      <c r="N63" s="433"/>
      <c r="O63" s="432" t="str">
        <f>$Z$1</f>
        <v>Đợt 10</v>
      </c>
      <c r="P63" s="433"/>
    </row>
    <row r="64" spans="1:16" ht="18.600000000000001" customHeight="1" x14ac:dyDescent="0.2">
      <c r="A64" s="436"/>
      <c r="B64" s="436"/>
      <c r="C64" s="436"/>
      <c r="D64" s="436"/>
      <c r="E64" s="31" t="s">
        <v>381</v>
      </c>
      <c r="F64" s="31" t="s">
        <v>382</v>
      </c>
      <c r="G64" s="31" t="s">
        <v>381</v>
      </c>
      <c r="H64" s="31" t="s">
        <v>382</v>
      </c>
      <c r="I64" s="80" t="s">
        <v>381</v>
      </c>
      <c r="J64" s="31" t="s">
        <v>382</v>
      </c>
      <c r="K64" s="80" t="s">
        <v>381</v>
      </c>
      <c r="L64" s="31" t="s">
        <v>382</v>
      </c>
      <c r="M64" s="31" t="s">
        <v>381</v>
      </c>
      <c r="N64" s="31" t="s">
        <v>382</v>
      </c>
      <c r="O64" s="31" t="s">
        <v>381</v>
      </c>
      <c r="P64" s="31" t="s">
        <v>382</v>
      </c>
    </row>
    <row r="65" spans="1:16" ht="18.600000000000001" customHeight="1" x14ac:dyDescent="0.2">
      <c r="A65" s="32">
        <v>1</v>
      </c>
      <c r="B65" s="24" t="s">
        <v>142</v>
      </c>
      <c r="C65" s="24" t="s">
        <v>12</v>
      </c>
      <c r="D65" s="163"/>
      <c r="E65" s="32"/>
      <c r="F65" s="34"/>
      <c r="G65" s="32"/>
      <c r="H65" s="93"/>
      <c r="I65" s="81"/>
      <c r="J65" s="34"/>
      <c r="K65" s="34"/>
      <c r="L65" s="34"/>
      <c r="M65" s="32"/>
      <c r="N65" s="34"/>
      <c r="O65" s="32"/>
      <c r="P65" s="34"/>
    </row>
    <row r="66" spans="1:16" ht="18.600000000000001" customHeight="1" x14ac:dyDescent="0.2">
      <c r="A66" s="7">
        <f t="shared" ref="A66:A89" si="11">A65+1</f>
        <v>2</v>
      </c>
      <c r="B66" s="24" t="s">
        <v>145</v>
      </c>
      <c r="C66" s="24" t="s">
        <v>15</v>
      </c>
      <c r="D66" s="26"/>
      <c r="E66" s="7"/>
      <c r="F66" s="7"/>
      <c r="G66" s="7"/>
      <c r="H66" s="7"/>
      <c r="I66" s="82"/>
      <c r="J66" s="7"/>
      <c r="K66" s="7"/>
      <c r="L66" s="7"/>
      <c r="M66" s="7"/>
      <c r="N66" s="7"/>
      <c r="O66" s="7"/>
      <c r="P66" s="7"/>
    </row>
    <row r="67" spans="1:16" ht="18.600000000000001" customHeight="1" x14ac:dyDescent="0.2">
      <c r="A67" s="7">
        <f t="shared" si="11"/>
        <v>3</v>
      </c>
      <c r="B67" s="25" t="s">
        <v>136</v>
      </c>
      <c r="C67" s="25" t="s">
        <v>6</v>
      </c>
      <c r="D67" s="24">
        <v>345688872</v>
      </c>
      <c r="E67" s="7"/>
      <c r="F67" s="7"/>
      <c r="G67" s="7"/>
      <c r="H67" s="7"/>
      <c r="I67" s="82"/>
      <c r="J67" s="7"/>
      <c r="K67" s="7"/>
      <c r="L67" s="7"/>
      <c r="M67" s="7"/>
      <c r="N67" s="7"/>
      <c r="O67" s="7"/>
      <c r="P67" s="7"/>
    </row>
    <row r="68" spans="1:16" ht="18.600000000000001" customHeight="1" x14ac:dyDescent="0.2">
      <c r="A68" s="7">
        <f t="shared" si="11"/>
        <v>4</v>
      </c>
      <c r="B68" s="26" t="s">
        <v>577</v>
      </c>
      <c r="C68" s="26" t="s">
        <v>49</v>
      </c>
      <c r="D68" s="163"/>
      <c r="E68" s="7"/>
      <c r="F68" s="7"/>
      <c r="G68" s="7"/>
      <c r="H68" s="7"/>
      <c r="I68" s="82"/>
      <c r="J68" s="7"/>
      <c r="K68" s="7"/>
      <c r="L68" s="7"/>
      <c r="M68" s="7"/>
      <c r="N68" s="7"/>
      <c r="O68" s="7"/>
      <c r="P68" s="7"/>
    </row>
    <row r="69" spans="1:16" ht="18.600000000000001" customHeight="1" x14ac:dyDescent="0.2">
      <c r="A69" s="6">
        <f t="shared" si="11"/>
        <v>5</v>
      </c>
      <c r="B69" s="24" t="s">
        <v>1052</v>
      </c>
      <c r="C69" s="24" t="s">
        <v>678</v>
      </c>
      <c r="D69" s="163" t="s">
        <v>1053</v>
      </c>
      <c r="E69" s="16"/>
      <c r="F69" s="16"/>
      <c r="G69" s="16"/>
      <c r="H69" s="16"/>
      <c r="I69" s="83"/>
      <c r="J69" s="16"/>
      <c r="K69" s="16"/>
      <c r="L69" s="16"/>
      <c r="M69" s="16"/>
      <c r="N69" s="16"/>
      <c r="O69" s="16"/>
      <c r="P69" s="16"/>
    </row>
    <row r="70" spans="1:16" ht="18.600000000000001" customHeight="1" x14ac:dyDescent="0.3">
      <c r="A70" s="56">
        <f t="shared" si="11"/>
        <v>6</v>
      </c>
      <c r="B70" s="143" t="s">
        <v>876</v>
      </c>
      <c r="C70" s="143" t="s">
        <v>18</v>
      </c>
      <c r="D70" s="143">
        <v>399308438</v>
      </c>
      <c r="E70" s="2"/>
      <c r="F70" s="2"/>
      <c r="G70" s="2"/>
      <c r="H70" s="2"/>
      <c r="I70" s="84"/>
      <c r="J70" s="2"/>
      <c r="K70" s="2"/>
      <c r="L70" s="2"/>
      <c r="M70" s="2"/>
      <c r="N70" s="2"/>
      <c r="O70" s="2"/>
      <c r="P70" s="2"/>
    </row>
    <row r="71" spans="1:16" ht="18.600000000000001" customHeight="1" x14ac:dyDescent="0.3">
      <c r="A71" s="6">
        <f t="shared" si="11"/>
        <v>7</v>
      </c>
      <c r="B71" s="143" t="s">
        <v>16</v>
      </c>
      <c r="C71" s="143" t="s">
        <v>704</v>
      </c>
      <c r="D71" s="143"/>
      <c r="E71" s="4"/>
      <c r="F71" s="4"/>
      <c r="G71" s="4"/>
      <c r="H71" s="4"/>
      <c r="I71" s="85"/>
      <c r="J71" s="4"/>
      <c r="K71" s="4"/>
      <c r="L71" s="4"/>
      <c r="M71" s="4"/>
      <c r="N71" s="4"/>
      <c r="O71" s="4"/>
      <c r="P71" s="4"/>
    </row>
    <row r="72" spans="1:16" ht="18.600000000000001" customHeight="1" x14ac:dyDescent="0.2">
      <c r="A72" s="6">
        <f t="shared" si="11"/>
        <v>8</v>
      </c>
      <c r="B72" s="26" t="s">
        <v>468</v>
      </c>
      <c r="C72" s="26" t="s">
        <v>469</v>
      </c>
      <c r="D72" s="163">
        <v>964313208</v>
      </c>
      <c r="E72" s="4"/>
      <c r="F72" s="4"/>
      <c r="G72" s="4"/>
      <c r="H72" s="4"/>
      <c r="I72" s="85"/>
      <c r="J72" s="4"/>
      <c r="K72" s="4"/>
      <c r="L72" s="4"/>
      <c r="M72" s="4"/>
      <c r="N72" s="4"/>
      <c r="O72" s="4"/>
      <c r="P72" s="4"/>
    </row>
    <row r="73" spans="1:16" ht="18.600000000000001" customHeight="1" x14ac:dyDescent="0.2">
      <c r="A73" s="6">
        <f t="shared" si="11"/>
        <v>9</v>
      </c>
      <c r="B73" s="26" t="s">
        <v>877</v>
      </c>
      <c r="C73" s="26" t="s">
        <v>13</v>
      </c>
      <c r="D73" s="163">
        <v>362088079</v>
      </c>
      <c r="E73" s="4"/>
      <c r="F73" s="4"/>
      <c r="G73" s="4"/>
      <c r="H73" s="4"/>
      <c r="I73" s="85"/>
      <c r="J73" s="4"/>
      <c r="K73" s="4"/>
      <c r="L73" s="4"/>
      <c r="M73" s="4"/>
      <c r="N73" s="4"/>
      <c r="O73" s="4"/>
      <c r="P73" s="4"/>
    </row>
    <row r="74" spans="1:16" ht="18.600000000000001" customHeight="1" x14ac:dyDescent="0.2">
      <c r="A74" s="10">
        <f t="shared" si="11"/>
        <v>10</v>
      </c>
      <c r="B74" s="25" t="s">
        <v>978</v>
      </c>
      <c r="C74" s="25" t="s">
        <v>13</v>
      </c>
      <c r="D74" s="24" t="s">
        <v>1057</v>
      </c>
      <c r="E74" s="12"/>
      <c r="F74" s="12"/>
      <c r="G74" s="12"/>
      <c r="H74" s="12"/>
      <c r="I74" s="86"/>
      <c r="J74" s="12"/>
      <c r="K74" s="12"/>
      <c r="L74" s="12"/>
      <c r="M74" s="12"/>
      <c r="N74" s="12"/>
      <c r="O74" s="12"/>
      <c r="P74" s="12"/>
    </row>
    <row r="75" spans="1:16" ht="18.600000000000001" customHeight="1" x14ac:dyDescent="0.3">
      <c r="A75" s="35">
        <f t="shared" si="11"/>
        <v>11</v>
      </c>
      <c r="B75" s="39" t="s">
        <v>1056</v>
      </c>
      <c r="C75" s="24" t="s">
        <v>413</v>
      </c>
      <c r="D75" s="163"/>
      <c r="E75" s="14"/>
      <c r="F75" s="14"/>
      <c r="G75" s="14"/>
      <c r="H75" s="14"/>
      <c r="I75" s="87"/>
      <c r="J75" s="14"/>
      <c r="K75" s="14"/>
      <c r="L75" s="14"/>
      <c r="M75" s="14"/>
      <c r="N75" s="14"/>
      <c r="O75" s="14"/>
      <c r="P75" s="14"/>
    </row>
    <row r="76" spans="1:16" ht="18.600000000000001" customHeight="1" x14ac:dyDescent="0.2">
      <c r="A76" s="7">
        <f t="shared" si="11"/>
        <v>12</v>
      </c>
      <c r="B76" s="26" t="s">
        <v>468</v>
      </c>
      <c r="C76" s="26" t="s">
        <v>45</v>
      </c>
      <c r="D76" s="163">
        <v>964313208</v>
      </c>
      <c r="E76" s="4"/>
      <c r="F76" s="4"/>
      <c r="G76" s="4"/>
      <c r="H76" s="4"/>
      <c r="I76" s="85"/>
      <c r="J76" s="4"/>
      <c r="K76" s="4"/>
      <c r="L76" s="4"/>
      <c r="M76" s="4"/>
      <c r="N76" s="4"/>
      <c r="O76" s="4"/>
      <c r="P76" s="4"/>
    </row>
    <row r="77" spans="1:16" ht="18.600000000000001" customHeight="1" x14ac:dyDescent="0.2">
      <c r="A77" s="7">
        <f t="shared" si="11"/>
        <v>13</v>
      </c>
      <c r="B77" s="25" t="s">
        <v>139</v>
      </c>
      <c r="C77" s="25" t="s">
        <v>9</v>
      </c>
      <c r="D77" s="163"/>
      <c r="E77" s="4"/>
      <c r="F77" s="4"/>
      <c r="G77" s="4"/>
      <c r="H77" s="4"/>
      <c r="I77" s="85"/>
      <c r="J77" s="4"/>
      <c r="K77" s="4"/>
      <c r="L77" s="4"/>
      <c r="M77" s="4"/>
      <c r="N77" s="4"/>
      <c r="O77" s="4"/>
      <c r="P77" s="4"/>
    </row>
    <row r="78" spans="1:16" ht="18.600000000000001" customHeight="1" x14ac:dyDescent="0.2">
      <c r="A78" s="7">
        <f t="shared" si="11"/>
        <v>14</v>
      </c>
      <c r="B78" s="24" t="s">
        <v>137</v>
      </c>
      <c r="C78" s="24" t="s">
        <v>875</v>
      </c>
      <c r="D78" s="27"/>
      <c r="E78" s="4"/>
      <c r="F78" s="4"/>
      <c r="G78" s="4"/>
      <c r="H78" s="4"/>
      <c r="I78" s="85"/>
      <c r="J78" s="4"/>
      <c r="K78" s="4"/>
      <c r="L78" s="4"/>
      <c r="M78" s="4"/>
      <c r="N78" s="4"/>
      <c r="O78" s="4"/>
      <c r="P78" s="4"/>
    </row>
    <row r="79" spans="1:16" ht="18.600000000000001" customHeight="1" x14ac:dyDescent="0.2">
      <c r="A79" s="6">
        <f t="shared" si="11"/>
        <v>15</v>
      </c>
      <c r="B79" s="25" t="s">
        <v>137</v>
      </c>
      <c r="C79" s="25" t="s">
        <v>80</v>
      </c>
      <c r="D79" s="163" t="s">
        <v>874</v>
      </c>
      <c r="E79" s="16"/>
      <c r="F79" s="16"/>
      <c r="G79" s="16"/>
      <c r="H79" s="16"/>
      <c r="I79" s="83"/>
      <c r="J79" s="16"/>
      <c r="K79" s="16"/>
      <c r="L79" s="16"/>
      <c r="M79" s="16"/>
      <c r="N79" s="16"/>
      <c r="O79" s="16"/>
      <c r="P79" s="16"/>
    </row>
    <row r="80" spans="1:16" ht="18.600000000000001" customHeight="1" x14ac:dyDescent="0.2">
      <c r="A80" s="32">
        <f t="shared" si="11"/>
        <v>16</v>
      </c>
      <c r="B80" s="26" t="s">
        <v>871</v>
      </c>
      <c r="C80" s="26" t="s">
        <v>32</v>
      </c>
      <c r="D80" s="163"/>
      <c r="E80" s="2"/>
      <c r="F80" s="2"/>
      <c r="G80" s="2"/>
      <c r="H80" s="2"/>
      <c r="I80" s="84"/>
      <c r="J80" s="2"/>
      <c r="K80" s="2"/>
      <c r="L80" s="2"/>
      <c r="M80" s="2"/>
      <c r="N80" s="2"/>
      <c r="O80" s="2"/>
      <c r="P80" s="2"/>
    </row>
    <row r="81" spans="1:16" ht="18.600000000000001" customHeight="1" x14ac:dyDescent="0.3">
      <c r="A81" s="7">
        <f t="shared" si="11"/>
        <v>17</v>
      </c>
      <c r="B81" s="143" t="s">
        <v>770</v>
      </c>
      <c r="C81" s="146" t="s">
        <v>20</v>
      </c>
      <c r="D81" s="143">
        <v>944502030</v>
      </c>
      <c r="E81" s="4"/>
      <c r="F81" s="4"/>
      <c r="G81" s="4"/>
      <c r="H81" s="4"/>
      <c r="I81" s="85"/>
      <c r="J81" s="4"/>
      <c r="K81" s="4"/>
      <c r="L81" s="4"/>
      <c r="M81" s="4"/>
      <c r="N81" s="4"/>
      <c r="O81" s="4"/>
      <c r="P81" s="4"/>
    </row>
    <row r="82" spans="1:16" ht="18.600000000000001" customHeight="1" x14ac:dyDescent="0.2">
      <c r="A82" s="7">
        <f t="shared" si="11"/>
        <v>18</v>
      </c>
      <c r="B82" s="26" t="s">
        <v>576</v>
      </c>
      <c r="C82" s="26" t="s">
        <v>20</v>
      </c>
      <c r="D82" s="163"/>
      <c r="E82" s="4"/>
      <c r="F82" s="4"/>
      <c r="G82" s="4"/>
      <c r="H82" s="4"/>
      <c r="I82" s="85"/>
      <c r="J82" s="4"/>
      <c r="K82" s="4"/>
      <c r="L82" s="4"/>
      <c r="M82" s="4"/>
      <c r="N82" s="4"/>
      <c r="O82" s="4"/>
      <c r="P82" s="4"/>
    </row>
    <row r="83" spans="1:16" ht="18.600000000000001" customHeight="1" x14ac:dyDescent="0.3">
      <c r="A83" s="7">
        <f t="shared" si="11"/>
        <v>19</v>
      </c>
      <c r="B83" s="143" t="s">
        <v>267</v>
      </c>
      <c r="C83" s="143" t="s">
        <v>79</v>
      </c>
      <c r="D83" s="143">
        <v>352819874</v>
      </c>
      <c r="E83" s="4"/>
      <c r="F83" s="4"/>
      <c r="G83" s="4"/>
      <c r="H83" s="4"/>
      <c r="I83" s="85"/>
      <c r="J83" s="4"/>
      <c r="K83" s="4"/>
      <c r="L83" s="4"/>
      <c r="M83" s="4"/>
      <c r="N83" s="4"/>
      <c r="O83" s="4"/>
      <c r="P83" s="4"/>
    </row>
    <row r="84" spans="1:16" ht="18.600000000000001" customHeight="1" x14ac:dyDescent="0.2">
      <c r="A84" s="10">
        <f t="shared" si="11"/>
        <v>20</v>
      </c>
      <c r="B84" s="11"/>
      <c r="C84" s="12"/>
      <c r="D84" s="9"/>
      <c r="E84" s="12"/>
      <c r="F84" s="12"/>
      <c r="G84" s="12"/>
      <c r="H84" s="12"/>
      <c r="I84" s="86"/>
      <c r="J84" s="12"/>
      <c r="K84" s="12"/>
      <c r="L84" s="12"/>
      <c r="M84" s="12"/>
      <c r="N84" s="12"/>
      <c r="O84" s="12"/>
      <c r="P84" s="12"/>
    </row>
    <row r="85" spans="1:16" ht="18.600000000000001" customHeight="1" x14ac:dyDescent="0.2">
      <c r="A85" s="35">
        <f t="shared" si="11"/>
        <v>21</v>
      </c>
      <c r="B85" s="13"/>
      <c r="C85" s="14"/>
      <c r="D85" s="37"/>
      <c r="E85" s="14"/>
      <c r="F85" s="14"/>
      <c r="G85" s="14"/>
      <c r="H85" s="14"/>
      <c r="I85" s="87"/>
      <c r="J85" s="14"/>
      <c r="K85" s="14"/>
      <c r="L85" s="14"/>
      <c r="M85" s="14"/>
      <c r="N85" s="14"/>
      <c r="O85" s="14"/>
      <c r="P85" s="14"/>
    </row>
    <row r="86" spans="1:16" ht="18.600000000000001" customHeight="1" x14ac:dyDescent="0.2">
      <c r="A86" s="7">
        <f t="shared" si="11"/>
        <v>22</v>
      </c>
      <c r="B86" s="3"/>
      <c r="C86" s="4"/>
      <c r="D86" s="8"/>
      <c r="E86" s="4"/>
      <c r="F86" s="4"/>
      <c r="G86" s="4"/>
      <c r="H86" s="4"/>
      <c r="I86" s="85"/>
      <c r="J86" s="4"/>
      <c r="K86" s="4"/>
      <c r="L86" s="4"/>
      <c r="M86" s="4"/>
      <c r="N86" s="4"/>
      <c r="O86" s="4"/>
      <c r="P86" s="4"/>
    </row>
    <row r="87" spans="1:16" ht="18.600000000000001" customHeight="1" x14ac:dyDescent="0.2">
      <c r="A87" s="35">
        <f t="shared" si="11"/>
        <v>23</v>
      </c>
      <c r="B87" s="3"/>
      <c r="C87" s="4"/>
      <c r="D87" s="8"/>
      <c r="E87" s="4"/>
      <c r="F87" s="4"/>
      <c r="G87" s="4"/>
      <c r="H87" s="4"/>
      <c r="I87" s="85"/>
      <c r="J87" s="4"/>
      <c r="K87" s="4"/>
      <c r="L87" s="4"/>
      <c r="M87" s="4"/>
      <c r="N87" s="4"/>
      <c r="O87" s="4"/>
      <c r="P87" s="4"/>
    </row>
    <row r="88" spans="1:16" ht="18.600000000000001" customHeight="1" x14ac:dyDescent="0.2">
      <c r="A88" s="7">
        <f t="shared" si="11"/>
        <v>24</v>
      </c>
      <c r="B88" s="3"/>
      <c r="C88" s="4"/>
      <c r="D88" s="8"/>
      <c r="E88" s="4"/>
      <c r="F88" s="4"/>
      <c r="G88" s="4"/>
      <c r="H88" s="4"/>
      <c r="I88" s="85"/>
      <c r="J88" s="4"/>
      <c r="K88" s="4"/>
      <c r="L88" s="4"/>
      <c r="M88" s="4"/>
      <c r="N88" s="4"/>
      <c r="O88" s="4"/>
      <c r="P88" s="4"/>
    </row>
    <row r="89" spans="1:16" ht="18.600000000000001" customHeight="1" x14ac:dyDescent="0.2">
      <c r="A89" s="35">
        <f t="shared" si="11"/>
        <v>25</v>
      </c>
      <c r="B89" s="11"/>
      <c r="C89" s="12"/>
      <c r="D89" s="9"/>
      <c r="E89" s="12"/>
      <c r="F89" s="12"/>
      <c r="G89" s="12"/>
      <c r="H89" s="12"/>
      <c r="I89" s="86"/>
      <c r="J89" s="12"/>
      <c r="K89" s="12"/>
      <c r="L89" s="12"/>
      <c r="M89" s="12"/>
      <c r="N89" s="12"/>
      <c r="O89" s="12"/>
      <c r="P89" s="12"/>
    </row>
    <row r="90" spans="1:16" ht="18.600000000000001" customHeight="1" x14ac:dyDescent="0.3">
      <c r="A90" s="147"/>
      <c r="B90" s="148"/>
      <c r="C90" s="147"/>
      <c r="D90" s="149"/>
      <c r="E90" s="150">
        <f>SUBTOTAL(9,E65:E89)</f>
        <v>0</v>
      </c>
      <c r="F90" s="152"/>
      <c r="G90" s="150">
        <f t="shared" ref="G90" si="12">SUBTOTAL(9,G65:G89)</f>
        <v>0</v>
      </c>
      <c r="H90" s="152"/>
      <c r="I90" s="150">
        <f t="shared" ref="I90" si="13">SUBTOTAL(9,I65:I89)</f>
        <v>0</v>
      </c>
      <c r="J90" s="152"/>
      <c r="K90" s="152"/>
      <c r="L90" s="152"/>
      <c r="M90" s="150">
        <f t="shared" ref="M90" si="14">SUBTOTAL(9,M65:M89)</f>
        <v>0</v>
      </c>
      <c r="N90" s="152"/>
      <c r="O90" s="150">
        <f t="shared" ref="O90" si="15">SUBTOTAL(9,O65:O89)</f>
        <v>0</v>
      </c>
      <c r="P90" s="152"/>
    </row>
    <row r="91" spans="1:16" ht="18.600000000000001" customHeight="1" x14ac:dyDescent="0.2">
      <c r="A91" s="434" t="str">
        <f>A61</f>
        <v>DANH SÁCH LỚP TA NƯỚC NGOÀI</v>
      </c>
      <c r="B91" s="434"/>
      <c r="C91" s="434"/>
      <c r="D91" s="434"/>
      <c r="E91" s="434"/>
      <c r="F91" s="434"/>
      <c r="G91" s="434"/>
      <c r="H91" s="434"/>
      <c r="I91" s="92">
        <v>5</v>
      </c>
      <c r="J91" s="48"/>
      <c r="K91" s="48"/>
      <c r="L91" s="48"/>
      <c r="M91" s="41"/>
      <c r="N91" s="41"/>
      <c r="O91" s="41"/>
      <c r="P91" s="41"/>
    </row>
    <row r="92" spans="1:16" ht="18.600000000000001" customHeight="1" x14ac:dyDescent="0.2">
      <c r="A92" s="28"/>
      <c r="B92" s="29"/>
      <c r="C92" s="30"/>
      <c r="D92" s="36"/>
      <c r="E92" s="28"/>
      <c r="F92" s="28"/>
      <c r="G92" s="28"/>
      <c r="H92" s="28"/>
      <c r="I92" s="79"/>
      <c r="J92" s="28"/>
      <c r="K92" s="28"/>
      <c r="L92" s="28"/>
      <c r="M92" s="28"/>
      <c r="N92" s="28"/>
      <c r="O92" s="28"/>
      <c r="P92" s="28"/>
    </row>
    <row r="93" spans="1:16" ht="18.600000000000001" customHeight="1" x14ac:dyDescent="0.2">
      <c r="A93" s="435" t="s">
        <v>374</v>
      </c>
      <c r="B93" s="435" t="s">
        <v>380</v>
      </c>
      <c r="C93" s="435" t="s">
        <v>383</v>
      </c>
      <c r="D93" s="437" t="s">
        <v>384</v>
      </c>
      <c r="E93" s="438" t="s">
        <v>385</v>
      </c>
      <c r="F93" s="439"/>
      <c r="G93" s="432" t="str">
        <f>$R$1</f>
        <v>Đợt 6</v>
      </c>
      <c r="H93" s="433"/>
      <c r="I93" s="432" t="str">
        <f>$T$1</f>
        <v>Đợt 7</v>
      </c>
      <c r="J93" s="433"/>
      <c r="K93" s="432" t="str">
        <f>$V$1</f>
        <v>Đợt 8</v>
      </c>
      <c r="L93" s="433"/>
      <c r="M93" s="432" t="str">
        <f>$X$1</f>
        <v>Đợt 9</v>
      </c>
      <c r="N93" s="433"/>
      <c r="O93" s="432" t="str">
        <f>$Z$1</f>
        <v>Đợt 10</v>
      </c>
      <c r="P93" s="433"/>
    </row>
    <row r="94" spans="1:16" ht="18.600000000000001" customHeight="1" x14ac:dyDescent="0.2">
      <c r="A94" s="436"/>
      <c r="B94" s="436"/>
      <c r="C94" s="436"/>
      <c r="D94" s="436"/>
      <c r="E94" s="31" t="s">
        <v>381</v>
      </c>
      <c r="F94" s="31" t="s">
        <v>382</v>
      </c>
      <c r="G94" s="31" t="s">
        <v>381</v>
      </c>
      <c r="H94" s="31" t="s">
        <v>382</v>
      </c>
      <c r="I94" s="80" t="s">
        <v>381</v>
      </c>
      <c r="J94" s="31" t="s">
        <v>382</v>
      </c>
      <c r="K94" s="80" t="s">
        <v>381</v>
      </c>
      <c r="L94" s="31" t="s">
        <v>382</v>
      </c>
      <c r="M94" s="31" t="s">
        <v>381</v>
      </c>
      <c r="N94" s="31" t="s">
        <v>382</v>
      </c>
      <c r="O94" s="31" t="s">
        <v>381</v>
      </c>
      <c r="P94" s="31" t="s">
        <v>382</v>
      </c>
    </row>
    <row r="95" spans="1:16" ht="18.600000000000001" customHeight="1" x14ac:dyDescent="0.2">
      <c r="A95" s="32">
        <v>1</v>
      </c>
      <c r="B95" s="24" t="s">
        <v>526</v>
      </c>
      <c r="C95" s="24" t="s">
        <v>14</v>
      </c>
      <c r="D95" s="24"/>
      <c r="E95" s="32"/>
      <c r="F95" s="34"/>
      <c r="G95" s="32"/>
      <c r="H95" s="93"/>
      <c r="I95" s="81"/>
      <c r="J95" s="34"/>
      <c r="K95" s="34"/>
      <c r="L95" s="34"/>
      <c r="M95" s="32"/>
      <c r="N95" s="34"/>
      <c r="O95" s="32"/>
      <c r="P95" s="34"/>
    </row>
    <row r="96" spans="1:16" ht="18.600000000000001" customHeight="1" x14ac:dyDescent="0.2">
      <c r="A96" s="7">
        <f t="shared" ref="A96:A119" si="16">A95+1</f>
        <v>2</v>
      </c>
      <c r="B96" s="26" t="s">
        <v>156</v>
      </c>
      <c r="C96" s="26" t="s">
        <v>21</v>
      </c>
      <c r="D96" s="163"/>
      <c r="E96" s="7"/>
      <c r="F96" s="7"/>
      <c r="G96" s="7"/>
      <c r="H96" s="7"/>
      <c r="I96" s="82"/>
      <c r="J96" s="7"/>
      <c r="K96" s="7"/>
      <c r="L96" s="7"/>
      <c r="M96" s="7"/>
      <c r="N96" s="7"/>
      <c r="O96" s="7"/>
      <c r="P96" s="7"/>
    </row>
    <row r="97" spans="1:16" ht="18.600000000000001" customHeight="1" x14ac:dyDescent="0.2">
      <c r="A97" s="7">
        <f t="shared" si="16"/>
        <v>3</v>
      </c>
      <c r="B97" s="26" t="s">
        <v>459</v>
      </c>
      <c r="C97" s="26" t="s">
        <v>460</v>
      </c>
      <c r="D97" s="25"/>
      <c r="E97" s="7"/>
      <c r="F97" s="7"/>
      <c r="G97" s="7"/>
      <c r="H97" s="7"/>
      <c r="I97" s="82"/>
      <c r="J97" s="7"/>
      <c r="K97" s="7"/>
      <c r="L97" s="7"/>
      <c r="M97" s="7"/>
      <c r="N97" s="7"/>
      <c r="O97" s="7"/>
      <c r="P97" s="7"/>
    </row>
    <row r="98" spans="1:16" ht="18.600000000000001" customHeight="1" x14ac:dyDescent="0.3">
      <c r="A98" s="7">
        <f t="shared" si="16"/>
        <v>4</v>
      </c>
      <c r="B98" s="143" t="s">
        <v>148</v>
      </c>
      <c r="C98" s="143" t="s">
        <v>18</v>
      </c>
      <c r="D98" s="143" t="s">
        <v>980</v>
      </c>
      <c r="E98" s="7"/>
      <c r="F98" s="7"/>
      <c r="G98" s="7"/>
      <c r="H98" s="7"/>
      <c r="I98" s="82"/>
      <c r="J98" s="7"/>
      <c r="K98" s="7"/>
      <c r="L98" s="7"/>
      <c r="M98" s="7"/>
      <c r="N98" s="7"/>
      <c r="O98" s="7"/>
      <c r="P98" s="7"/>
    </row>
    <row r="99" spans="1:16" ht="18.600000000000001" customHeight="1" x14ac:dyDescent="0.2">
      <c r="A99" s="6">
        <f t="shared" si="16"/>
        <v>5</v>
      </c>
      <c r="B99" s="26" t="s">
        <v>159</v>
      </c>
      <c r="C99" s="26" t="s">
        <v>24</v>
      </c>
      <c r="D99" s="163"/>
      <c r="E99" s="16"/>
      <c r="F99" s="16"/>
      <c r="G99" s="16"/>
      <c r="H99" s="16"/>
      <c r="I99" s="83"/>
      <c r="J99" s="16"/>
      <c r="K99" s="16"/>
      <c r="L99" s="16"/>
      <c r="M99" s="16"/>
      <c r="N99" s="16"/>
      <c r="O99" s="16"/>
      <c r="P99" s="16"/>
    </row>
    <row r="100" spans="1:16" ht="18.600000000000001" customHeight="1" x14ac:dyDescent="0.2">
      <c r="A100" s="56">
        <f t="shared" si="16"/>
        <v>6</v>
      </c>
      <c r="B100" s="24" t="s">
        <v>525</v>
      </c>
      <c r="C100" s="24" t="s">
        <v>19</v>
      </c>
      <c r="D100" s="24">
        <v>327461046</v>
      </c>
      <c r="E100" s="2"/>
      <c r="F100" s="2"/>
      <c r="G100" s="2"/>
      <c r="H100" s="2"/>
      <c r="I100" s="84"/>
      <c r="J100" s="2"/>
      <c r="K100" s="2"/>
      <c r="L100" s="2"/>
      <c r="M100" s="2"/>
      <c r="N100" s="2"/>
      <c r="O100" s="2"/>
      <c r="P100" s="2"/>
    </row>
    <row r="101" spans="1:16" ht="18.600000000000001" customHeight="1" x14ac:dyDescent="0.2">
      <c r="A101" s="6">
        <f t="shared" si="16"/>
        <v>7</v>
      </c>
      <c r="B101" s="26" t="s">
        <v>147</v>
      </c>
      <c r="C101" s="26" t="s">
        <v>17</v>
      </c>
      <c r="D101" s="163"/>
      <c r="E101" s="4"/>
      <c r="F101" s="4"/>
      <c r="G101" s="4"/>
      <c r="H101" s="4"/>
      <c r="I101" s="85"/>
      <c r="J101" s="4"/>
      <c r="K101" s="4"/>
      <c r="L101" s="4"/>
      <c r="M101" s="4"/>
      <c r="N101" s="4"/>
      <c r="O101" s="4"/>
      <c r="P101" s="4"/>
    </row>
    <row r="102" spans="1:16" ht="18.600000000000001" customHeight="1" x14ac:dyDescent="0.2">
      <c r="A102" s="6">
        <f t="shared" si="16"/>
        <v>8</v>
      </c>
      <c r="B102" s="26" t="s">
        <v>898</v>
      </c>
      <c r="C102" s="26" t="s">
        <v>101</v>
      </c>
      <c r="D102" s="164">
        <v>368611286</v>
      </c>
      <c r="E102" s="4"/>
      <c r="F102" s="4"/>
      <c r="G102" s="4"/>
      <c r="H102" s="4"/>
      <c r="I102" s="85"/>
      <c r="J102" s="4"/>
      <c r="K102" s="4"/>
      <c r="L102" s="4"/>
      <c r="M102" s="4"/>
      <c r="N102" s="4"/>
      <c r="O102" s="4"/>
      <c r="P102" s="4"/>
    </row>
    <row r="103" spans="1:16" ht="18.600000000000001" customHeight="1" x14ac:dyDescent="0.2">
      <c r="A103" s="6">
        <f t="shared" si="16"/>
        <v>9</v>
      </c>
      <c r="B103" s="26" t="s">
        <v>458</v>
      </c>
      <c r="C103" s="26" t="s">
        <v>50</v>
      </c>
      <c r="D103" s="26">
        <v>363230876</v>
      </c>
      <c r="E103" s="4"/>
      <c r="F103" s="4"/>
      <c r="G103" s="4"/>
      <c r="H103" s="4"/>
      <c r="I103" s="85"/>
      <c r="J103" s="4"/>
      <c r="K103" s="4"/>
      <c r="L103" s="4"/>
      <c r="M103" s="4"/>
      <c r="N103" s="4"/>
      <c r="O103" s="4"/>
      <c r="P103" s="4"/>
    </row>
    <row r="104" spans="1:16" ht="18.600000000000001" customHeight="1" x14ac:dyDescent="0.2">
      <c r="A104" s="10">
        <f t="shared" si="16"/>
        <v>10</v>
      </c>
      <c r="B104" s="62"/>
      <c r="C104" s="62"/>
      <c r="D104" s="23"/>
      <c r="E104" s="12"/>
      <c r="F104" s="12"/>
      <c r="G104" s="12"/>
      <c r="H104" s="12"/>
      <c r="I104" s="86"/>
      <c r="J104" s="12"/>
      <c r="K104" s="12"/>
      <c r="L104" s="12"/>
      <c r="M104" s="12"/>
      <c r="N104" s="12"/>
      <c r="O104" s="12"/>
      <c r="P104" s="12"/>
    </row>
    <row r="105" spans="1:16" ht="18.600000000000001" customHeight="1" x14ac:dyDescent="0.2">
      <c r="A105" s="35">
        <f t="shared" si="16"/>
        <v>11</v>
      </c>
      <c r="B105" s="60"/>
      <c r="C105" s="60"/>
      <c r="D105" s="61"/>
      <c r="E105" s="14"/>
      <c r="F105" s="14"/>
      <c r="G105" s="14"/>
      <c r="H105" s="14"/>
      <c r="I105" s="87"/>
      <c r="J105" s="14"/>
      <c r="K105" s="14"/>
      <c r="L105" s="14"/>
      <c r="M105" s="14"/>
      <c r="N105" s="14"/>
      <c r="O105" s="14"/>
      <c r="P105" s="14"/>
    </row>
    <row r="106" spans="1:16" ht="18.600000000000001" customHeight="1" x14ac:dyDescent="0.2">
      <c r="A106" s="7">
        <f t="shared" si="16"/>
        <v>12</v>
      </c>
      <c r="B106" s="26"/>
      <c r="C106" s="26"/>
      <c r="D106" s="22"/>
      <c r="E106" s="4"/>
      <c r="F106" s="4"/>
      <c r="G106" s="4"/>
      <c r="H106" s="4"/>
      <c r="I106" s="85"/>
      <c r="J106" s="4"/>
      <c r="K106" s="4"/>
      <c r="L106" s="4"/>
      <c r="M106" s="4"/>
      <c r="N106" s="4"/>
      <c r="O106" s="4"/>
      <c r="P106" s="4"/>
    </row>
    <row r="107" spans="1:16" ht="18.600000000000001" customHeight="1" x14ac:dyDescent="0.2">
      <c r="A107" s="7">
        <f t="shared" si="16"/>
        <v>13</v>
      </c>
      <c r="B107" s="26"/>
      <c r="C107" s="26"/>
      <c r="D107" s="22"/>
      <c r="E107" s="4"/>
      <c r="F107" s="4"/>
      <c r="G107" s="4"/>
      <c r="H107" s="4"/>
      <c r="I107" s="85"/>
      <c r="J107" s="4"/>
      <c r="K107" s="4"/>
      <c r="L107" s="4"/>
      <c r="M107" s="4"/>
      <c r="N107" s="4"/>
      <c r="O107" s="4"/>
      <c r="P107" s="4"/>
    </row>
    <row r="108" spans="1:16" ht="18.600000000000001" customHeight="1" x14ac:dyDescent="0.2">
      <c r="A108" s="7">
        <f t="shared" si="16"/>
        <v>14</v>
      </c>
      <c r="B108" s="3"/>
      <c r="C108" s="4"/>
      <c r="D108" s="8"/>
      <c r="E108" s="4"/>
      <c r="F108" s="4"/>
      <c r="G108" s="4"/>
      <c r="H108" s="4"/>
      <c r="I108" s="85"/>
      <c r="J108" s="4"/>
      <c r="K108" s="4"/>
      <c r="L108" s="4"/>
      <c r="M108" s="4"/>
      <c r="N108" s="4"/>
      <c r="O108" s="4"/>
      <c r="P108" s="4"/>
    </row>
    <row r="109" spans="1:16" ht="18.600000000000001" customHeight="1" x14ac:dyDescent="0.2">
      <c r="A109" s="6">
        <f t="shared" si="16"/>
        <v>15</v>
      </c>
      <c r="B109" s="15"/>
      <c r="C109" s="16"/>
      <c r="D109" s="5"/>
      <c r="E109" s="16"/>
      <c r="F109" s="16"/>
      <c r="G109" s="16"/>
      <c r="H109" s="16"/>
      <c r="I109" s="83"/>
      <c r="J109" s="16"/>
      <c r="K109" s="16"/>
      <c r="L109" s="16"/>
      <c r="M109" s="16"/>
      <c r="N109" s="16"/>
      <c r="O109" s="16"/>
      <c r="P109" s="16"/>
    </row>
    <row r="110" spans="1:16" ht="18.600000000000001" customHeight="1" x14ac:dyDescent="0.2">
      <c r="A110" s="32">
        <f t="shared" si="16"/>
        <v>16</v>
      </c>
      <c r="B110" s="1"/>
      <c r="C110" s="2"/>
      <c r="D110" s="33"/>
      <c r="E110" s="2"/>
      <c r="F110" s="2"/>
      <c r="G110" s="2"/>
      <c r="H110" s="2"/>
      <c r="I110" s="84"/>
      <c r="J110" s="2"/>
      <c r="K110" s="2"/>
      <c r="L110" s="2"/>
      <c r="M110" s="2"/>
      <c r="N110" s="2"/>
      <c r="O110" s="2"/>
      <c r="P110" s="2"/>
    </row>
    <row r="111" spans="1:16" ht="18.600000000000001" customHeight="1" x14ac:dyDescent="0.2">
      <c r="A111" s="7">
        <f t="shared" si="16"/>
        <v>17</v>
      </c>
      <c r="B111" s="3"/>
      <c r="C111" s="4"/>
      <c r="D111" s="8"/>
      <c r="E111" s="4"/>
      <c r="F111" s="4"/>
      <c r="G111" s="4"/>
      <c r="H111" s="4"/>
      <c r="I111" s="85"/>
      <c r="J111" s="4"/>
      <c r="K111" s="4"/>
      <c r="L111" s="4"/>
      <c r="M111" s="4"/>
      <c r="N111" s="4"/>
      <c r="O111" s="4"/>
      <c r="P111" s="4"/>
    </row>
    <row r="112" spans="1:16" ht="18.600000000000001" customHeight="1" x14ac:dyDescent="0.2">
      <c r="A112" s="7">
        <f t="shared" si="16"/>
        <v>18</v>
      </c>
      <c r="B112" s="3"/>
      <c r="C112" s="4"/>
      <c r="D112" s="8"/>
      <c r="E112" s="4"/>
      <c r="F112" s="4"/>
      <c r="G112" s="4"/>
      <c r="H112" s="4"/>
      <c r="I112" s="85"/>
      <c r="J112" s="4"/>
      <c r="K112" s="4"/>
      <c r="L112" s="4"/>
      <c r="M112" s="4"/>
      <c r="N112" s="4"/>
      <c r="O112" s="4"/>
      <c r="P112" s="4"/>
    </row>
    <row r="113" spans="1:16" ht="18.600000000000001" customHeight="1" x14ac:dyDescent="0.2">
      <c r="A113" s="7">
        <f t="shared" si="16"/>
        <v>19</v>
      </c>
      <c r="B113" s="3"/>
      <c r="C113" s="4"/>
      <c r="D113" s="8"/>
      <c r="E113" s="4"/>
      <c r="F113" s="4"/>
      <c r="G113" s="4"/>
      <c r="H113" s="4"/>
      <c r="I113" s="85"/>
      <c r="J113" s="4"/>
      <c r="K113" s="4"/>
      <c r="L113" s="4"/>
      <c r="M113" s="4"/>
      <c r="N113" s="4"/>
      <c r="O113" s="4"/>
      <c r="P113" s="4"/>
    </row>
    <row r="114" spans="1:16" ht="18.600000000000001" customHeight="1" x14ac:dyDescent="0.2">
      <c r="A114" s="10">
        <f t="shared" si="16"/>
        <v>20</v>
      </c>
      <c r="B114" s="11"/>
      <c r="C114" s="12"/>
      <c r="D114" s="9"/>
      <c r="E114" s="12"/>
      <c r="F114" s="12"/>
      <c r="G114" s="12"/>
      <c r="H114" s="12"/>
      <c r="I114" s="86"/>
      <c r="J114" s="12"/>
      <c r="K114" s="12"/>
      <c r="L114" s="12"/>
      <c r="M114" s="12"/>
      <c r="N114" s="12"/>
      <c r="O114" s="12"/>
      <c r="P114" s="12"/>
    </row>
    <row r="115" spans="1:16" ht="18.600000000000001" customHeight="1" x14ac:dyDescent="0.2">
      <c r="A115" s="35">
        <f t="shared" si="16"/>
        <v>21</v>
      </c>
      <c r="B115" s="13"/>
      <c r="C115" s="14"/>
      <c r="D115" s="37"/>
      <c r="E115" s="14"/>
      <c r="F115" s="14"/>
      <c r="G115" s="14"/>
      <c r="H115" s="14"/>
      <c r="I115" s="87"/>
      <c r="J115" s="14"/>
      <c r="K115" s="14"/>
      <c r="L115" s="14"/>
      <c r="M115" s="14"/>
      <c r="N115" s="14"/>
      <c r="O115" s="14"/>
      <c r="P115" s="14"/>
    </row>
    <row r="116" spans="1:16" ht="18.600000000000001" customHeight="1" x14ac:dyDescent="0.2">
      <c r="A116" s="7">
        <f t="shared" si="16"/>
        <v>22</v>
      </c>
      <c r="B116" s="3"/>
      <c r="C116" s="4"/>
      <c r="D116" s="8"/>
      <c r="E116" s="4"/>
      <c r="F116" s="4"/>
      <c r="G116" s="4"/>
      <c r="H116" s="4"/>
      <c r="I116" s="85"/>
      <c r="J116" s="4"/>
      <c r="K116" s="4"/>
      <c r="L116" s="4"/>
      <c r="M116" s="4"/>
      <c r="N116" s="4"/>
      <c r="O116" s="4"/>
      <c r="P116" s="4"/>
    </row>
    <row r="117" spans="1:16" ht="18.600000000000001" customHeight="1" x14ac:dyDescent="0.2">
      <c r="A117" s="35">
        <f t="shared" si="16"/>
        <v>23</v>
      </c>
      <c r="B117" s="3"/>
      <c r="C117" s="4"/>
      <c r="D117" s="8"/>
      <c r="E117" s="4"/>
      <c r="F117" s="4"/>
      <c r="G117" s="4"/>
      <c r="H117" s="4"/>
      <c r="I117" s="85"/>
      <c r="J117" s="4"/>
      <c r="K117" s="4"/>
      <c r="L117" s="4"/>
      <c r="M117" s="4"/>
      <c r="N117" s="4"/>
      <c r="O117" s="4"/>
      <c r="P117" s="4"/>
    </row>
    <row r="118" spans="1:16" ht="18.600000000000001" customHeight="1" x14ac:dyDescent="0.2">
      <c r="A118" s="7">
        <f t="shared" si="16"/>
        <v>24</v>
      </c>
      <c r="B118" s="3"/>
      <c r="C118" s="4"/>
      <c r="D118" s="8"/>
      <c r="E118" s="4"/>
      <c r="F118" s="4"/>
      <c r="G118" s="4"/>
      <c r="H118" s="4"/>
      <c r="I118" s="85"/>
      <c r="J118" s="4"/>
      <c r="K118" s="4"/>
      <c r="L118" s="4"/>
      <c r="M118" s="4"/>
      <c r="N118" s="4"/>
      <c r="O118" s="4"/>
      <c r="P118" s="4"/>
    </row>
    <row r="119" spans="1:16" ht="18.600000000000001" customHeight="1" x14ac:dyDescent="0.2">
      <c r="A119" s="35">
        <f t="shared" si="16"/>
        <v>25</v>
      </c>
      <c r="B119" s="11"/>
      <c r="C119" s="12"/>
      <c r="D119" s="9"/>
      <c r="E119" s="12"/>
      <c r="F119" s="12"/>
      <c r="G119" s="12"/>
      <c r="H119" s="12"/>
      <c r="I119" s="86"/>
      <c r="J119" s="12"/>
      <c r="K119" s="12"/>
      <c r="L119" s="12"/>
      <c r="M119" s="12"/>
      <c r="N119" s="12"/>
      <c r="O119" s="12"/>
      <c r="P119" s="12"/>
    </row>
    <row r="120" spans="1:16" ht="18.600000000000001" customHeight="1" x14ac:dyDescent="0.3">
      <c r="A120" s="147"/>
      <c r="B120" s="148"/>
      <c r="C120" s="147"/>
      <c r="D120" s="149"/>
      <c r="E120" s="150">
        <f>SUBTOTAL(9,E95:E119)</f>
        <v>0</v>
      </c>
      <c r="F120" s="152"/>
      <c r="G120" s="150">
        <f t="shared" ref="G120" si="17">SUBTOTAL(9,G95:G119)</f>
        <v>0</v>
      </c>
      <c r="H120" s="152"/>
      <c r="I120" s="150">
        <f t="shared" ref="I120" si="18">SUBTOTAL(9,I95:I119)</f>
        <v>0</v>
      </c>
      <c r="J120" s="152"/>
      <c r="K120" s="152"/>
      <c r="L120" s="152"/>
      <c r="M120" s="150">
        <f t="shared" ref="M120" si="19">SUBTOTAL(9,M95:M119)</f>
        <v>0</v>
      </c>
      <c r="N120" s="152"/>
      <c r="O120" s="150">
        <f t="shared" ref="O120" si="20">SUBTOTAL(9,O95:O119)</f>
        <v>0</v>
      </c>
      <c r="P120" s="152"/>
    </row>
    <row r="121" spans="1:16" ht="18.600000000000001" customHeight="1" x14ac:dyDescent="0.2">
      <c r="A121" s="434" t="str">
        <f>A91</f>
        <v>DANH SÁCH LỚP TA NƯỚC NGOÀI</v>
      </c>
      <c r="B121" s="434"/>
      <c r="C121" s="434"/>
      <c r="D121" s="434"/>
      <c r="E121" s="434"/>
      <c r="F121" s="434"/>
      <c r="G121" s="434"/>
      <c r="H121" s="434"/>
      <c r="I121" s="92">
        <v>6</v>
      </c>
      <c r="J121" s="48"/>
      <c r="K121" s="48"/>
      <c r="L121" s="48"/>
      <c r="M121" s="41"/>
      <c r="N121" s="41"/>
      <c r="O121" s="41"/>
      <c r="P121" s="41"/>
    </row>
    <row r="122" spans="1:16" ht="18.600000000000001" customHeight="1" x14ac:dyDescent="0.2">
      <c r="A122" s="28"/>
      <c r="B122" s="29"/>
      <c r="C122" s="30"/>
      <c r="D122" s="36"/>
      <c r="E122" s="28"/>
      <c r="F122" s="28"/>
      <c r="G122" s="28"/>
      <c r="H122" s="28"/>
      <c r="I122" s="79"/>
      <c r="J122" s="28"/>
      <c r="K122" s="28"/>
      <c r="L122" s="28"/>
      <c r="M122" s="28"/>
      <c r="N122" s="28"/>
      <c r="O122" s="28"/>
      <c r="P122" s="28"/>
    </row>
    <row r="123" spans="1:16" ht="18.600000000000001" customHeight="1" x14ac:dyDescent="0.2">
      <c r="A123" s="435" t="s">
        <v>374</v>
      </c>
      <c r="B123" s="435" t="s">
        <v>380</v>
      </c>
      <c r="C123" s="435" t="s">
        <v>383</v>
      </c>
      <c r="D123" s="437" t="s">
        <v>384</v>
      </c>
      <c r="E123" s="438" t="s">
        <v>385</v>
      </c>
      <c r="F123" s="439"/>
      <c r="G123" s="432" t="str">
        <f>$R$1</f>
        <v>Đợt 6</v>
      </c>
      <c r="H123" s="433"/>
      <c r="I123" s="432" t="str">
        <f>$V$1</f>
        <v>Đợt 8</v>
      </c>
      <c r="J123" s="433"/>
      <c r="K123" s="432" t="str">
        <f>$T$1</f>
        <v>Đợt 7</v>
      </c>
      <c r="L123" s="433"/>
      <c r="M123" s="432" t="str">
        <f>$X$1</f>
        <v>Đợt 9</v>
      </c>
      <c r="N123" s="433"/>
      <c r="O123" s="432" t="str">
        <f>$Z$1</f>
        <v>Đợt 10</v>
      </c>
      <c r="P123" s="433"/>
    </row>
    <row r="124" spans="1:16" ht="18.600000000000001" customHeight="1" x14ac:dyDescent="0.2">
      <c r="A124" s="436"/>
      <c r="B124" s="436"/>
      <c r="C124" s="436"/>
      <c r="D124" s="436"/>
      <c r="E124" s="31" t="s">
        <v>381</v>
      </c>
      <c r="F124" s="31" t="s">
        <v>382</v>
      </c>
      <c r="G124" s="31" t="s">
        <v>381</v>
      </c>
      <c r="H124" s="31" t="s">
        <v>382</v>
      </c>
      <c r="I124" s="80" t="s">
        <v>381</v>
      </c>
      <c r="J124" s="31" t="s">
        <v>382</v>
      </c>
      <c r="K124" s="80" t="s">
        <v>381</v>
      </c>
      <c r="L124" s="31" t="s">
        <v>382</v>
      </c>
      <c r="M124" s="31" t="s">
        <v>381</v>
      </c>
      <c r="N124" s="31" t="s">
        <v>382</v>
      </c>
      <c r="O124" s="31" t="s">
        <v>381</v>
      </c>
      <c r="P124" s="31" t="s">
        <v>382</v>
      </c>
    </row>
    <row r="125" spans="1:16" ht="18.600000000000001" customHeight="1" x14ac:dyDescent="0.2">
      <c r="A125" s="32">
        <v>1</v>
      </c>
      <c r="B125" s="3" t="s">
        <v>869</v>
      </c>
      <c r="C125" s="26" t="s">
        <v>14</v>
      </c>
      <c r="D125" s="26">
        <v>778932119</v>
      </c>
      <c r="E125" s="32"/>
      <c r="F125" s="34"/>
      <c r="G125" s="32"/>
      <c r="H125" s="93"/>
      <c r="I125" s="81"/>
      <c r="J125" s="34"/>
      <c r="K125" s="34"/>
      <c r="L125" s="34"/>
      <c r="M125" s="32"/>
      <c r="N125" s="34"/>
      <c r="O125" s="32"/>
      <c r="P125" s="34"/>
    </row>
    <row r="126" spans="1:16" ht="18.600000000000001" customHeight="1" x14ac:dyDescent="0.2">
      <c r="A126" s="7">
        <f t="shared" ref="A126:A149" si="21">A125+1</f>
        <v>2</v>
      </c>
      <c r="B126" s="26" t="s">
        <v>171</v>
      </c>
      <c r="C126" s="26" t="s">
        <v>732</v>
      </c>
      <c r="D126" s="163">
        <v>931761547</v>
      </c>
      <c r="E126" s="7"/>
      <c r="F126" s="7"/>
      <c r="G126" s="7"/>
      <c r="H126" s="7"/>
      <c r="I126" s="82"/>
      <c r="J126" s="7"/>
      <c r="K126" s="7"/>
      <c r="L126" s="7"/>
      <c r="M126" s="7"/>
      <c r="N126" s="7"/>
      <c r="O126" s="7"/>
      <c r="P126" s="7"/>
    </row>
    <row r="127" spans="1:16" ht="18.600000000000001" customHeight="1" x14ac:dyDescent="0.3">
      <c r="A127" s="7">
        <f t="shared" si="21"/>
        <v>3</v>
      </c>
      <c r="B127" s="160" t="s">
        <v>868</v>
      </c>
      <c r="C127" s="143" t="s">
        <v>6</v>
      </c>
      <c r="D127" s="143">
        <v>979242060</v>
      </c>
      <c r="E127" s="7"/>
      <c r="F127" s="7"/>
      <c r="G127" s="7"/>
      <c r="H127" s="7"/>
      <c r="I127" s="82"/>
      <c r="J127" s="7"/>
      <c r="K127" s="7"/>
      <c r="L127" s="7"/>
      <c r="M127" s="7"/>
      <c r="N127" s="7"/>
      <c r="O127" s="7"/>
      <c r="P127" s="7"/>
    </row>
    <row r="128" spans="1:16" ht="18.600000000000001" customHeight="1" x14ac:dyDescent="0.3">
      <c r="A128" s="7">
        <f t="shared" si="21"/>
        <v>4</v>
      </c>
      <c r="B128" s="143" t="s">
        <v>738</v>
      </c>
      <c r="C128" s="143" t="s">
        <v>64</v>
      </c>
      <c r="D128" s="143">
        <v>382438118</v>
      </c>
      <c r="E128" s="7"/>
      <c r="F128" s="7"/>
      <c r="G128" s="7"/>
      <c r="H128" s="7"/>
      <c r="I128" s="82"/>
      <c r="J128" s="7"/>
      <c r="K128" s="7"/>
      <c r="L128" s="7"/>
      <c r="M128" s="7"/>
      <c r="N128" s="7"/>
      <c r="O128" s="7"/>
      <c r="P128" s="7"/>
    </row>
    <row r="129" spans="1:16" ht="18.600000000000001" customHeight="1" x14ac:dyDescent="0.2">
      <c r="A129" s="6">
        <f t="shared" si="21"/>
        <v>5</v>
      </c>
      <c r="B129" s="26" t="s">
        <v>168</v>
      </c>
      <c r="C129" s="26" t="s">
        <v>29</v>
      </c>
      <c r="D129" s="26"/>
      <c r="E129" s="16"/>
      <c r="F129" s="16"/>
      <c r="G129" s="16"/>
      <c r="H129" s="16"/>
      <c r="I129" s="83"/>
      <c r="J129" s="16"/>
      <c r="K129" s="16"/>
      <c r="L129" s="16"/>
      <c r="M129" s="16"/>
      <c r="N129" s="16"/>
      <c r="O129" s="16"/>
      <c r="P129" s="16"/>
    </row>
    <row r="130" spans="1:16" ht="18.600000000000001" customHeight="1" x14ac:dyDescent="0.2">
      <c r="A130" s="56">
        <f t="shared" si="21"/>
        <v>6</v>
      </c>
      <c r="B130" s="27" t="s">
        <v>531</v>
      </c>
      <c r="C130" s="27" t="s">
        <v>29</v>
      </c>
      <c r="D130" s="26">
        <v>907367501</v>
      </c>
      <c r="E130" s="2"/>
      <c r="F130" s="2"/>
      <c r="G130" s="2"/>
      <c r="H130" s="2"/>
      <c r="I130" s="84"/>
      <c r="J130" s="2"/>
      <c r="K130" s="2"/>
      <c r="L130" s="2"/>
      <c r="M130" s="2"/>
      <c r="N130" s="2"/>
      <c r="O130" s="2"/>
      <c r="P130" s="2"/>
    </row>
    <row r="131" spans="1:16" ht="18.600000000000001" customHeight="1" x14ac:dyDescent="0.3">
      <c r="A131" s="6">
        <f t="shared" si="21"/>
        <v>7</v>
      </c>
      <c r="B131" s="143" t="s">
        <v>793</v>
      </c>
      <c r="C131" s="143" t="s">
        <v>469</v>
      </c>
      <c r="D131" s="143">
        <v>938345215</v>
      </c>
      <c r="E131" s="4"/>
      <c r="F131" s="4"/>
      <c r="G131" s="4"/>
      <c r="H131" s="4"/>
      <c r="I131" s="85"/>
      <c r="J131" s="4"/>
      <c r="K131" s="4"/>
      <c r="L131" s="4"/>
      <c r="M131" s="4"/>
      <c r="N131" s="4"/>
      <c r="O131" s="4"/>
      <c r="P131" s="4"/>
    </row>
    <row r="132" spans="1:16" ht="18.600000000000001" customHeight="1" x14ac:dyDescent="0.2">
      <c r="A132" s="6">
        <f t="shared" si="21"/>
        <v>8</v>
      </c>
      <c r="B132" s="25" t="s">
        <v>208</v>
      </c>
      <c r="C132" s="25" t="s">
        <v>133</v>
      </c>
      <c r="D132" s="163"/>
      <c r="E132" s="4"/>
      <c r="F132" s="4"/>
      <c r="G132" s="4"/>
      <c r="H132" s="4"/>
      <c r="I132" s="85"/>
      <c r="J132" s="4"/>
      <c r="K132" s="4"/>
      <c r="L132" s="4"/>
      <c r="M132" s="4"/>
      <c r="N132" s="4"/>
      <c r="O132" s="4"/>
      <c r="P132" s="4"/>
    </row>
    <row r="133" spans="1:16" ht="18.600000000000001" customHeight="1" x14ac:dyDescent="0.3">
      <c r="A133" s="6">
        <f t="shared" si="21"/>
        <v>9</v>
      </c>
      <c r="B133" s="143" t="s">
        <v>769</v>
      </c>
      <c r="C133" s="143" t="s">
        <v>34</v>
      </c>
      <c r="D133" s="143">
        <v>908023263</v>
      </c>
      <c r="E133" s="4"/>
      <c r="F133" s="4"/>
      <c r="G133" s="4"/>
      <c r="H133" s="4"/>
      <c r="I133" s="85"/>
      <c r="J133" s="4"/>
      <c r="K133" s="4"/>
      <c r="L133" s="4"/>
      <c r="M133" s="4"/>
      <c r="N133" s="4"/>
      <c r="O133" s="4"/>
      <c r="P133" s="4"/>
    </row>
    <row r="134" spans="1:16" ht="18.600000000000001" customHeight="1" x14ac:dyDescent="0.3">
      <c r="A134" s="10">
        <f t="shared" si="21"/>
        <v>10</v>
      </c>
      <c r="B134" s="143" t="s">
        <v>728</v>
      </c>
      <c r="C134" s="143" t="s">
        <v>34</v>
      </c>
      <c r="D134" s="143">
        <v>987616217</v>
      </c>
      <c r="E134" s="12"/>
      <c r="F134" s="12"/>
      <c r="G134" s="12"/>
      <c r="H134" s="12"/>
      <c r="I134" s="86"/>
      <c r="J134" s="12"/>
      <c r="K134" s="12"/>
      <c r="L134" s="12"/>
      <c r="M134" s="12"/>
      <c r="N134" s="12"/>
      <c r="O134" s="12"/>
      <c r="P134" s="12"/>
    </row>
    <row r="135" spans="1:16" ht="18.600000000000001" customHeight="1" x14ac:dyDescent="0.2">
      <c r="A135" s="35">
        <f t="shared" si="21"/>
        <v>11</v>
      </c>
      <c r="B135" s="24" t="s">
        <v>511</v>
      </c>
      <c r="C135" s="24" t="s">
        <v>34</v>
      </c>
      <c r="D135" s="163">
        <v>396557917</v>
      </c>
      <c r="E135" s="14"/>
      <c r="F135" s="14"/>
      <c r="G135" s="14"/>
      <c r="H135" s="14"/>
      <c r="I135" s="87"/>
      <c r="J135" s="14"/>
      <c r="K135" s="14"/>
      <c r="L135" s="14"/>
      <c r="M135" s="14"/>
      <c r="N135" s="14"/>
      <c r="O135" s="14"/>
      <c r="P135" s="14"/>
    </row>
    <row r="136" spans="1:16" ht="18.600000000000001" customHeight="1" x14ac:dyDescent="0.3">
      <c r="A136" s="7">
        <f t="shared" si="21"/>
        <v>12</v>
      </c>
      <c r="B136" s="143" t="s">
        <v>795</v>
      </c>
      <c r="C136" s="143" t="s">
        <v>62</v>
      </c>
      <c r="D136" s="143">
        <v>978323737</v>
      </c>
      <c r="E136" s="4"/>
      <c r="F136" s="4"/>
      <c r="G136" s="4"/>
      <c r="H136" s="4"/>
      <c r="I136" s="85"/>
      <c r="J136" s="4"/>
      <c r="K136" s="4"/>
      <c r="L136" s="4"/>
      <c r="M136" s="4"/>
      <c r="N136" s="4"/>
      <c r="O136" s="4"/>
      <c r="P136" s="4"/>
    </row>
    <row r="137" spans="1:16" ht="18.600000000000001" customHeight="1" x14ac:dyDescent="0.3">
      <c r="A137" s="7">
        <f t="shared" si="21"/>
        <v>13</v>
      </c>
      <c r="B137" s="143" t="s">
        <v>796</v>
      </c>
      <c r="C137" s="143" t="s">
        <v>56</v>
      </c>
      <c r="D137" s="143">
        <v>932955580</v>
      </c>
      <c r="E137" s="4"/>
      <c r="F137" s="4"/>
      <c r="G137" s="4"/>
      <c r="H137" s="4"/>
      <c r="I137" s="85"/>
      <c r="J137" s="4"/>
      <c r="K137" s="4"/>
      <c r="L137" s="4"/>
      <c r="M137" s="4"/>
      <c r="N137" s="4"/>
      <c r="O137" s="4"/>
      <c r="P137" s="4"/>
    </row>
    <row r="138" spans="1:16" ht="18.600000000000001" customHeight="1" x14ac:dyDescent="0.3">
      <c r="A138" s="7">
        <f t="shared" si="21"/>
        <v>14</v>
      </c>
      <c r="B138" s="39" t="s">
        <v>730</v>
      </c>
      <c r="C138" s="24" t="s">
        <v>91</v>
      </c>
      <c r="D138" s="163" t="s">
        <v>995</v>
      </c>
      <c r="E138" s="4"/>
      <c r="F138" s="4"/>
      <c r="G138" s="4"/>
      <c r="H138" s="4"/>
      <c r="I138" s="85"/>
      <c r="J138" s="4"/>
      <c r="K138" s="4"/>
      <c r="L138" s="4"/>
      <c r="M138" s="4"/>
      <c r="N138" s="4"/>
      <c r="O138" s="4"/>
      <c r="P138" s="4"/>
    </row>
    <row r="139" spans="1:16" ht="18.600000000000001" customHeight="1" x14ac:dyDescent="0.2">
      <c r="A139" s="6">
        <f t="shared" si="21"/>
        <v>15</v>
      </c>
      <c r="B139" s="27" t="s">
        <v>165</v>
      </c>
      <c r="C139" s="27" t="s">
        <v>27</v>
      </c>
      <c r="D139" s="24"/>
      <c r="E139" s="16"/>
      <c r="F139" s="16"/>
      <c r="G139" s="16"/>
      <c r="H139" s="16"/>
      <c r="I139" s="83"/>
      <c r="J139" s="16"/>
      <c r="K139" s="16"/>
      <c r="L139" s="16"/>
      <c r="M139" s="16"/>
      <c r="N139" s="16"/>
      <c r="O139" s="16"/>
      <c r="P139" s="16"/>
    </row>
    <row r="140" spans="1:16" ht="18.600000000000001" customHeight="1" x14ac:dyDescent="0.2">
      <c r="A140" s="32">
        <f t="shared" si="21"/>
        <v>16</v>
      </c>
      <c r="B140" s="27" t="s">
        <v>170</v>
      </c>
      <c r="C140" s="27" t="s">
        <v>31</v>
      </c>
      <c r="D140" s="26"/>
      <c r="E140" s="2"/>
      <c r="F140" s="2"/>
      <c r="G140" s="2"/>
      <c r="H140" s="2"/>
      <c r="I140" s="84"/>
      <c r="J140" s="2"/>
      <c r="K140" s="2"/>
      <c r="L140" s="2"/>
      <c r="M140" s="2"/>
      <c r="N140" s="2"/>
      <c r="O140" s="2"/>
      <c r="P140" s="2"/>
    </row>
    <row r="141" spans="1:16" ht="18.600000000000001" customHeight="1" x14ac:dyDescent="0.2">
      <c r="A141" s="7">
        <f t="shared" si="21"/>
        <v>17</v>
      </c>
      <c r="B141" s="26" t="s">
        <v>166</v>
      </c>
      <c r="C141" s="26" t="s">
        <v>28</v>
      </c>
      <c r="D141" s="163"/>
      <c r="E141" s="4"/>
      <c r="F141" s="4"/>
      <c r="G141" s="4"/>
      <c r="H141" s="4"/>
      <c r="I141" s="85"/>
      <c r="J141" s="4"/>
      <c r="K141" s="4"/>
      <c r="L141" s="4"/>
      <c r="M141" s="4"/>
      <c r="N141" s="4"/>
      <c r="O141" s="4"/>
      <c r="P141" s="4"/>
    </row>
    <row r="142" spans="1:16" ht="18.600000000000001" customHeight="1" x14ac:dyDescent="0.2">
      <c r="A142" s="7">
        <f t="shared" si="21"/>
        <v>18</v>
      </c>
      <c r="B142" s="26" t="s">
        <v>169</v>
      </c>
      <c r="C142" s="26" t="s">
        <v>30</v>
      </c>
      <c r="D142" s="163"/>
      <c r="E142" s="4"/>
      <c r="F142" s="4"/>
      <c r="G142" s="4"/>
      <c r="H142" s="4"/>
      <c r="I142" s="85"/>
      <c r="J142" s="4"/>
      <c r="K142" s="4"/>
      <c r="L142" s="4"/>
      <c r="M142" s="4"/>
      <c r="N142" s="4"/>
      <c r="O142" s="4"/>
      <c r="P142" s="4"/>
    </row>
    <row r="143" spans="1:16" ht="18.600000000000001" customHeight="1" x14ac:dyDescent="0.2">
      <c r="A143" s="7">
        <f t="shared" si="21"/>
        <v>19</v>
      </c>
      <c r="B143" s="26" t="s">
        <v>484</v>
      </c>
      <c r="C143" s="26" t="s">
        <v>33</v>
      </c>
      <c r="D143" s="163"/>
      <c r="E143" s="4"/>
      <c r="F143" s="4"/>
      <c r="G143" s="4"/>
      <c r="H143" s="4"/>
      <c r="I143" s="85"/>
      <c r="J143" s="4"/>
      <c r="K143" s="4"/>
      <c r="L143" s="4"/>
      <c r="M143" s="4"/>
      <c r="N143" s="4"/>
      <c r="O143" s="4"/>
      <c r="P143" s="4"/>
    </row>
    <row r="144" spans="1:16" ht="18.600000000000001" customHeight="1" x14ac:dyDescent="0.3">
      <c r="A144" s="10">
        <f t="shared" si="21"/>
        <v>20</v>
      </c>
      <c r="B144" s="143" t="s">
        <v>804</v>
      </c>
      <c r="C144" s="143" t="s">
        <v>69</v>
      </c>
      <c r="D144" s="143">
        <v>333978559</v>
      </c>
      <c r="E144" s="12"/>
      <c r="F144" s="12"/>
      <c r="G144" s="12"/>
      <c r="H144" s="12"/>
      <c r="I144" s="86"/>
      <c r="J144" s="12"/>
      <c r="K144" s="12"/>
      <c r="L144" s="12"/>
      <c r="M144" s="12"/>
      <c r="N144" s="12"/>
      <c r="O144" s="12"/>
      <c r="P144" s="12"/>
    </row>
    <row r="145" spans="1:16" ht="18.600000000000001" customHeight="1" x14ac:dyDescent="0.2">
      <c r="A145" s="35">
        <f t="shared" si="21"/>
        <v>21</v>
      </c>
      <c r="B145" s="13"/>
      <c r="C145" s="14"/>
      <c r="D145" s="37"/>
      <c r="E145" s="14"/>
      <c r="F145" s="14"/>
      <c r="G145" s="14"/>
      <c r="H145" s="14"/>
      <c r="I145" s="87"/>
      <c r="J145" s="14"/>
      <c r="K145" s="14"/>
      <c r="L145" s="14"/>
      <c r="M145" s="14"/>
      <c r="N145" s="14"/>
      <c r="O145" s="14"/>
      <c r="P145" s="14"/>
    </row>
    <row r="146" spans="1:16" ht="18.600000000000001" customHeight="1" x14ac:dyDescent="0.2">
      <c r="A146" s="7">
        <f t="shared" si="21"/>
        <v>22</v>
      </c>
      <c r="B146" s="3"/>
      <c r="C146" s="4"/>
      <c r="D146" s="8"/>
      <c r="E146" s="4"/>
      <c r="F146" s="4"/>
      <c r="G146" s="4"/>
      <c r="H146" s="4"/>
      <c r="I146" s="85"/>
      <c r="J146" s="4"/>
      <c r="K146" s="4"/>
      <c r="L146" s="4"/>
      <c r="M146" s="4"/>
      <c r="N146" s="4"/>
      <c r="O146" s="4"/>
      <c r="P146" s="4"/>
    </row>
    <row r="147" spans="1:16" ht="18.600000000000001" customHeight="1" x14ac:dyDescent="0.2">
      <c r="A147" s="35">
        <f t="shared" si="21"/>
        <v>23</v>
      </c>
      <c r="B147" s="3"/>
      <c r="C147" s="4"/>
      <c r="D147" s="8"/>
      <c r="E147" s="4"/>
      <c r="F147" s="4"/>
      <c r="G147" s="4"/>
      <c r="H147" s="4"/>
      <c r="I147" s="85"/>
      <c r="J147" s="4"/>
      <c r="K147" s="4"/>
      <c r="L147" s="4"/>
      <c r="M147" s="4"/>
      <c r="N147" s="4"/>
      <c r="O147" s="4"/>
      <c r="P147" s="4"/>
    </row>
    <row r="148" spans="1:16" ht="18.600000000000001" customHeight="1" x14ac:dyDescent="0.2">
      <c r="A148" s="7">
        <f t="shared" si="21"/>
        <v>24</v>
      </c>
      <c r="B148" s="3"/>
      <c r="C148" s="4"/>
      <c r="D148" s="8"/>
      <c r="E148" s="4"/>
      <c r="F148" s="4"/>
      <c r="G148" s="4"/>
      <c r="H148" s="4"/>
      <c r="I148" s="85"/>
      <c r="J148" s="4"/>
      <c r="K148" s="4"/>
      <c r="L148" s="4"/>
      <c r="M148" s="4"/>
      <c r="N148" s="4"/>
      <c r="O148" s="4"/>
      <c r="P148" s="4"/>
    </row>
    <row r="149" spans="1:16" ht="18.600000000000001" customHeight="1" x14ac:dyDescent="0.2">
      <c r="A149" s="35">
        <f t="shared" si="21"/>
        <v>25</v>
      </c>
      <c r="B149" s="11"/>
      <c r="C149" s="12"/>
      <c r="D149" s="9"/>
      <c r="E149" s="12"/>
      <c r="F149" s="12"/>
      <c r="G149" s="12"/>
      <c r="H149" s="12"/>
      <c r="I149" s="86"/>
      <c r="J149" s="12"/>
      <c r="K149" s="12"/>
      <c r="L149" s="12"/>
      <c r="M149" s="12"/>
      <c r="N149" s="12"/>
      <c r="O149" s="12"/>
      <c r="P149" s="12"/>
    </row>
    <row r="150" spans="1:16" ht="18.600000000000001" customHeight="1" x14ac:dyDescent="0.3">
      <c r="A150" s="147"/>
      <c r="B150" s="148"/>
      <c r="C150" s="147"/>
      <c r="D150" s="149"/>
      <c r="E150" s="150">
        <f>SUBTOTAL(9,E125:E149)</f>
        <v>0</v>
      </c>
      <c r="F150" s="152"/>
      <c r="G150" s="150">
        <f t="shared" ref="G150" si="22">SUBTOTAL(9,G125:G149)</f>
        <v>0</v>
      </c>
      <c r="H150" s="152"/>
      <c r="I150" s="150">
        <f t="shared" ref="I150" si="23">SUBTOTAL(9,I125:I149)</f>
        <v>0</v>
      </c>
      <c r="J150" s="152"/>
      <c r="K150" s="152"/>
      <c r="L150" s="152"/>
      <c r="M150" s="150">
        <f t="shared" ref="M150" si="24">SUBTOTAL(9,M125:M149)</f>
        <v>0</v>
      </c>
      <c r="N150" s="152"/>
      <c r="O150" s="150">
        <f t="shared" ref="O150" si="25">SUBTOTAL(9,O125:O149)</f>
        <v>0</v>
      </c>
      <c r="P150" s="152"/>
    </row>
    <row r="151" spans="1:16" ht="18.600000000000001" customHeight="1" x14ac:dyDescent="0.2">
      <c r="A151" s="434" t="str">
        <f>A121</f>
        <v>DANH SÁCH LỚP TA NƯỚC NGOÀI</v>
      </c>
      <c r="B151" s="434"/>
      <c r="C151" s="434"/>
      <c r="D151" s="434"/>
      <c r="E151" s="434"/>
      <c r="F151" s="434"/>
      <c r="G151" s="434"/>
      <c r="H151" s="434"/>
      <c r="I151" s="92">
        <v>7</v>
      </c>
      <c r="J151" s="48"/>
      <c r="K151" s="48"/>
      <c r="L151" s="48"/>
      <c r="M151" s="41"/>
      <c r="N151" s="41"/>
      <c r="O151" s="41"/>
      <c r="P151" s="41"/>
    </row>
    <row r="152" spans="1:16" ht="18.600000000000001" customHeight="1" x14ac:dyDescent="0.2">
      <c r="A152" s="28"/>
      <c r="B152" s="29"/>
      <c r="C152" s="30"/>
      <c r="D152" s="36"/>
      <c r="E152" s="28"/>
      <c r="F152" s="28"/>
      <c r="G152" s="28"/>
      <c r="H152" s="28"/>
      <c r="I152" s="79"/>
      <c r="J152" s="28"/>
      <c r="K152" s="28"/>
      <c r="L152" s="28"/>
      <c r="M152" s="28"/>
      <c r="N152" s="28"/>
      <c r="O152" s="28"/>
      <c r="P152" s="28"/>
    </row>
    <row r="153" spans="1:16" ht="18.600000000000001" customHeight="1" x14ac:dyDescent="0.2">
      <c r="A153" s="435" t="s">
        <v>374</v>
      </c>
      <c r="B153" s="435" t="s">
        <v>380</v>
      </c>
      <c r="C153" s="435" t="s">
        <v>383</v>
      </c>
      <c r="D153" s="437" t="s">
        <v>384</v>
      </c>
      <c r="E153" s="438" t="s">
        <v>385</v>
      </c>
      <c r="F153" s="439"/>
      <c r="G153" s="432" t="str">
        <f>$R$1</f>
        <v>Đợt 6</v>
      </c>
      <c r="H153" s="433"/>
      <c r="I153" s="432" t="str">
        <f>$T$1</f>
        <v>Đợt 7</v>
      </c>
      <c r="J153" s="433"/>
      <c r="K153" s="432" t="str">
        <f>$V$1</f>
        <v>Đợt 8</v>
      </c>
      <c r="L153" s="433"/>
      <c r="M153" s="432" t="str">
        <f>$X$1</f>
        <v>Đợt 9</v>
      </c>
      <c r="N153" s="433"/>
      <c r="O153" s="432" t="str">
        <f>$Z$1</f>
        <v>Đợt 10</v>
      </c>
      <c r="P153" s="433"/>
    </row>
    <row r="154" spans="1:16" ht="18.600000000000001" customHeight="1" x14ac:dyDescent="0.2">
      <c r="A154" s="436"/>
      <c r="B154" s="436"/>
      <c r="C154" s="436"/>
      <c r="D154" s="436"/>
      <c r="E154" s="31" t="s">
        <v>381</v>
      </c>
      <c r="F154" s="31" t="s">
        <v>382</v>
      </c>
      <c r="G154" s="31" t="s">
        <v>381</v>
      </c>
      <c r="H154" s="31" t="s">
        <v>382</v>
      </c>
      <c r="I154" s="80" t="s">
        <v>381</v>
      </c>
      <c r="J154" s="31" t="s">
        <v>382</v>
      </c>
      <c r="K154" s="80" t="s">
        <v>381</v>
      </c>
      <c r="L154" s="31" t="s">
        <v>382</v>
      </c>
      <c r="M154" s="31" t="s">
        <v>381</v>
      </c>
      <c r="N154" s="31" t="s">
        <v>382</v>
      </c>
      <c r="O154" s="31" t="s">
        <v>381</v>
      </c>
      <c r="P154" s="31" t="s">
        <v>382</v>
      </c>
    </row>
    <row r="155" spans="1:16" ht="18.600000000000001" customHeight="1" x14ac:dyDescent="0.2">
      <c r="A155" s="32">
        <v>1</v>
      </c>
      <c r="B155" s="26" t="s">
        <v>582</v>
      </c>
      <c r="C155" s="26" t="s">
        <v>22</v>
      </c>
      <c r="D155" s="26"/>
      <c r="E155" s="32"/>
      <c r="F155" s="34"/>
      <c r="G155" s="32"/>
      <c r="H155" s="93"/>
      <c r="I155" s="81"/>
      <c r="J155" s="34"/>
      <c r="K155" s="34"/>
      <c r="L155" s="34"/>
      <c r="M155" s="32"/>
      <c r="N155" s="34"/>
      <c r="O155" s="32"/>
      <c r="P155" s="34"/>
    </row>
    <row r="156" spans="1:16" ht="18.600000000000001" customHeight="1" x14ac:dyDescent="0.2">
      <c r="A156" s="7">
        <f t="shared" ref="A156:A179" si="26">A155+1</f>
        <v>2</v>
      </c>
      <c r="B156" s="25" t="s">
        <v>512</v>
      </c>
      <c r="C156" s="25" t="s">
        <v>619</v>
      </c>
      <c r="D156" s="163"/>
      <c r="E156" s="7"/>
      <c r="F156" s="7"/>
      <c r="G156" s="7"/>
      <c r="H156" s="7"/>
      <c r="I156" s="82"/>
      <c r="J156" s="7"/>
      <c r="K156" s="7"/>
      <c r="L156" s="7"/>
      <c r="M156" s="7"/>
      <c r="N156" s="7"/>
      <c r="O156" s="7"/>
      <c r="P156" s="7"/>
    </row>
    <row r="157" spans="1:16" ht="18.600000000000001" customHeight="1" x14ac:dyDescent="0.2">
      <c r="A157" s="7">
        <f t="shared" si="26"/>
        <v>3</v>
      </c>
      <c r="B157" s="25" t="s">
        <v>563</v>
      </c>
      <c r="C157" s="25" t="s">
        <v>562</v>
      </c>
      <c r="D157" s="163"/>
      <c r="E157" s="7"/>
      <c r="F157" s="7"/>
      <c r="G157" s="7"/>
      <c r="H157" s="7"/>
      <c r="I157" s="82"/>
      <c r="J157" s="7"/>
      <c r="K157" s="7"/>
      <c r="L157" s="7"/>
      <c r="M157" s="7"/>
      <c r="N157" s="7"/>
      <c r="O157" s="7"/>
      <c r="P157" s="7"/>
    </row>
    <row r="158" spans="1:16" ht="18.600000000000001" customHeight="1" x14ac:dyDescent="0.2">
      <c r="A158" s="7">
        <f t="shared" si="26"/>
        <v>4</v>
      </c>
      <c r="B158" s="26" t="s">
        <v>424</v>
      </c>
      <c r="C158" s="26" t="s">
        <v>425</v>
      </c>
      <c r="D158" s="26">
        <v>982987030</v>
      </c>
      <c r="E158" s="7"/>
      <c r="F158" s="7"/>
      <c r="G158" s="7"/>
      <c r="H158" s="7"/>
      <c r="I158" s="82"/>
      <c r="J158" s="7"/>
      <c r="K158" s="7"/>
      <c r="L158" s="7"/>
      <c r="M158" s="7"/>
      <c r="N158" s="7"/>
      <c r="O158" s="7"/>
      <c r="P158" s="7"/>
    </row>
    <row r="159" spans="1:16" ht="18.600000000000001" customHeight="1" x14ac:dyDescent="0.2">
      <c r="A159" s="6">
        <f t="shared" si="26"/>
        <v>5</v>
      </c>
      <c r="B159" s="26" t="s">
        <v>429</v>
      </c>
      <c r="C159" s="26" t="s">
        <v>430</v>
      </c>
      <c r="D159" s="26"/>
      <c r="E159" s="16"/>
      <c r="F159" s="16"/>
      <c r="G159" s="16"/>
      <c r="H159" s="16"/>
      <c r="I159" s="83"/>
      <c r="J159" s="16"/>
      <c r="K159" s="16"/>
      <c r="L159" s="16"/>
      <c r="M159" s="16"/>
      <c r="N159" s="16"/>
      <c r="O159" s="16"/>
      <c r="P159" s="16"/>
    </row>
    <row r="160" spans="1:16" ht="18.600000000000001" customHeight="1" x14ac:dyDescent="0.2">
      <c r="A160" s="56">
        <f t="shared" si="26"/>
        <v>6</v>
      </c>
      <c r="B160" s="24" t="s">
        <v>1112</v>
      </c>
      <c r="C160" s="24" t="s">
        <v>133</v>
      </c>
      <c r="D160" s="25"/>
      <c r="E160" s="2"/>
      <c r="F160" s="2"/>
      <c r="G160" s="2"/>
      <c r="H160" s="2"/>
      <c r="I160" s="84"/>
      <c r="J160" s="2"/>
      <c r="K160" s="2"/>
      <c r="L160" s="2"/>
      <c r="M160" s="2"/>
      <c r="N160" s="2"/>
      <c r="O160" s="2"/>
      <c r="P160" s="2"/>
    </row>
    <row r="161" spans="1:16" ht="18.600000000000001" customHeight="1" x14ac:dyDescent="0.2">
      <c r="A161" s="6">
        <f t="shared" si="26"/>
        <v>7</v>
      </c>
      <c r="B161" s="26" t="s">
        <v>538</v>
      </c>
      <c r="C161" s="26" t="s">
        <v>73</v>
      </c>
      <c r="D161" s="26">
        <v>374455700</v>
      </c>
      <c r="E161" s="4"/>
      <c r="F161" s="4"/>
      <c r="G161" s="4"/>
      <c r="H161" s="4"/>
      <c r="I161" s="85"/>
      <c r="J161" s="4"/>
      <c r="K161" s="4"/>
      <c r="L161" s="4"/>
      <c r="M161" s="4"/>
      <c r="N161" s="4"/>
      <c r="O161" s="4"/>
      <c r="P161" s="4"/>
    </row>
    <row r="162" spans="1:16" ht="18.600000000000001" customHeight="1" x14ac:dyDescent="0.2">
      <c r="A162" s="6">
        <f t="shared" si="26"/>
        <v>8</v>
      </c>
      <c r="B162" s="24" t="s">
        <v>173</v>
      </c>
      <c r="C162" s="24" t="s">
        <v>34</v>
      </c>
      <c r="D162" s="26"/>
      <c r="E162" s="4"/>
      <c r="F162" s="4"/>
      <c r="G162" s="4"/>
      <c r="H162" s="4"/>
      <c r="I162" s="85"/>
      <c r="J162" s="4"/>
      <c r="K162" s="4"/>
      <c r="L162" s="4"/>
      <c r="M162" s="4"/>
      <c r="N162" s="4"/>
      <c r="O162" s="4"/>
      <c r="P162" s="4"/>
    </row>
    <row r="163" spans="1:16" ht="18.600000000000001" customHeight="1" x14ac:dyDescent="0.2">
      <c r="A163" s="6">
        <f t="shared" si="26"/>
        <v>9</v>
      </c>
      <c r="B163" s="24" t="s">
        <v>180</v>
      </c>
      <c r="C163" s="24" t="s">
        <v>40</v>
      </c>
      <c r="D163" s="163"/>
      <c r="E163" s="4"/>
      <c r="F163" s="4"/>
      <c r="G163" s="4"/>
      <c r="H163" s="4"/>
      <c r="I163" s="85"/>
      <c r="J163" s="4"/>
      <c r="K163" s="4"/>
      <c r="L163" s="4"/>
      <c r="M163" s="4"/>
      <c r="N163" s="4"/>
      <c r="O163" s="4"/>
      <c r="P163" s="4"/>
    </row>
    <row r="164" spans="1:16" ht="18.600000000000001" customHeight="1" x14ac:dyDescent="0.2">
      <c r="A164" s="10">
        <f t="shared" si="26"/>
        <v>10</v>
      </c>
      <c r="B164" s="26" t="s">
        <v>433</v>
      </c>
      <c r="C164" s="26" t="s">
        <v>98</v>
      </c>
      <c r="D164" s="26">
        <v>362324197</v>
      </c>
      <c r="E164" s="12"/>
      <c r="F164" s="12"/>
      <c r="G164" s="12"/>
      <c r="H164" s="12"/>
      <c r="I164" s="86"/>
      <c r="J164" s="12"/>
      <c r="K164" s="12"/>
      <c r="L164" s="12"/>
      <c r="M164" s="12"/>
      <c r="N164" s="12"/>
      <c r="O164" s="12"/>
      <c r="P164" s="12"/>
    </row>
    <row r="165" spans="1:16" ht="18.600000000000001" customHeight="1" x14ac:dyDescent="0.2">
      <c r="A165" s="35">
        <f t="shared" si="26"/>
        <v>11</v>
      </c>
      <c r="B165" s="27"/>
      <c r="C165" s="27"/>
      <c r="D165" s="24"/>
      <c r="E165" s="14"/>
      <c r="F165" s="14"/>
      <c r="G165" s="14"/>
      <c r="H165" s="14"/>
      <c r="I165" s="87"/>
      <c r="J165" s="14"/>
      <c r="K165" s="14"/>
      <c r="L165" s="14"/>
      <c r="M165" s="14"/>
      <c r="N165" s="14"/>
      <c r="O165" s="14"/>
      <c r="P165" s="14"/>
    </row>
    <row r="166" spans="1:16" ht="18.600000000000001" customHeight="1" x14ac:dyDescent="0.2">
      <c r="A166" s="7">
        <f t="shared" si="26"/>
        <v>12</v>
      </c>
      <c r="B166" s="27"/>
      <c r="C166" s="27"/>
      <c r="D166" s="26"/>
      <c r="E166" s="4"/>
      <c r="F166" s="4"/>
      <c r="G166" s="4"/>
      <c r="H166" s="4"/>
      <c r="I166" s="85"/>
      <c r="J166" s="4"/>
      <c r="K166" s="4"/>
      <c r="L166" s="4"/>
      <c r="M166" s="4"/>
      <c r="N166" s="4"/>
      <c r="O166" s="4"/>
      <c r="P166" s="4"/>
    </row>
    <row r="167" spans="1:16" ht="18.600000000000001" customHeight="1" x14ac:dyDescent="0.2">
      <c r="A167" s="7">
        <f t="shared" si="26"/>
        <v>13</v>
      </c>
      <c r="B167" s="26"/>
      <c r="C167" s="26"/>
      <c r="D167" s="163"/>
      <c r="E167" s="4"/>
      <c r="F167" s="4"/>
      <c r="G167" s="4"/>
      <c r="H167" s="4"/>
      <c r="I167" s="85"/>
      <c r="J167" s="4"/>
      <c r="K167" s="4"/>
      <c r="L167" s="4"/>
      <c r="M167" s="4"/>
      <c r="N167" s="4"/>
      <c r="O167" s="4"/>
      <c r="P167" s="4"/>
    </row>
    <row r="168" spans="1:16" ht="18.600000000000001" customHeight="1" x14ac:dyDescent="0.2">
      <c r="A168" s="7">
        <f t="shared" si="26"/>
        <v>14</v>
      </c>
      <c r="B168" s="26"/>
      <c r="C168" s="26"/>
      <c r="D168" s="163"/>
      <c r="E168" s="4"/>
      <c r="F168" s="4"/>
      <c r="G168" s="4"/>
      <c r="H168" s="4"/>
      <c r="I168" s="85"/>
      <c r="J168" s="4"/>
      <c r="K168" s="4"/>
      <c r="L168" s="4"/>
      <c r="M168" s="4"/>
      <c r="N168" s="4"/>
      <c r="O168" s="4"/>
      <c r="P168" s="4"/>
    </row>
    <row r="169" spans="1:16" ht="18.600000000000001" customHeight="1" x14ac:dyDescent="0.2">
      <c r="A169" s="6">
        <f t="shared" si="26"/>
        <v>15</v>
      </c>
      <c r="B169" s="26"/>
      <c r="C169" s="26"/>
      <c r="D169" s="163"/>
      <c r="E169" s="16"/>
      <c r="F169" s="16"/>
      <c r="G169" s="16"/>
      <c r="H169" s="16"/>
      <c r="I169" s="83"/>
      <c r="J169" s="16"/>
      <c r="K169" s="16"/>
      <c r="L169" s="16"/>
      <c r="M169" s="16"/>
      <c r="N169" s="16"/>
      <c r="O169" s="16"/>
      <c r="P169" s="16"/>
    </row>
    <row r="170" spans="1:16" ht="18.600000000000001" customHeight="1" x14ac:dyDescent="0.2">
      <c r="A170" s="32">
        <f t="shared" si="26"/>
        <v>16</v>
      </c>
      <c r="B170" s="1"/>
      <c r="C170" s="2"/>
      <c r="D170" s="33"/>
      <c r="E170" s="2"/>
      <c r="F170" s="2"/>
      <c r="G170" s="2"/>
      <c r="H170" s="2"/>
      <c r="I170" s="84"/>
      <c r="J170" s="2"/>
      <c r="K170" s="2"/>
      <c r="L170" s="2"/>
      <c r="M170" s="2"/>
      <c r="N170" s="2"/>
      <c r="O170" s="2"/>
      <c r="P170" s="2"/>
    </row>
    <row r="171" spans="1:16" ht="18.600000000000001" customHeight="1" x14ac:dyDescent="0.2">
      <c r="A171" s="7">
        <f t="shared" si="26"/>
        <v>17</v>
      </c>
      <c r="B171" s="3"/>
      <c r="C171" s="4"/>
      <c r="D171" s="8"/>
      <c r="E171" s="4"/>
      <c r="F171" s="4"/>
      <c r="G171" s="4"/>
      <c r="H171" s="4"/>
      <c r="I171" s="85"/>
      <c r="J171" s="4"/>
      <c r="K171" s="4"/>
      <c r="L171" s="4"/>
      <c r="M171" s="4"/>
      <c r="N171" s="4"/>
      <c r="O171" s="4"/>
      <c r="P171" s="4"/>
    </row>
    <row r="172" spans="1:16" ht="18.600000000000001" customHeight="1" x14ac:dyDescent="0.2">
      <c r="A172" s="7">
        <f t="shared" si="26"/>
        <v>18</v>
      </c>
      <c r="B172" s="3"/>
      <c r="C172" s="4"/>
      <c r="D172" s="8"/>
      <c r="E172" s="4"/>
      <c r="F172" s="4"/>
      <c r="G172" s="4"/>
      <c r="H172" s="4"/>
      <c r="I172" s="85"/>
      <c r="J172" s="4"/>
      <c r="K172" s="4"/>
      <c r="L172" s="4"/>
      <c r="M172" s="4"/>
      <c r="N172" s="4"/>
      <c r="O172" s="4"/>
      <c r="P172" s="4"/>
    </row>
    <row r="173" spans="1:16" ht="18.600000000000001" customHeight="1" x14ac:dyDescent="0.2">
      <c r="A173" s="7">
        <f t="shared" si="26"/>
        <v>19</v>
      </c>
      <c r="B173" s="3"/>
      <c r="C173" s="4"/>
      <c r="D173" s="8"/>
      <c r="E173" s="4"/>
      <c r="F173" s="4"/>
      <c r="G173" s="4"/>
      <c r="H173" s="4"/>
      <c r="I173" s="85"/>
      <c r="J173" s="4"/>
      <c r="K173" s="4"/>
      <c r="L173" s="4"/>
      <c r="M173" s="4"/>
      <c r="N173" s="4"/>
      <c r="O173" s="4"/>
      <c r="P173" s="4"/>
    </row>
    <row r="174" spans="1:16" ht="18.600000000000001" customHeight="1" x14ac:dyDescent="0.2">
      <c r="A174" s="10">
        <f t="shared" si="26"/>
        <v>20</v>
      </c>
      <c r="B174" s="11"/>
      <c r="C174" s="12"/>
      <c r="D174" s="9"/>
      <c r="E174" s="12"/>
      <c r="F174" s="12"/>
      <c r="G174" s="12"/>
      <c r="H174" s="12"/>
      <c r="I174" s="86"/>
      <c r="J174" s="12"/>
      <c r="K174" s="12"/>
      <c r="L174" s="12"/>
      <c r="M174" s="12"/>
      <c r="N174" s="12"/>
      <c r="O174" s="12"/>
      <c r="P174" s="12"/>
    </row>
    <row r="175" spans="1:16" ht="18.600000000000001" customHeight="1" x14ac:dyDescent="0.2">
      <c r="A175" s="35">
        <f t="shared" si="26"/>
        <v>21</v>
      </c>
      <c r="B175" s="13"/>
      <c r="C175" s="14"/>
      <c r="D175" s="37"/>
      <c r="E175" s="14"/>
      <c r="F175" s="14"/>
      <c r="G175" s="14"/>
      <c r="H175" s="14"/>
      <c r="I175" s="87"/>
      <c r="J175" s="14"/>
      <c r="K175" s="14"/>
      <c r="L175" s="14"/>
      <c r="M175" s="14"/>
      <c r="N175" s="14"/>
      <c r="O175" s="14"/>
      <c r="P175" s="14"/>
    </row>
    <row r="176" spans="1:16" ht="18.600000000000001" customHeight="1" x14ac:dyDescent="0.2">
      <c r="A176" s="7">
        <f t="shared" si="26"/>
        <v>22</v>
      </c>
      <c r="B176" s="3"/>
      <c r="C176" s="4"/>
      <c r="D176" s="8"/>
      <c r="E176" s="4"/>
      <c r="F176" s="4"/>
      <c r="G176" s="4"/>
      <c r="H176" s="4"/>
      <c r="I176" s="85"/>
      <c r="J176" s="4"/>
      <c r="K176" s="4"/>
      <c r="L176" s="4"/>
      <c r="M176" s="4"/>
      <c r="N176" s="4"/>
      <c r="O176" s="4"/>
      <c r="P176" s="4"/>
    </row>
    <row r="177" spans="1:16" ht="18.600000000000001" customHeight="1" x14ac:dyDescent="0.2">
      <c r="A177" s="35">
        <f t="shared" si="26"/>
        <v>23</v>
      </c>
      <c r="B177" s="3"/>
      <c r="C177" s="4"/>
      <c r="D177" s="8"/>
      <c r="E177" s="4"/>
      <c r="F177" s="4"/>
      <c r="G177" s="4"/>
      <c r="H177" s="4"/>
      <c r="I177" s="85"/>
      <c r="J177" s="4"/>
      <c r="K177" s="4"/>
      <c r="L177" s="4"/>
      <c r="M177" s="4"/>
      <c r="N177" s="4"/>
      <c r="O177" s="4"/>
      <c r="P177" s="4"/>
    </row>
    <row r="178" spans="1:16" ht="18.600000000000001" customHeight="1" x14ac:dyDescent="0.2">
      <c r="A178" s="7">
        <f t="shared" si="26"/>
        <v>24</v>
      </c>
      <c r="B178" s="3"/>
      <c r="C178" s="4"/>
      <c r="D178" s="8"/>
      <c r="E178" s="4"/>
      <c r="F178" s="4"/>
      <c r="G178" s="4"/>
      <c r="H178" s="4"/>
      <c r="I178" s="85"/>
      <c r="J178" s="4"/>
      <c r="K178" s="4"/>
      <c r="L178" s="4"/>
      <c r="M178" s="4"/>
      <c r="N178" s="4"/>
      <c r="O178" s="4"/>
      <c r="P178" s="4"/>
    </row>
    <row r="179" spans="1:16" ht="18.600000000000001" customHeight="1" x14ac:dyDescent="0.2">
      <c r="A179" s="35">
        <f t="shared" si="26"/>
        <v>25</v>
      </c>
      <c r="B179" s="11"/>
      <c r="C179" s="12"/>
      <c r="D179" s="9"/>
      <c r="E179" s="12"/>
      <c r="F179" s="12"/>
      <c r="G179" s="12"/>
      <c r="H179" s="12"/>
      <c r="I179" s="86"/>
      <c r="J179" s="12"/>
      <c r="K179" s="12"/>
      <c r="L179" s="12"/>
      <c r="M179" s="12"/>
      <c r="N179" s="12"/>
      <c r="O179" s="12"/>
      <c r="P179" s="12"/>
    </row>
    <row r="180" spans="1:16" ht="18.600000000000001" customHeight="1" x14ac:dyDescent="0.3">
      <c r="A180" s="147"/>
      <c r="B180" s="148"/>
      <c r="C180" s="147"/>
      <c r="D180" s="149"/>
      <c r="E180" s="150">
        <f>SUBTOTAL(9,E155:E179)</f>
        <v>0</v>
      </c>
      <c r="F180" s="152"/>
      <c r="G180" s="150">
        <f t="shared" ref="G180" si="27">SUBTOTAL(9,G155:G179)</f>
        <v>0</v>
      </c>
      <c r="H180" s="152"/>
      <c r="I180" s="150">
        <f t="shared" ref="I180" si="28">SUBTOTAL(9,I155:I179)</f>
        <v>0</v>
      </c>
      <c r="J180" s="152"/>
      <c r="K180" s="152"/>
      <c r="L180" s="152"/>
      <c r="M180" s="150">
        <f t="shared" ref="M180" si="29">SUBTOTAL(9,M155:M179)</f>
        <v>0</v>
      </c>
      <c r="N180" s="152"/>
      <c r="O180" s="150">
        <f t="shared" ref="O180" si="30">SUBTOTAL(9,O155:O179)</f>
        <v>0</v>
      </c>
      <c r="P180" s="152"/>
    </row>
    <row r="181" spans="1:16" ht="18.600000000000001" customHeight="1" x14ac:dyDescent="0.2">
      <c r="A181" s="434" t="str">
        <f>A151</f>
        <v>DANH SÁCH LỚP TA NƯỚC NGOÀI</v>
      </c>
      <c r="B181" s="434"/>
      <c r="C181" s="434"/>
      <c r="D181" s="434"/>
      <c r="E181" s="434"/>
      <c r="F181" s="434"/>
      <c r="G181" s="434"/>
      <c r="H181" s="434"/>
      <c r="I181" s="92">
        <v>7</v>
      </c>
      <c r="J181" s="48"/>
      <c r="K181" s="48"/>
      <c r="L181" s="48"/>
      <c r="M181" s="41"/>
      <c r="N181" s="41"/>
      <c r="O181" s="41"/>
      <c r="P181" s="41"/>
    </row>
    <row r="182" spans="1:16" ht="18.600000000000001" customHeight="1" x14ac:dyDescent="0.2">
      <c r="A182" s="28"/>
      <c r="B182" s="29"/>
      <c r="C182" s="30"/>
      <c r="D182" s="36"/>
      <c r="E182" s="28"/>
      <c r="F182" s="28"/>
      <c r="G182" s="28"/>
      <c r="H182" s="28"/>
      <c r="I182" s="79"/>
      <c r="J182" s="28"/>
      <c r="K182" s="28"/>
      <c r="L182" s="28"/>
      <c r="M182" s="28"/>
      <c r="N182" s="28"/>
      <c r="O182" s="28"/>
      <c r="P182" s="28"/>
    </row>
    <row r="183" spans="1:16" ht="18.600000000000001" customHeight="1" x14ac:dyDescent="0.2">
      <c r="A183" s="435" t="s">
        <v>374</v>
      </c>
      <c r="B183" s="435" t="s">
        <v>380</v>
      </c>
      <c r="C183" s="435" t="s">
        <v>383</v>
      </c>
      <c r="D183" s="437" t="s">
        <v>384</v>
      </c>
      <c r="E183" s="438" t="s">
        <v>385</v>
      </c>
      <c r="F183" s="439"/>
      <c r="G183" s="432" t="str">
        <f>$R$1</f>
        <v>Đợt 6</v>
      </c>
      <c r="H183" s="433"/>
      <c r="I183" s="432" t="str">
        <f>$T$1</f>
        <v>Đợt 7</v>
      </c>
      <c r="J183" s="433"/>
      <c r="K183" s="432" t="str">
        <f>$V$1</f>
        <v>Đợt 8</v>
      </c>
      <c r="L183" s="433"/>
      <c r="M183" s="432" t="str">
        <f>$X$1</f>
        <v>Đợt 9</v>
      </c>
      <c r="N183" s="433"/>
      <c r="O183" s="432" t="str">
        <f>$Z$1</f>
        <v>Đợt 10</v>
      </c>
      <c r="P183" s="433"/>
    </row>
    <row r="184" spans="1:16" ht="18.600000000000001" customHeight="1" x14ac:dyDescent="0.2">
      <c r="A184" s="436"/>
      <c r="B184" s="436"/>
      <c r="C184" s="436"/>
      <c r="D184" s="436"/>
      <c r="E184" s="31" t="s">
        <v>381</v>
      </c>
      <c r="F184" s="31" t="s">
        <v>382</v>
      </c>
      <c r="G184" s="31" t="s">
        <v>381</v>
      </c>
      <c r="H184" s="31" t="s">
        <v>382</v>
      </c>
      <c r="I184" s="80" t="s">
        <v>381</v>
      </c>
      <c r="J184" s="31" t="s">
        <v>382</v>
      </c>
      <c r="K184" s="80" t="s">
        <v>381</v>
      </c>
      <c r="L184" s="31" t="s">
        <v>382</v>
      </c>
      <c r="M184" s="31" t="s">
        <v>381</v>
      </c>
      <c r="N184" s="31" t="s">
        <v>382</v>
      </c>
      <c r="O184" s="31" t="s">
        <v>381</v>
      </c>
      <c r="P184" s="31" t="s">
        <v>382</v>
      </c>
    </row>
    <row r="185" spans="1:16" ht="18.600000000000001" customHeight="1" x14ac:dyDescent="0.2">
      <c r="A185" s="32">
        <v>1</v>
      </c>
      <c r="B185" s="26"/>
      <c r="C185" s="26"/>
      <c r="D185" s="26"/>
      <c r="E185" s="32"/>
      <c r="F185" s="34"/>
      <c r="G185" s="32"/>
      <c r="H185" s="93"/>
      <c r="I185" s="81"/>
      <c r="J185" s="34"/>
      <c r="K185" s="34"/>
      <c r="L185" s="34"/>
      <c r="M185" s="32"/>
      <c r="N185" s="34"/>
      <c r="O185" s="32"/>
      <c r="P185" s="34"/>
    </row>
    <row r="186" spans="1:16" ht="18.600000000000001" customHeight="1" x14ac:dyDescent="0.2">
      <c r="A186" s="7">
        <f t="shared" ref="A186:A209" si="31">A185+1</f>
        <v>2</v>
      </c>
      <c r="B186" s="25"/>
      <c r="C186" s="25"/>
      <c r="D186" s="163"/>
      <c r="E186" s="7"/>
      <c r="F186" s="7"/>
      <c r="G186" s="7"/>
      <c r="H186" s="7"/>
      <c r="I186" s="82"/>
      <c r="J186" s="7"/>
      <c r="K186" s="7"/>
      <c r="L186" s="7"/>
      <c r="M186" s="7"/>
      <c r="N186" s="7"/>
      <c r="O186" s="7"/>
      <c r="P186" s="7"/>
    </row>
    <row r="187" spans="1:16" ht="18.600000000000001" customHeight="1" x14ac:dyDescent="0.2">
      <c r="A187" s="7">
        <f t="shared" si="31"/>
        <v>3</v>
      </c>
      <c r="B187" s="25"/>
      <c r="C187" s="25"/>
      <c r="D187" s="163"/>
      <c r="E187" s="7"/>
      <c r="F187" s="7"/>
      <c r="G187" s="7"/>
      <c r="H187" s="7"/>
      <c r="I187" s="82"/>
      <c r="J187" s="7"/>
      <c r="K187" s="7"/>
      <c r="L187" s="7"/>
      <c r="M187" s="7"/>
      <c r="N187" s="7"/>
      <c r="O187" s="7"/>
      <c r="P187" s="7"/>
    </row>
    <row r="188" spans="1:16" ht="18.600000000000001" customHeight="1" x14ac:dyDescent="0.2">
      <c r="A188" s="7">
        <f t="shared" si="31"/>
        <v>4</v>
      </c>
      <c r="B188" s="26"/>
      <c r="C188" s="26"/>
      <c r="D188" s="26"/>
      <c r="E188" s="7"/>
      <c r="F188" s="7"/>
      <c r="G188" s="7"/>
      <c r="H188" s="7"/>
      <c r="I188" s="82"/>
      <c r="J188" s="7"/>
      <c r="K188" s="7"/>
      <c r="L188" s="7"/>
      <c r="M188" s="7"/>
      <c r="N188" s="7"/>
      <c r="O188" s="7"/>
      <c r="P188" s="7"/>
    </row>
    <row r="189" spans="1:16" ht="18.600000000000001" customHeight="1" x14ac:dyDescent="0.2">
      <c r="A189" s="6">
        <f t="shared" si="31"/>
        <v>5</v>
      </c>
      <c r="B189" s="26"/>
      <c r="C189" s="26"/>
      <c r="D189" s="26"/>
      <c r="E189" s="16"/>
      <c r="F189" s="16"/>
      <c r="G189" s="16"/>
      <c r="H189" s="16"/>
      <c r="I189" s="83"/>
      <c r="J189" s="16"/>
      <c r="K189" s="16"/>
      <c r="L189" s="16"/>
      <c r="M189" s="16"/>
      <c r="N189" s="16"/>
      <c r="O189" s="16"/>
      <c r="P189" s="16"/>
    </row>
    <row r="190" spans="1:16" ht="18.600000000000001" customHeight="1" x14ac:dyDescent="0.2">
      <c r="A190" s="56">
        <f t="shared" si="31"/>
        <v>6</v>
      </c>
      <c r="B190" s="24"/>
      <c r="C190" s="24"/>
      <c r="D190" s="25"/>
      <c r="E190" s="2"/>
      <c r="F190" s="2"/>
      <c r="G190" s="2"/>
      <c r="H190" s="2"/>
      <c r="I190" s="84"/>
      <c r="J190" s="2"/>
      <c r="K190" s="2"/>
      <c r="L190" s="2"/>
      <c r="M190" s="2"/>
      <c r="N190" s="2"/>
      <c r="O190" s="2"/>
      <c r="P190" s="2"/>
    </row>
    <row r="191" spans="1:16" ht="18.600000000000001" customHeight="1" x14ac:dyDescent="0.2">
      <c r="A191" s="6">
        <f t="shared" si="31"/>
        <v>7</v>
      </c>
      <c r="B191" s="26"/>
      <c r="C191" s="26"/>
      <c r="D191" s="26"/>
      <c r="E191" s="4"/>
      <c r="F191" s="4"/>
      <c r="G191" s="4"/>
      <c r="H191" s="4"/>
      <c r="I191" s="85"/>
      <c r="J191" s="4"/>
      <c r="K191" s="4"/>
      <c r="L191" s="4"/>
      <c r="M191" s="4"/>
      <c r="N191" s="4"/>
      <c r="O191" s="4"/>
      <c r="P191" s="4"/>
    </row>
    <row r="192" spans="1:16" ht="18.600000000000001" customHeight="1" x14ac:dyDescent="0.2">
      <c r="A192" s="6">
        <f t="shared" si="31"/>
        <v>8</v>
      </c>
      <c r="B192" s="24"/>
      <c r="C192" s="24"/>
      <c r="D192" s="26"/>
      <c r="E192" s="4"/>
      <c r="F192" s="4"/>
      <c r="G192" s="4"/>
      <c r="H192" s="4"/>
      <c r="I192" s="85"/>
      <c r="J192" s="4"/>
      <c r="K192" s="4"/>
      <c r="L192" s="4"/>
      <c r="M192" s="4"/>
      <c r="N192" s="4"/>
      <c r="O192" s="4"/>
      <c r="P192" s="4"/>
    </row>
    <row r="193" spans="1:16" ht="18.600000000000001" customHeight="1" x14ac:dyDescent="0.2">
      <c r="A193" s="6">
        <f t="shared" si="31"/>
        <v>9</v>
      </c>
      <c r="B193" s="24"/>
      <c r="C193" s="24"/>
      <c r="D193" s="163"/>
      <c r="E193" s="4"/>
      <c r="F193" s="4"/>
      <c r="G193" s="4"/>
      <c r="H193" s="4"/>
      <c r="I193" s="85"/>
      <c r="J193" s="4"/>
      <c r="K193" s="4"/>
      <c r="L193" s="4"/>
      <c r="M193" s="4"/>
      <c r="N193" s="4"/>
      <c r="O193" s="4"/>
      <c r="P193" s="4"/>
    </row>
    <row r="194" spans="1:16" ht="18.600000000000001" customHeight="1" x14ac:dyDescent="0.2">
      <c r="A194" s="10">
        <f t="shared" si="31"/>
        <v>10</v>
      </c>
      <c r="B194" s="26"/>
      <c r="C194" s="26"/>
      <c r="D194" s="26"/>
      <c r="E194" s="12"/>
      <c r="F194" s="12"/>
      <c r="G194" s="12"/>
      <c r="H194" s="12"/>
      <c r="I194" s="86"/>
      <c r="J194" s="12"/>
      <c r="K194" s="12"/>
      <c r="L194" s="12"/>
      <c r="M194" s="12"/>
      <c r="N194" s="12"/>
      <c r="O194" s="12"/>
      <c r="P194" s="12"/>
    </row>
    <row r="195" spans="1:16" ht="18.600000000000001" customHeight="1" x14ac:dyDescent="0.2">
      <c r="A195" s="35">
        <f t="shared" si="31"/>
        <v>11</v>
      </c>
      <c r="B195" s="60"/>
      <c r="C195" s="60"/>
      <c r="D195" s="61"/>
      <c r="E195" s="14"/>
      <c r="F195" s="14"/>
      <c r="G195" s="14"/>
      <c r="H195" s="14"/>
      <c r="I195" s="87"/>
      <c r="J195" s="14"/>
      <c r="K195" s="14"/>
      <c r="L195" s="14"/>
      <c r="M195" s="14"/>
      <c r="N195" s="14"/>
      <c r="O195" s="14"/>
      <c r="P195" s="14"/>
    </row>
    <row r="196" spans="1:16" ht="18.600000000000001" customHeight="1" x14ac:dyDescent="0.2">
      <c r="A196" s="7">
        <f t="shared" si="31"/>
        <v>12</v>
      </c>
      <c r="B196" s="26"/>
      <c r="C196" s="26"/>
      <c r="D196" s="22"/>
      <c r="E196" s="4"/>
      <c r="F196" s="4"/>
      <c r="G196" s="4"/>
      <c r="H196" s="4"/>
      <c r="I196" s="85"/>
      <c r="J196" s="4"/>
      <c r="K196" s="4"/>
      <c r="L196" s="4"/>
      <c r="M196" s="4"/>
      <c r="N196" s="4"/>
      <c r="O196" s="4"/>
      <c r="P196" s="4"/>
    </row>
    <row r="197" spans="1:16" ht="18.600000000000001" customHeight="1" x14ac:dyDescent="0.2">
      <c r="A197" s="7">
        <f t="shared" si="31"/>
        <v>13</v>
      </c>
      <c r="B197" s="26"/>
      <c r="C197" s="26"/>
      <c r="D197" s="22"/>
      <c r="E197" s="4"/>
      <c r="F197" s="4"/>
      <c r="G197" s="4"/>
      <c r="H197" s="4"/>
      <c r="I197" s="85"/>
      <c r="J197" s="4"/>
      <c r="K197" s="4"/>
      <c r="L197" s="4"/>
      <c r="M197" s="4"/>
      <c r="N197" s="4"/>
      <c r="O197" s="4"/>
      <c r="P197" s="4"/>
    </row>
    <row r="198" spans="1:16" ht="18.600000000000001" customHeight="1" x14ac:dyDescent="0.2">
      <c r="A198" s="7">
        <f t="shared" si="31"/>
        <v>14</v>
      </c>
      <c r="B198" s="3"/>
      <c r="C198" s="4"/>
      <c r="D198" s="8"/>
      <c r="E198" s="4"/>
      <c r="F198" s="4"/>
      <c r="G198" s="4"/>
      <c r="H198" s="4"/>
      <c r="I198" s="85"/>
      <c r="J198" s="4"/>
      <c r="K198" s="4"/>
      <c r="L198" s="4"/>
      <c r="M198" s="4"/>
      <c r="N198" s="4"/>
      <c r="O198" s="4"/>
      <c r="P198" s="4"/>
    </row>
    <row r="199" spans="1:16" ht="18.600000000000001" customHeight="1" x14ac:dyDescent="0.2">
      <c r="A199" s="6">
        <f t="shared" si="31"/>
        <v>15</v>
      </c>
      <c r="B199" s="15"/>
      <c r="C199" s="16"/>
      <c r="D199" s="5"/>
      <c r="E199" s="16"/>
      <c r="F199" s="16"/>
      <c r="G199" s="16"/>
      <c r="H199" s="16"/>
      <c r="I199" s="83"/>
      <c r="J199" s="16"/>
      <c r="K199" s="16"/>
      <c r="L199" s="16"/>
      <c r="M199" s="16"/>
      <c r="N199" s="16"/>
      <c r="O199" s="16"/>
      <c r="P199" s="16"/>
    </row>
    <row r="200" spans="1:16" ht="18.600000000000001" customHeight="1" x14ac:dyDescent="0.2">
      <c r="A200" s="32">
        <f t="shared" si="31"/>
        <v>16</v>
      </c>
      <c r="B200" s="1"/>
      <c r="C200" s="2"/>
      <c r="D200" s="33"/>
      <c r="E200" s="2"/>
      <c r="F200" s="2"/>
      <c r="G200" s="2"/>
      <c r="H200" s="2"/>
      <c r="I200" s="84"/>
      <c r="J200" s="2"/>
      <c r="K200" s="2"/>
      <c r="L200" s="2"/>
      <c r="M200" s="2"/>
      <c r="N200" s="2"/>
      <c r="O200" s="2"/>
      <c r="P200" s="2"/>
    </row>
    <row r="201" spans="1:16" ht="18.600000000000001" customHeight="1" x14ac:dyDescent="0.2">
      <c r="A201" s="7">
        <f t="shared" si="31"/>
        <v>17</v>
      </c>
      <c r="B201" s="3"/>
      <c r="C201" s="4"/>
      <c r="D201" s="8"/>
      <c r="E201" s="4"/>
      <c r="F201" s="4"/>
      <c r="G201" s="4"/>
      <c r="H201" s="4"/>
      <c r="I201" s="85"/>
      <c r="J201" s="4"/>
      <c r="K201" s="4"/>
      <c r="L201" s="4"/>
      <c r="M201" s="4"/>
      <c r="N201" s="4"/>
      <c r="O201" s="4"/>
      <c r="P201" s="4"/>
    </row>
    <row r="202" spans="1:16" ht="18.600000000000001" customHeight="1" x14ac:dyDescent="0.2">
      <c r="A202" s="7">
        <f t="shared" si="31"/>
        <v>18</v>
      </c>
      <c r="B202" s="3"/>
      <c r="C202" s="4"/>
      <c r="D202" s="8"/>
      <c r="E202" s="4"/>
      <c r="F202" s="4"/>
      <c r="G202" s="4"/>
      <c r="H202" s="4"/>
      <c r="I202" s="85"/>
      <c r="J202" s="4"/>
      <c r="K202" s="4"/>
      <c r="L202" s="4"/>
      <c r="M202" s="4"/>
      <c r="N202" s="4"/>
      <c r="O202" s="4"/>
      <c r="P202" s="4"/>
    </row>
    <row r="203" spans="1:16" ht="18.600000000000001" customHeight="1" x14ac:dyDescent="0.2">
      <c r="A203" s="7">
        <f t="shared" si="31"/>
        <v>19</v>
      </c>
      <c r="B203" s="3"/>
      <c r="C203" s="4"/>
      <c r="D203" s="8"/>
      <c r="E203" s="4"/>
      <c r="F203" s="4"/>
      <c r="G203" s="4"/>
      <c r="H203" s="4"/>
      <c r="I203" s="85"/>
      <c r="J203" s="4"/>
      <c r="K203" s="4"/>
      <c r="L203" s="4"/>
      <c r="M203" s="4"/>
      <c r="N203" s="4"/>
      <c r="O203" s="4"/>
      <c r="P203" s="4"/>
    </row>
    <row r="204" spans="1:16" ht="18.600000000000001" customHeight="1" x14ac:dyDescent="0.2">
      <c r="A204" s="10">
        <f t="shared" si="31"/>
        <v>20</v>
      </c>
      <c r="B204" s="11"/>
      <c r="C204" s="12"/>
      <c r="D204" s="9"/>
      <c r="E204" s="12"/>
      <c r="F204" s="12"/>
      <c r="G204" s="12"/>
      <c r="H204" s="12"/>
      <c r="I204" s="86"/>
      <c r="J204" s="12"/>
      <c r="K204" s="12"/>
      <c r="L204" s="12"/>
      <c r="M204" s="12"/>
      <c r="N204" s="12"/>
      <c r="O204" s="12"/>
      <c r="P204" s="12"/>
    </row>
    <row r="205" spans="1:16" ht="18.600000000000001" customHeight="1" x14ac:dyDescent="0.2">
      <c r="A205" s="35">
        <f t="shared" si="31"/>
        <v>21</v>
      </c>
      <c r="B205" s="13"/>
      <c r="C205" s="14"/>
      <c r="D205" s="37"/>
      <c r="E205" s="14"/>
      <c r="F205" s="14"/>
      <c r="G205" s="14"/>
      <c r="H205" s="14"/>
      <c r="I205" s="87"/>
      <c r="J205" s="14"/>
      <c r="K205" s="14"/>
      <c r="L205" s="14"/>
      <c r="M205" s="14"/>
      <c r="N205" s="14"/>
      <c r="O205" s="14"/>
      <c r="P205" s="14"/>
    </row>
    <row r="206" spans="1:16" ht="18.600000000000001" customHeight="1" x14ac:dyDescent="0.2">
      <c r="A206" s="7">
        <f t="shared" si="31"/>
        <v>22</v>
      </c>
      <c r="B206" s="3"/>
      <c r="C206" s="4"/>
      <c r="D206" s="8"/>
      <c r="E206" s="4"/>
      <c r="F206" s="4"/>
      <c r="G206" s="4"/>
      <c r="H206" s="4"/>
      <c r="I206" s="85"/>
      <c r="J206" s="4"/>
      <c r="K206" s="4"/>
      <c r="L206" s="4"/>
      <c r="M206" s="4"/>
      <c r="N206" s="4"/>
      <c r="O206" s="4"/>
      <c r="P206" s="4"/>
    </row>
    <row r="207" spans="1:16" ht="18.600000000000001" customHeight="1" x14ac:dyDescent="0.2">
      <c r="A207" s="35">
        <f t="shared" si="31"/>
        <v>23</v>
      </c>
      <c r="B207" s="3"/>
      <c r="C207" s="4"/>
      <c r="D207" s="8"/>
      <c r="E207" s="4"/>
      <c r="F207" s="4"/>
      <c r="G207" s="4"/>
      <c r="H207" s="4"/>
      <c r="I207" s="85"/>
      <c r="J207" s="4"/>
      <c r="K207" s="4"/>
      <c r="L207" s="4"/>
      <c r="M207" s="4"/>
      <c r="N207" s="4"/>
      <c r="O207" s="4"/>
      <c r="P207" s="4"/>
    </row>
    <row r="208" spans="1:16" ht="18.600000000000001" customHeight="1" x14ac:dyDescent="0.2">
      <c r="A208" s="7">
        <f t="shared" si="31"/>
        <v>24</v>
      </c>
      <c r="B208" s="3"/>
      <c r="C208" s="4"/>
      <c r="D208" s="8"/>
      <c r="E208" s="4"/>
      <c r="F208" s="4"/>
      <c r="G208" s="4"/>
      <c r="H208" s="4"/>
      <c r="I208" s="85"/>
      <c r="J208" s="4"/>
      <c r="K208" s="4"/>
      <c r="L208" s="4"/>
      <c r="M208" s="4"/>
      <c r="N208" s="4"/>
      <c r="O208" s="4"/>
      <c r="P208" s="4"/>
    </row>
    <row r="209" spans="1:16" ht="18.600000000000001" customHeight="1" x14ac:dyDescent="0.2">
      <c r="A209" s="35">
        <f t="shared" si="31"/>
        <v>25</v>
      </c>
      <c r="B209" s="11"/>
      <c r="C209" s="12"/>
      <c r="D209" s="9"/>
      <c r="E209" s="12"/>
      <c r="F209" s="12"/>
      <c r="G209" s="12"/>
      <c r="H209" s="12"/>
      <c r="I209" s="86"/>
      <c r="J209" s="12"/>
      <c r="K209" s="12"/>
      <c r="L209" s="12"/>
      <c r="M209" s="12"/>
      <c r="N209" s="12"/>
      <c r="O209" s="12"/>
      <c r="P209" s="12"/>
    </row>
    <row r="210" spans="1:16" ht="18.600000000000001" customHeight="1" x14ac:dyDescent="0.3">
      <c r="A210" s="147"/>
      <c r="B210" s="148"/>
      <c r="C210" s="147"/>
      <c r="D210" s="149"/>
      <c r="E210" s="150">
        <f>SUBTOTAL(9,E185:E209)</f>
        <v>0</v>
      </c>
      <c r="F210" s="152"/>
      <c r="G210" s="150">
        <f t="shared" ref="G210" si="32">SUBTOTAL(9,G185:G209)</f>
        <v>0</v>
      </c>
      <c r="H210" s="152"/>
      <c r="I210" s="150">
        <f t="shared" ref="I210" si="33">SUBTOTAL(9,I185:I209)</f>
        <v>0</v>
      </c>
      <c r="J210" s="152"/>
      <c r="K210" s="152"/>
      <c r="L210" s="152"/>
      <c r="M210" s="150">
        <f t="shared" ref="M210" si="34">SUBTOTAL(9,M185:M209)</f>
        <v>0</v>
      </c>
      <c r="N210" s="152"/>
      <c r="O210" s="150">
        <f t="shared" ref="O210" si="35">SUBTOTAL(9,O185:O209)</f>
        <v>0</v>
      </c>
      <c r="P210" s="152"/>
    </row>
    <row r="211" spans="1:16" ht="18.600000000000001" customHeight="1" x14ac:dyDescent="0.2">
      <c r="A211" s="434" t="str">
        <f>A181</f>
        <v>DANH SÁCH LỚP TA NƯỚC NGOÀI</v>
      </c>
      <c r="B211" s="434"/>
      <c r="C211" s="434"/>
      <c r="D211" s="434"/>
      <c r="E211" s="434"/>
      <c r="F211" s="434"/>
      <c r="G211" s="434"/>
      <c r="H211" s="434"/>
      <c r="I211" s="92">
        <v>8</v>
      </c>
      <c r="J211" s="48"/>
      <c r="K211" s="48"/>
      <c r="L211" s="48"/>
      <c r="M211" s="41"/>
      <c r="N211" s="41"/>
      <c r="O211" s="41"/>
      <c r="P211" s="41"/>
    </row>
    <row r="212" spans="1:16" ht="18.600000000000001" customHeight="1" x14ac:dyDescent="0.2">
      <c r="A212" s="28"/>
      <c r="B212" s="29"/>
      <c r="C212" s="30"/>
      <c r="D212" s="36"/>
      <c r="E212" s="28"/>
      <c r="F212" s="28"/>
      <c r="G212" s="28"/>
      <c r="H212" s="28"/>
      <c r="I212" s="79"/>
      <c r="J212" s="28"/>
      <c r="K212" s="28"/>
      <c r="L212" s="28"/>
      <c r="M212" s="28"/>
      <c r="N212" s="28"/>
      <c r="O212" s="28"/>
      <c r="P212" s="28"/>
    </row>
    <row r="213" spans="1:16" ht="18.600000000000001" customHeight="1" x14ac:dyDescent="0.2">
      <c r="A213" s="435" t="s">
        <v>374</v>
      </c>
      <c r="B213" s="435" t="s">
        <v>380</v>
      </c>
      <c r="C213" s="435" t="s">
        <v>383</v>
      </c>
      <c r="D213" s="437" t="s">
        <v>384</v>
      </c>
      <c r="E213" s="438" t="s">
        <v>385</v>
      </c>
      <c r="F213" s="439"/>
      <c r="G213" s="432" t="str">
        <f>$R$1</f>
        <v>Đợt 6</v>
      </c>
      <c r="H213" s="433"/>
      <c r="I213" s="432" t="str">
        <f>$T$1</f>
        <v>Đợt 7</v>
      </c>
      <c r="J213" s="433"/>
      <c r="K213" s="432" t="str">
        <f>$V$1</f>
        <v>Đợt 8</v>
      </c>
      <c r="L213" s="433"/>
      <c r="M213" s="432" t="str">
        <f>$X$1</f>
        <v>Đợt 9</v>
      </c>
      <c r="N213" s="433"/>
      <c r="O213" s="432" t="str">
        <f>$Z$1</f>
        <v>Đợt 10</v>
      </c>
      <c r="P213" s="433"/>
    </row>
    <row r="214" spans="1:16" ht="18.600000000000001" customHeight="1" x14ac:dyDescent="0.2">
      <c r="A214" s="436"/>
      <c r="B214" s="436"/>
      <c r="C214" s="436"/>
      <c r="D214" s="436"/>
      <c r="E214" s="31" t="s">
        <v>381</v>
      </c>
      <c r="F214" s="31" t="s">
        <v>382</v>
      </c>
      <c r="G214" s="31" t="s">
        <v>381</v>
      </c>
      <c r="H214" s="31" t="s">
        <v>382</v>
      </c>
      <c r="I214" s="80" t="s">
        <v>381</v>
      </c>
      <c r="J214" s="31" t="s">
        <v>382</v>
      </c>
      <c r="K214" s="80" t="s">
        <v>381</v>
      </c>
      <c r="L214" s="31" t="s">
        <v>382</v>
      </c>
      <c r="M214" s="31" t="s">
        <v>381</v>
      </c>
      <c r="N214" s="31" t="s">
        <v>382</v>
      </c>
      <c r="O214" s="31" t="s">
        <v>381</v>
      </c>
      <c r="P214" s="31" t="s">
        <v>382</v>
      </c>
    </row>
    <row r="215" spans="1:16" ht="18.600000000000001" customHeight="1" x14ac:dyDescent="0.2">
      <c r="A215" s="32">
        <v>1</v>
      </c>
      <c r="B215" s="26"/>
      <c r="C215" s="26"/>
      <c r="D215" s="22"/>
      <c r="E215" s="32"/>
      <c r="F215" s="34"/>
      <c r="G215" s="32"/>
      <c r="H215" s="93"/>
      <c r="I215" s="81"/>
      <c r="J215" s="34"/>
      <c r="K215" s="34"/>
      <c r="L215" s="34"/>
      <c r="M215" s="32"/>
      <c r="N215" s="34"/>
      <c r="O215" s="32"/>
      <c r="P215" s="34"/>
    </row>
    <row r="216" spans="1:16" ht="18.600000000000001" customHeight="1" x14ac:dyDescent="0.2">
      <c r="A216" s="7">
        <f t="shared" ref="A216:A239" si="36">A215+1</f>
        <v>2</v>
      </c>
      <c r="B216" s="26"/>
      <c r="C216" s="26"/>
      <c r="D216" s="22"/>
      <c r="E216" s="7"/>
      <c r="F216" s="7"/>
      <c r="G216" s="7"/>
      <c r="H216" s="7"/>
      <c r="I216" s="82"/>
      <c r="J216" s="7"/>
      <c r="K216" s="7"/>
      <c r="L216" s="7"/>
      <c r="M216" s="7"/>
      <c r="N216" s="7"/>
      <c r="O216" s="7"/>
      <c r="P216" s="7"/>
    </row>
    <row r="217" spans="1:16" ht="18.600000000000001" customHeight="1" x14ac:dyDescent="0.2">
      <c r="A217" s="7">
        <f t="shared" si="36"/>
        <v>3</v>
      </c>
      <c r="B217" s="26"/>
      <c r="C217" s="26"/>
      <c r="D217" s="22"/>
      <c r="E217" s="7"/>
      <c r="F217" s="7"/>
      <c r="G217" s="7"/>
      <c r="H217" s="7"/>
      <c r="I217" s="82"/>
      <c r="J217" s="7"/>
      <c r="K217" s="7"/>
      <c r="L217" s="7"/>
      <c r="M217" s="7"/>
      <c r="N217" s="7"/>
      <c r="O217" s="7"/>
      <c r="P217" s="7"/>
    </row>
    <row r="218" spans="1:16" ht="18.600000000000001" customHeight="1" x14ac:dyDescent="0.2">
      <c r="A218" s="7">
        <f t="shared" si="36"/>
        <v>4</v>
      </c>
      <c r="B218" s="26"/>
      <c r="C218" s="26"/>
      <c r="D218" s="22"/>
      <c r="E218" s="7"/>
      <c r="F218" s="7"/>
      <c r="G218" s="7"/>
      <c r="H218" s="7"/>
      <c r="I218" s="82"/>
      <c r="J218" s="7"/>
      <c r="K218" s="7"/>
      <c r="L218" s="7"/>
      <c r="M218" s="7"/>
      <c r="N218" s="7"/>
      <c r="O218" s="7"/>
      <c r="P218" s="7"/>
    </row>
    <row r="219" spans="1:16" ht="18.600000000000001" customHeight="1" x14ac:dyDescent="0.2">
      <c r="A219" s="6">
        <f t="shared" si="36"/>
        <v>5</v>
      </c>
      <c r="B219" s="58"/>
      <c r="C219" s="58"/>
      <c r="D219" s="59"/>
      <c r="E219" s="16"/>
      <c r="F219" s="16"/>
      <c r="G219" s="16"/>
      <c r="H219" s="16"/>
      <c r="I219" s="83"/>
      <c r="J219" s="16"/>
      <c r="K219" s="16"/>
      <c r="L219" s="16"/>
      <c r="M219" s="16"/>
      <c r="N219" s="16"/>
      <c r="O219" s="16"/>
      <c r="P219" s="16"/>
    </row>
    <row r="220" spans="1:16" ht="18.600000000000001" customHeight="1" x14ac:dyDescent="0.2">
      <c r="A220" s="56">
        <f t="shared" si="36"/>
        <v>6</v>
      </c>
      <c r="B220" s="57"/>
      <c r="C220" s="57"/>
      <c r="D220" s="21"/>
      <c r="E220" s="2"/>
      <c r="F220" s="2"/>
      <c r="G220" s="2"/>
      <c r="H220" s="2"/>
      <c r="I220" s="84"/>
      <c r="J220" s="2"/>
      <c r="K220" s="2"/>
      <c r="L220" s="2"/>
      <c r="M220" s="2"/>
      <c r="N220" s="2"/>
      <c r="O220" s="2"/>
      <c r="P220" s="2"/>
    </row>
    <row r="221" spans="1:16" ht="18.600000000000001" customHeight="1" x14ac:dyDescent="0.2">
      <c r="A221" s="6">
        <f t="shared" si="36"/>
        <v>7</v>
      </c>
      <c r="B221" s="26"/>
      <c r="C221" s="26"/>
      <c r="D221" s="22"/>
      <c r="E221" s="4"/>
      <c r="F221" s="4"/>
      <c r="G221" s="4"/>
      <c r="H221" s="4"/>
      <c r="I221" s="85"/>
      <c r="J221" s="4"/>
      <c r="K221" s="4"/>
      <c r="L221" s="4"/>
      <c r="M221" s="4"/>
      <c r="N221" s="4"/>
      <c r="O221" s="4"/>
      <c r="P221" s="4"/>
    </row>
    <row r="222" spans="1:16" ht="18.600000000000001" customHeight="1" x14ac:dyDescent="0.2">
      <c r="A222" s="6">
        <f t="shared" si="36"/>
        <v>8</v>
      </c>
      <c r="B222" s="26"/>
      <c r="C222" s="26"/>
      <c r="D222" s="22"/>
      <c r="E222" s="4"/>
      <c r="F222" s="4"/>
      <c r="G222" s="4"/>
      <c r="H222" s="4"/>
      <c r="I222" s="85"/>
      <c r="J222" s="4"/>
      <c r="K222" s="4"/>
      <c r="L222" s="4"/>
      <c r="M222" s="4"/>
      <c r="N222" s="4"/>
      <c r="O222" s="4"/>
      <c r="P222" s="4"/>
    </row>
    <row r="223" spans="1:16" ht="18.600000000000001" customHeight="1" x14ac:dyDescent="0.2">
      <c r="A223" s="6">
        <f t="shared" si="36"/>
        <v>9</v>
      </c>
      <c r="B223" s="26"/>
      <c r="C223" s="26"/>
      <c r="D223" s="22"/>
      <c r="E223" s="4"/>
      <c r="F223" s="4"/>
      <c r="G223" s="4"/>
      <c r="H223" s="4"/>
      <c r="I223" s="85"/>
      <c r="J223" s="4"/>
      <c r="K223" s="4"/>
      <c r="L223" s="4"/>
      <c r="M223" s="4"/>
      <c r="N223" s="4"/>
      <c r="O223" s="4"/>
      <c r="P223" s="4"/>
    </row>
    <row r="224" spans="1:16" ht="18.600000000000001" customHeight="1" x14ac:dyDescent="0.2">
      <c r="A224" s="10">
        <f t="shared" si="36"/>
        <v>10</v>
      </c>
      <c r="B224" s="62"/>
      <c r="C224" s="62"/>
      <c r="D224" s="23"/>
      <c r="E224" s="12"/>
      <c r="F224" s="12"/>
      <c r="G224" s="12"/>
      <c r="H224" s="12"/>
      <c r="I224" s="86"/>
      <c r="J224" s="12"/>
      <c r="K224" s="12"/>
      <c r="L224" s="12"/>
      <c r="M224" s="12"/>
      <c r="N224" s="12"/>
      <c r="O224" s="12"/>
      <c r="P224" s="12"/>
    </row>
    <row r="225" spans="1:16" ht="18.600000000000001" customHeight="1" x14ac:dyDescent="0.2">
      <c r="A225" s="35">
        <f t="shared" si="36"/>
        <v>11</v>
      </c>
      <c r="B225" s="60"/>
      <c r="C225" s="60"/>
      <c r="D225" s="61"/>
      <c r="E225" s="14"/>
      <c r="F225" s="14"/>
      <c r="G225" s="14"/>
      <c r="H225" s="14"/>
      <c r="I225" s="87"/>
      <c r="J225" s="14"/>
      <c r="K225" s="14"/>
      <c r="L225" s="14"/>
      <c r="M225" s="14"/>
      <c r="N225" s="14"/>
      <c r="O225" s="14"/>
      <c r="P225" s="14"/>
    </row>
    <row r="226" spans="1:16" ht="18.600000000000001" customHeight="1" x14ac:dyDescent="0.2">
      <c r="A226" s="7">
        <f t="shared" si="36"/>
        <v>12</v>
      </c>
      <c r="B226" s="26"/>
      <c r="C226" s="26"/>
      <c r="D226" s="22"/>
      <c r="E226" s="4"/>
      <c r="F226" s="4"/>
      <c r="G226" s="4"/>
      <c r="H226" s="4"/>
      <c r="I226" s="85"/>
      <c r="J226" s="4"/>
      <c r="K226" s="4"/>
      <c r="L226" s="4"/>
      <c r="M226" s="4"/>
      <c r="N226" s="4"/>
      <c r="O226" s="4"/>
      <c r="P226" s="4"/>
    </row>
    <row r="227" spans="1:16" ht="18.600000000000001" customHeight="1" x14ac:dyDescent="0.2">
      <c r="A227" s="7">
        <f t="shared" si="36"/>
        <v>13</v>
      </c>
      <c r="B227" s="26"/>
      <c r="C227" s="26"/>
      <c r="D227" s="22"/>
      <c r="E227" s="4"/>
      <c r="F227" s="4"/>
      <c r="G227" s="4"/>
      <c r="H227" s="4"/>
      <c r="I227" s="85"/>
      <c r="J227" s="4"/>
      <c r="K227" s="4"/>
      <c r="L227" s="4"/>
      <c r="M227" s="4"/>
      <c r="N227" s="4"/>
      <c r="O227" s="4"/>
      <c r="P227" s="4"/>
    </row>
    <row r="228" spans="1:16" ht="18.600000000000001" customHeight="1" x14ac:dyDescent="0.2">
      <c r="A228" s="7">
        <f t="shared" si="36"/>
        <v>14</v>
      </c>
      <c r="B228" s="3"/>
      <c r="C228" s="4"/>
      <c r="D228" s="8"/>
      <c r="E228" s="4"/>
      <c r="F228" s="4"/>
      <c r="G228" s="4"/>
      <c r="H228" s="4"/>
      <c r="I228" s="85"/>
      <c r="J228" s="4"/>
      <c r="K228" s="4"/>
      <c r="L228" s="4"/>
      <c r="M228" s="4"/>
      <c r="N228" s="4"/>
      <c r="O228" s="4"/>
      <c r="P228" s="4"/>
    </row>
    <row r="229" spans="1:16" ht="18.600000000000001" customHeight="1" x14ac:dyDescent="0.2">
      <c r="A229" s="6">
        <f t="shared" si="36"/>
        <v>15</v>
      </c>
      <c r="B229" s="15"/>
      <c r="C229" s="16"/>
      <c r="D229" s="5"/>
      <c r="E229" s="16"/>
      <c r="F229" s="16"/>
      <c r="G229" s="16"/>
      <c r="H229" s="16"/>
      <c r="I229" s="83"/>
      <c r="J229" s="16"/>
      <c r="K229" s="16"/>
      <c r="L229" s="16"/>
      <c r="M229" s="16"/>
      <c r="N229" s="16"/>
      <c r="O229" s="16"/>
      <c r="P229" s="16"/>
    </row>
    <row r="230" spans="1:16" ht="18.600000000000001" customHeight="1" x14ac:dyDescent="0.2">
      <c r="A230" s="32">
        <f t="shared" si="36"/>
        <v>16</v>
      </c>
      <c r="B230" s="1"/>
      <c r="C230" s="2"/>
      <c r="D230" s="33"/>
      <c r="E230" s="2"/>
      <c r="F230" s="2"/>
      <c r="G230" s="2"/>
      <c r="H230" s="2"/>
      <c r="I230" s="84"/>
      <c r="J230" s="2"/>
      <c r="K230" s="2"/>
      <c r="L230" s="2"/>
      <c r="M230" s="2"/>
      <c r="N230" s="2"/>
      <c r="O230" s="2"/>
      <c r="P230" s="2"/>
    </row>
    <row r="231" spans="1:16" ht="18.600000000000001" customHeight="1" x14ac:dyDescent="0.2">
      <c r="A231" s="7">
        <f t="shared" si="36"/>
        <v>17</v>
      </c>
      <c r="B231" s="3"/>
      <c r="C231" s="4"/>
      <c r="D231" s="8"/>
      <c r="E231" s="4"/>
      <c r="F231" s="4"/>
      <c r="G231" s="4"/>
      <c r="H231" s="4"/>
      <c r="I231" s="85"/>
      <c r="J231" s="4"/>
      <c r="K231" s="4"/>
      <c r="L231" s="4"/>
      <c r="M231" s="4"/>
      <c r="N231" s="4"/>
      <c r="O231" s="4"/>
      <c r="P231" s="4"/>
    </row>
    <row r="232" spans="1:16" ht="18.600000000000001" customHeight="1" x14ac:dyDescent="0.2">
      <c r="A232" s="7">
        <f t="shared" si="36"/>
        <v>18</v>
      </c>
      <c r="B232" s="3"/>
      <c r="C232" s="4"/>
      <c r="D232" s="8"/>
      <c r="E232" s="4"/>
      <c r="F232" s="4"/>
      <c r="G232" s="4"/>
      <c r="H232" s="4"/>
      <c r="I232" s="85"/>
      <c r="J232" s="4"/>
      <c r="K232" s="4"/>
      <c r="L232" s="4"/>
      <c r="M232" s="4"/>
      <c r="N232" s="4"/>
      <c r="O232" s="4"/>
      <c r="P232" s="4"/>
    </row>
    <row r="233" spans="1:16" ht="18.600000000000001" customHeight="1" x14ac:dyDescent="0.2">
      <c r="A233" s="7">
        <f t="shared" si="36"/>
        <v>19</v>
      </c>
      <c r="B233" s="3"/>
      <c r="C233" s="4"/>
      <c r="D233" s="8"/>
      <c r="E233" s="4"/>
      <c r="F233" s="4"/>
      <c r="G233" s="4"/>
      <c r="H233" s="4"/>
      <c r="I233" s="85"/>
      <c r="J233" s="4"/>
      <c r="K233" s="4"/>
      <c r="L233" s="4"/>
      <c r="M233" s="4"/>
      <c r="N233" s="4"/>
      <c r="O233" s="4"/>
      <c r="P233" s="4"/>
    </row>
    <row r="234" spans="1:16" ht="18.600000000000001" customHeight="1" x14ac:dyDescent="0.2">
      <c r="A234" s="10">
        <f t="shared" si="36"/>
        <v>20</v>
      </c>
      <c r="B234" s="11"/>
      <c r="C234" s="12"/>
      <c r="D234" s="9"/>
      <c r="E234" s="12"/>
      <c r="F234" s="12"/>
      <c r="G234" s="12"/>
      <c r="H234" s="12"/>
      <c r="I234" s="86"/>
      <c r="J234" s="12"/>
      <c r="K234" s="12"/>
      <c r="L234" s="12"/>
      <c r="M234" s="12"/>
      <c r="N234" s="12"/>
      <c r="O234" s="12"/>
      <c r="P234" s="12"/>
    </row>
    <row r="235" spans="1:16" ht="18.600000000000001" customHeight="1" x14ac:dyDescent="0.2">
      <c r="A235" s="35">
        <f t="shared" si="36"/>
        <v>21</v>
      </c>
      <c r="B235" s="13"/>
      <c r="C235" s="14"/>
      <c r="D235" s="37"/>
      <c r="E235" s="14"/>
      <c r="F235" s="14"/>
      <c r="G235" s="14"/>
      <c r="H235" s="14"/>
      <c r="I235" s="87"/>
      <c r="J235" s="14"/>
      <c r="K235" s="14"/>
      <c r="L235" s="14"/>
      <c r="M235" s="14"/>
      <c r="N235" s="14"/>
      <c r="O235" s="14"/>
      <c r="P235" s="14"/>
    </row>
    <row r="236" spans="1:16" ht="18.600000000000001" customHeight="1" x14ac:dyDescent="0.2">
      <c r="A236" s="7">
        <f t="shared" si="36"/>
        <v>22</v>
      </c>
      <c r="B236" s="3"/>
      <c r="C236" s="4"/>
      <c r="D236" s="8"/>
      <c r="E236" s="4"/>
      <c r="F236" s="4"/>
      <c r="G236" s="4"/>
      <c r="H236" s="4"/>
      <c r="I236" s="85"/>
      <c r="J236" s="4"/>
      <c r="K236" s="4"/>
      <c r="L236" s="4"/>
      <c r="M236" s="4"/>
      <c r="N236" s="4"/>
      <c r="O236" s="4"/>
      <c r="P236" s="4"/>
    </row>
    <row r="237" spans="1:16" ht="18.600000000000001" customHeight="1" x14ac:dyDescent="0.2">
      <c r="A237" s="35">
        <f t="shared" si="36"/>
        <v>23</v>
      </c>
      <c r="B237" s="3"/>
      <c r="C237" s="4"/>
      <c r="D237" s="8"/>
      <c r="E237" s="4"/>
      <c r="F237" s="4"/>
      <c r="G237" s="4"/>
      <c r="H237" s="4"/>
      <c r="I237" s="85"/>
      <c r="J237" s="4"/>
      <c r="K237" s="4"/>
      <c r="L237" s="4"/>
      <c r="M237" s="4"/>
      <c r="N237" s="4"/>
      <c r="O237" s="4"/>
      <c r="P237" s="4"/>
    </row>
    <row r="238" spans="1:16" ht="18.600000000000001" customHeight="1" x14ac:dyDescent="0.2">
      <c r="A238" s="7">
        <f t="shared" si="36"/>
        <v>24</v>
      </c>
      <c r="B238" s="3"/>
      <c r="C238" s="4"/>
      <c r="D238" s="8"/>
      <c r="E238" s="4"/>
      <c r="F238" s="4"/>
      <c r="G238" s="4"/>
      <c r="H238" s="4"/>
      <c r="I238" s="85"/>
      <c r="J238" s="4"/>
      <c r="K238" s="4"/>
      <c r="L238" s="4"/>
      <c r="M238" s="4"/>
      <c r="N238" s="4"/>
      <c r="O238" s="4"/>
      <c r="P238" s="4"/>
    </row>
    <row r="239" spans="1:16" ht="18.600000000000001" customHeight="1" x14ac:dyDescent="0.2">
      <c r="A239" s="35">
        <f t="shared" si="36"/>
        <v>25</v>
      </c>
      <c r="B239" s="11"/>
      <c r="C239" s="12"/>
      <c r="D239" s="9"/>
      <c r="E239" s="12"/>
      <c r="F239" s="12"/>
      <c r="G239" s="12"/>
      <c r="H239" s="12"/>
      <c r="I239" s="86"/>
      <c r="J239" s="12"/>
      <c r="K239" s="12"/>
      <c r="L239" s="12"/>
      <c r="M239" s="12"/>
      <c r="N239" s="12"/>
      <c r="O239" s="12"/>
      <c r="P239" s="12"/>
    </row>
    <row r="240" spans="1:16" ht="18.600000000000001" customHeight="1" x14ac:dyDescent="0.3">
      <c r="A240" s="147"/>
      <c r="B240" s="148"/>
      <c r="C240" s="147"/>
      <c r="D240" s="149"/>
      <c r="E240" s="150">
        <f>SUBTOTAL(9,E215:E239)</f>
        <v>0</v>
      </c>
      <c r="F240" s="152"/>
      <c r="G240" s="150">
        <f t="shared" ref="G240" si="37">SUBTOTAL(9,G215:G239)</f>
        <v>0</v>
      </c>
      <c r="H240" s="152"/>
      <c r="I240" s="150">
        <f t="shared" ref="I240" si="38">SUBTOTAL(9,I215:I239)</f>
        <v>0</v>
      </c>
      <c r="J240" s="152"/>
      <c r="K240" s="152"/>
      <c r="L240" s="152"/>
      <c r="M240" s="150">
        <f t="shared" ref="M240" si="39">SUBTOTAL(9,M215:M239)</f>
        <v>0</v>
      </c>
      <c r="N240" s="152"/>
      <c r="O240" s="150">
        <f t="shared" ref="O240" si="40">SUBTOTAL(9,O215:O239)</f>
        <v>0</v>
      </c>
      <c r="P240" s="152"/>
    </row>
    <row r="241" spans="1:16" ht="18.600000000000001" customHeight="1" x14ac:dyDescent="0.2">
      <c r="A241" s="434" t="str">
        <f>A211</f>
        <v>DANH SÁCH LỚP TA NƯỚC NGOÀI</v>
      </c>
      <c r="B241" s="434"/>
      <c r="C241" s="434"/>
      <c r="D241" s="434"/>
      <c r="E241" s="434"/>
      <c r="F241" s="434"/>
      <c r="G241" s="434"/>
      <c r="H241" s="434"/>
      <c r="I241" s="92">
        <v>9</v>
      </c>
      <c r="J241" s="48"/>
      <c r="K241" s="48"/>
      <c r="L241" s="48"/>
      <c r="M241" s="41"/>
      <c r="N241" s="41"/>
      <c r="O241" s="41"/>
      <c r="P241" s="41"/>
    </row>
    <row r="242" spans="1:16" ht="18.600000000000001" customHeight="1" x14ac:dyDescent="0.2">
      <c r="A242" s="28"/>
      <c r="B242" s="29"/>
      <c r="C242" s="30"/>
      <c r="D242" s="36"/>
      <c r="E242" s="28"/>
      <c r="F242" s="28"/>
      <c r="G242" s="28"/>
      <c r="H242" s="28"/>
      <c r="I242" s="79"/>
      <c r="J242" s="28"/>
      <c r="K242" s="28"/>
      <c r="L242" s="28"/>
      <c r="M242" s="28"/>
      <c r="N242" s="28"/>
      <c r="O242" s="28"/>
      <c r="P242" s="28"/>
    </row>
    <row r="243" spans="1:16" ht="18.600000000000001" customHeight="1" x14ac:dyDescent="0.2">
      <c r="A243" s="435" t="s">
        <v>374</v>
      </c>
      <c r="B243" s="435" t="s">
        <v>380</v>
      </c>
      <c r="C243" s="435" t="s">
        <v>383</v>
      </c>
      <c r="D243" s="437" t="s">
        <v>384</v>
      </c>
      <c r="E243" s="438" t="s">
        <v>385</v>
      </c>
      <c r="F243" s="439"/>
      <c r="G243" s="432" t="str">
        <f>$R$1</f>
        <v>Đợt 6</v>
      </c>
      <c r="H243" s="433"/>
      <c r="I243" s="432" t="str">
        <f>$T$1</f>
        <v>Đợt 7</v>
      </c>
      <c r="J243" s="433"/>
      <c r="K243" s="432" t="str">
        <f>$V$1</f>
        <v>Đợt 8</v>
      </c>
      <c r="L243" s="433"/>
      <c r="M243" s="432" t="str">
        <f>$X$1</f>
        <v>Đợt 9</v>
      </c>
      <c r="N243" s="433"/>
      <c r="O243" s="432" t="str">
        <f>$Z$1</f>
        <v>Đợt 10</v>
      </c>
      <c r="P243" s="433"/>
    </row>
    <row r="244" spans="1:16" ht="18.600000000000001" customHeight="1" x14ac:dyDescent="0.2">
      <c r="A244" s="436"/>
      <c r="B244" s="436"/>
      <c r="C244" s="436"/>
      <c r="D244" s="436"/>
      <c r="E244" s="31" t="s">
        <v>381</v>
      </c>
      <c r="F244" s="31" t="s">
        <v>382</v>
      </c>
      <c r="G244" s="31" t="s">
        <v>381</v>
      </c>
      <c r="H244" s="31" t="s">
        <v>382</v>
      </c>
      <c r="I244" s="80" t="s">
        <v>381</v>
      </c>
      <c r="J244" s="31" t="s">
        <v>382</v>
      </c>
      <c r="K244" s="80" t="s">
        <v>381</v>
      </c>
      <c r="L244" s="31" t="s">
        <v>382</v>
      </c>
      <c r="M244" s="31" t="s">
        <v>381</v>
      </c>
      <c r="N244" s="31" t="s">
        <v>382</v>
      </c>
      <c r="O244" s="31" t="s">
        <v>381</v>
      </c>
      <c r="P244" s="31" t="s">
        <v>382</v>
      </c>
    </row>
    <row r="245" spans="1:16" ht="18.600000000000001" customHeight="1" x14ac:dyDescent="0.2">
      <c r="A245" s="32">
        <v>1</v>
      </c>
      <c r="B245" s="26"/>
      <c r="C245" s="26"/>
      <c r="D245" s="22"/>
      <c r="E245" s="32"/>
      <c r="F245" s="34"/>
      <c r="G245" s="32"/>
      <c r="H245" s="93"/>
      <c r="I245" s="81"/>
      <c r="J245" s="34"/>
      <c r="K245" s="34"/>
      <c r="L245" s="34"/>
      <c r="M245" s="32"/>
      <c r="N245" s="34"/>
      <c r="O245" s="32"/>
      <c r="P245" s="34"/>
    </row>
    <row r="246" spans="1:16" ht="18.600000000000001" customHeight="1" x14ac:dyDescent="0.2">
      <c r="A246" s="7">
        <f t="shared" ref="A246:A269" si="41">A245+1</f>
        <v>2</v>
      </c>
      <c r="B246" s="26"/>
      <c r="C246" s="26"/>
      <c r="D246" s="22"/>
      <c r="E246" s="7"/>
      <c r="F246" s="7"/>
      <c r="G246" s="7"/>
      <c r="H246" s="7"/>
      <c r="I246" s="82"/>
      <c r="J246" s="7"/>
      <c r="K246" s="7"/>
      <c r="L246" s="7"/>
      <c r="M246" s="7"/>
      <c r="N246" s="7"/>
      <c r="O246" s="7"/>
      <c r="P246" s="7"/>
    </row>
    <row r="247" spans="1:16" ht="18.600000000000001" customHeight="1" x14ac:dyDescent="0.2">
      <c r="A247" s="7">
        <f t="shared" si="41"/>
        <v>3</v>
      </c>
      <c r="B247" s="26"/>
      <c r="C247" s="26"/>
      <c r="D247" s="22"/>
      <c r="E247" s="7"/>
      <c r="F247" s="7"/>
      <c r="G247" s="7"/>
      <c r="H247" s="7"/>
      <c r="I247" s="82"/>
      <c r="J247" s="7"/>
      <c r="K247" s="7"/>
      <c r="L247" s="7"/>
      <c r="M247" s="7"/>
      <c r="N247" s="7"/>
      <c r="O247" s="7"/>
      <c r="P247" s="7"/>
    </row>
    <row r="248" spans="1:16" ht="18.600000000000001" customHeight="1" x14ac:dyDescent="0.2">
      <c r="A248" s="7">
        <f t="shared" si="41"/>
        <v>4</v>
      </c>
      <c r="B248" s="26"/>
      <c r="C248" s="26"/>
      <c r="D248" s="22"/>
      <c r="E248" s="7"/>
      <c r="F248" s="7"/>
      <c r="G248" s="7"/>
      <c r="H248" s="7"/>
      <c r="I248" s="82"/>
      <c r="J248" s="7"/>
      <c r="K248" s="7"/>
      <c r="L248" s="7"/>
      <c r="M248" s="7"/>
      <c r="N248" s="7"/>
      <c r="O248" s="7"/>
      <c r="P248" s="7"/>
    </row>
    <row r="249" spans="1:16" ht="18.600000000000001" customHeight="1" x14ac:dyDescent="0.2">
      <c r="A249" s="6">
        <f t="shared" si="41"/>
        <v>5</v>
      </c>
      <c r="B249" s="58"/>
      <c r="C249" s="58"/>
      <c r="D249" s="59"/>
      <c r="E249" s="16"/>
      <c r="F249" s="16"/>
      <c r="G249" s="16"/>
      <c r="H249" s="16"/>
      <c r="I249" s="83"/>
      <c r="J249" s="16"/>
      <c r="K249" s="16"/>
      <c r="L249" s="16"/>
      <c r="M249" s="16"/>
      <c r="N249" s="16"/>
      <c r="O249" s="16"/>
      <c r="P249" s="16"/>
    </row>
    <row r="250" spans="1:16" ht="18.600000000000001" customHeight="1" x14ac:dyDescent="0.2">
      <c r="A250" s="56">
        <f t="shared" si="41"/>
        <v>6</v>
      </c>
      <c r="B250" s="57"/>
      <c r="C250" s="57"/>
      <c r="D250" s="21"/>
      <c r="E250" s="2"/>
      <c r="F250" s="2"/>
      <c r="G250" s="2"/>
      <c r="H250" s="2"/>
      <c r="I250" s="84"/>
      <c r="J250" s="2"/>
      <c r="K250" s="2"/>
      <c r="L250" s="2"/>
      <c r="M250" s="2"/>
      <c r="N250" s="2"/>
      <c r="O250" s="2"/>
      <c r="P250" s="2"/>
    </row>
    <row r="251" spans="1:16" ht="18.600000000000001" customHeight="1" x14ac:dyDescent="0.2">
      <c r="A251" s="6">
        <f t="shared" si="41"/>
        <v>7</v>
      </c>
      <c r="B251" s="26"/>
      <c r="C251" s="26"/>
      <c r="D251" s="22"/>
      <c r="E251" s="4"/>
      <c r="F251" s="4"/>
      <c r="G251" s="4"/>
      <c r="H251" s="4"/>
      <c r="I251" s="85"/>
      <c r="J251" s="4"/>
      <c r="K251" s="4"/>
      <c r="L251" s="4"/>
      <c r="M251" s="4"/>
      <c r="N251" s="4"/>
      <c r="O251" s="4"/>
      <c r="P251" s="4"/>
    </row>
    <row r="252" spans="1:16" ht="18.600000000000001" customHeight="1" x14ac:dyDescent="0.2">
      <c r="A252" s="6">
        <f t="shared" si="41"/>
        <v>8</v>
      </c>
      <c r="B252" s="26"/>
      <c r="C252" s="26"/>
      <c r="D252" s="22"/>
      <c r="E252" s="4"/>
      <c r="F252" s="4"/>
      <c r="G252" s="4"/>
      <c r="H252" s="4"/>
      <c r="I252" s="85"/>
      <c r="J252" s="4"/>
      <c r="K252" s="4"/>
      <c r="L252" s="4"/>
      <c r="M252" s="4"/>
      <c r="N252" s="4"/>
      <c r="O252" s="4"/>
      <c r="P252" s="4"/>
    </row>
    <row r="253" spans="1:16" ht="18.600000000000001" customHeight="1" x14ac:dyDescent="0.2">
      <c r="A253" s="6">
        <f t="shared" si="41"/>
        <v>9</v>
      </c>
      <c r="B253" s="26"/>
      <c r="C253" s="26"/>
      <c r="D253" s="22"/>
      <c r="E253" s="4"/>
      <c r="F253" s="4"/>
      <c r="G253" s="4"/>
      <c r="H253" s="4"/>
      <c r="I253" s="85"/>
      <c r="J253" s="4"/>
      <c r="K253" s="4"/>
      <c r="L253" s="4"/>
      <c r="M253" s="4"/>
      <c r="N253" s="4"/>
      <c r="O253" s="4"/>
      <c r="P253" s="4"/>
    </row>
    <row r="254" spans="1:16" ht="18.600000000000001" customHeight="1" x14ac:dyDescent="0.2">
      <c r="A254" s="10">
        <f t="shared" si="41"/>
        <v>10</v>
      </c>
      <c r="B254" s="62"/>
      <c r="C254" s="62"/>
      <c r="D254" s="23"/>
      <c r="E254" s="12"/>
      <c r="F254" s="12"/>
      <c r="G254" s="12"/>
      <c r="H254" s="12"/>
      <c r="I254" s="86"/>
      <c r="J254" s="12"/>
      <c r="K254" s="12"/>
      <c r="L254" s="12"/>
      <c r="M254" s="12"/>
      <c r="N254" s="12"/>
      <c r="O254" s="12"/>
      <c r="P254" s="12"/>
    </row>
    <row r="255" spans="1:16" ht="18.600000000000001" customHeight="1" x14ac:dyDescent="0.2">
      <c r="A255" s="35">
        <f t="shared" si="41"/>
        <v>11</v>
      </c>
      <c r="B255" s="60"/>
      <c r="C255" s="60"/>
      <c r="D255" s="61"/>
      <c r="E255" s="14"/>
      <c r="F255" s="14"/>
      <c r="G255" s="14"/>
      <c r="H255" s="14"/>
      <c r="I255" s="87"/>
      <c r="J255" s="14"/>
      <c r="K255" s="14"/>
      <c r="L255" s="14"/>
      <c r="M255" s="14"/>
      <c r="N255" s="14"/>
      <c r="O255" s="14"/>
      <c r="P255" s="14"/>
    </row>
    <row r="256" spans="1:16" ht="18.600000000000001" customHeight="1" x14ac:dyDescent="0.2">
      <c r="A256" s="7">
        <f t="shared" si="41"/>
        <v>12</v>
      </c>
      <c r="B256" s="26"/>
      <c r="C256" s="26"/>
      <c r="D256" s="22"/>
      <c r="E256" s="4"/>
      <c r="F256" s="4"/>
      <c r="G256" s="4"/>
      <c r="H256" s="4"/>
      <c r="I256" s="85"/>
      <c r="J256" s="4"/>
      <c r="K256" s="4"/>
      <c r="L256" s="4"/>
      <c r="M256" s="4"/>
      <c r="N256" s="4"/>
      <c r="O256" s="4"/>
      <c r="P256" s="4"/>
    </row>
    <row r="257" spans="1:16" ht="18.600000000000001" customHeight="1" x14ac:dyDescent="0.2">
      <c r="A257" s="7">
        <f t="shared" si="41"/>
        <v>13</v>
      </c>
      <c r="B257" s="26"/>
      <c r="C257" s="26"/>
      <c r="D257" s="22"/>
      <c r="E257" s="4"/>
      <c r="F257" s="4"/>
      <c r="G257" s="4"/>
      <c r="H257" s="4"/>
      <c r="I257" s="85"/>
      <c r="J257" s="4"/>
      <c r="K257" s="4"/>
      <c r="L257" s="4"/>
      <c r="M257" s="4"/>
      <c r="N257" s="4"/>
      <c r="O257" s="4"/>
      <c r="P257" s="4"/>
    </row>
    <row r="258" spans="1:16" ht="18.600000000000001" customHeight="1" x14ac:dyDescent="0.2">
      <c r="A258" s="7">
        <f t="shared" si="41"/>
        <v>14</v>
      </c>
      <c r="B258" s="3"/>
      <c r="C258" s="4"/>
      <c r="D258" s="8"/>
      <c r="E258" s="4"/>
      <c r="F258" s="4"/>
      <c r="G258" s="4"/>
      <c r="H258" s="4"/>
      <c r="I258" s="85"/>
      <c r="J258" s="4"/>
      <c r="K258" s="4"/>
      <c r="L258" s="4"/>
      <c r="M258" s="4"/>
      <c r="N258" s="4"/>
      <c r="O258" s="4"/>
      <c r="P258" s="4"/>
    </row>
    <row r="259" spans="1:16" ht="18.600000000000001" customHeight="1" x14ac:dyDescent="0.2">
      <c r="A259" s="6">
        <f t="shared" si="41"/>
        <v>15</v>
      </c>
      <c r="B259" s="15"/>
      <c r="C259" s="16"/>
      <c r="D259" s="5"/>
      <c r="E259" s="16"/>
      <c r="F259" s="16"/>
      <c r="G259" s="16"/>
      <c r="H259" s="16"/>
      <c r="I259" s="83"/>
      <c r="J259" s="16"/>
      <c r="K259" s="16"/>
      <c r="L259" s="16"/>
      <c r="M259" s="16"/>
      <c r="N259" s="16"/>
      <c r="O259" s="16"/>
      <c r="P259" s="16"/>
    </row>
    <row r="260" spans="1:16" ht="18.600000000000001" customHeight="1" x14ac:dyDescent="0.2">
      <c r="A260" s="32">
        <f t="shared" si="41"/>
        <v>16</v>
      </c>
      <c r="B260" s="1"/>
      <c r="C260" s="2"/>
      <c r="D260" s="33"/>
      <c r="E260" s="2"/>
      <c r="F260" s="2"/>
      <c r="G260" s="2"/>
      <c r="H260" s="2"/>
      <c r="I260" s="84"/>
      <c r="J260" s="2"/>
      <c r="K260" s="2"/>
      <c r="L260" s="2"/>
      <c r="M260" s="2"/>
      <c r="N260" s="2"/>
      <c r="O260" s="2"/>
      <c r="P260" s="2"/>
    </row>
    <row r="261" spans="1:16" ht="18.600000000000001" customHeight="1" x14ac:dyDescent="0.2">
      <c r="A261" s="7">
        <f t="shared" si="41"/>
        <v>17</v>
      </c>
      <c r="B261" s="3"/>
      <c r="C261" s="4"/>
      <c r="D261" s="8"/>
      <c r="E261" s="4"/>
      <c r="F261" s="4"/>
      <c r="G261" s="4"/>
      <c r="H261" s="4"/>
      <c r="I261" s="85"/>
      <c r="J261" s="4"/>
      <c r="K261" s="4"/>
      <c r="L261" s="4"/>
      <c r="M261" s="4"/>
      <c r="N261" s="4"/>
      <c r="O261" s="4"/>
      <c r="P261" s="4"/>
    </row>
    <row r="262" spans="1:16" ht="18.600000000000001" customHeight="1" x14ac:dyDescent="0.2">
      <c r="A262" s="7">
        <f t="shared" si="41"/>
        <v>18</v>
      </c>
      <c r="B262" s="3"/>
      <c r="C262" s="4"/>
      <c r="D262" s="8"/>
      <c r="E262" s="4"/>
      <c r="F262" s="4"/>
      <c r="G262" s="4"/>
      <c r="H262" s="4"/>
      <c r="I262" s="85"/>
      <c r="J262" s="4"/>
      <c r="K262" s="4"/>
      <c r="L262" s="4"/>
      <c r="M262" s="4"/>
      <c r="N262" s="4"/>
      <c r="O262" s="4"/>
      <c r="P262" s="4"/>
    </row>
    <row r="263" spans="1:16" ht="18.600000000000001" customHeight="1" x14ac:dyDescent="0.2">
      <c r="A263" s="7">
        <f t="shared" si="41"/>
        <v>19</v>
      </c>
      <c r="B263" s="3"/>
      <c r="C263" s="4"/>
      <c r="D263" s="8"/>
      <c r="E263" s="4"/>
      <c r="F263" s="4"/>
      <c r="G263" s="4"/>
      <c r="H263" s="4"/>
      <c r="I263" s="85"/>
      <c r="J263" s="4"/>
      <c r="K263" s="4"/>
      <c r="L263" s="4"/>
      <c r="M263" s="4"/>
      <c r="N263" s="4"/>
      <c r="O263" s="4"/>
      <c r="P263" s="4"/>
    </row>
    <row r="264" spans="1:16" ht="18.600000000000001" customHeight="1" x14ac:dyDescent="0.2">
      <c r="A264" s="10">
        <f t="shared" si="41"/>
        <v>20</v>
      </c>
      <c r="B264" s="11"/>
      <c r="C264" s="12"/>
      <c r="D264" s="9"/>
      <c r="E264" s="12"/>
      <c r="F264" s="12"/>
      <c r="G264" s="12"/>
      <c r="H264" s="12"/>
      <c r="I264" s="86"/>
      <c r="J264" s="12"/>
      <c r="K264" s="12"/>
      <c r="L264" s="12"/>
      <c r="M264" s="12"/>
      <c r="N264" s="12"/>
      <c r="O264" s="12"/>
      <c r="P264" s="12"/>
    </row>
    <row r="265" spans="1:16" ht="18.600000000000001" customHeight="1" x14ac:dyDescent="0.2">
      <c r="A265" s="35">
        <f t="shared" si="41"/>
        <v>21</v>
      </c>
      <c r="B265" s="13"/>
      <c r="C265" s="14"/>
      <c r="D265" s="37"/>
      <c r="E265" s="14"/>
      <c r="F265" s="14"/>
      <c r="G265" s="14"/>
      <c r="H265" s="14"/>
      <c r="I265" s="87"/>
      <c r="J265" s="14"/>
      <c r="K265" s="14"/>
      <c r="L265" s="14"/>
      <c r="M265" s="14"/>
      <c r="N265" s="14"/>
      <c r="O265" s="14"/>
      <c r="P265" s="14"/>
    </row>
    <row r="266" spans="1:16" ht="18.600000000000001" customHeight="1" x14ac:dyDescent="0.2">
      <c r="A266" s="7">
        <f t="shared" si="41"/>
        <v>22</v>
      </c>
      <c r="B266" s="3"/>
      <c r="C266" s="4"/>
      <c r="D266" s="8"/>
      <c r="E266" s="4"/>
      <c r="F266" s="4"/>
      <c r="G266" s="4"/>
      <c r="H266" s="4"/>
      <c r="I266" s="85"/>
      <c r="J266" s="4"/>
      <c r="K266" s="4"/>
      <c r="L266" s="4"/>
      <c r="M266" s="4"/>
      <c r="N266" s="4"/>
      <c r="O266" s="4"/>
      <c r="P266" s="4"/>
    </row>
    <row r="267" spans="1:16" ht="18.600000000000001" customHeight="1" x14ac:dyDescent="0.2">
      <c r="A267" s="35">
        <f t="shared" si="41"/>
        <v>23</v>
      </c>
      <c r="B267" s="3"/>
      <c r="C267" s="4"/>
      <c r="D267" s="8"/>
      <c r="E267" s="4"/>
      <c r="F267" s="4"/>
      <c r="G267" s="4"/>
      <c r="H267" s="4"/>
      <c r="I267" s="85"/>
      <c r="J267" s="4"/>
      <c r="K267" s="4"/>
      <c r="L267" s="4"/>
      <c r="M267" s="4"/>
      <c r="N267" s="4"/>
      <c r="O267" s="4"/>
      <c r="P267" s="4"/>
    </row>
    <row r="268" spans="1:16" ht="18.600000000000001" customHeight="1" x14ac:dyDescent="0.2">
      <c r="A268" s="7">
        <f t="shared" si="41"/>
        <v>24</v>
      </c>
      <c r="B268" s="3"/>
      <c r="C268" s="4"/>
      <c r="D268" s="8"/>
      <c r="E268" s="4"/>
      <c r="F268" s="4"/>
      <c r="G268" s="4"/>
      <c r="H268" s="4"/>
      <c r="I268" s="85"/>
      <c r="J268" s="4"/>
      <c r="K268" s="4"/>
      <c r="L268" s="4"/>
      <c r="M268" s="4"/>
      <c r="N268" s="4"/>
      <c r="O268" s="4"/>
      <c r="P268" s="4"/>
    </row>
    <row r="269" spans="1:16" ht="18.600000000000001" customHeight="1" x14ac:dyDescent="0.2">
      <c r="A269" s="35">
        <f t="shared" si="41"/>
        <v>25</v>
      </c>
      <c r="B269" s="11"/>
      <c r="C269" s="12"/>
      <c r="D269" s="9"/>
      <c r="E269" s="12"/>
      <c r="F269" s="12"/>
      <c r="G269" s="12"/>
      <c r="H269" s="12"/>
      <c r="I269" s="86"/>
      <c r="J269" s="12"/>
      <c r="K269" s="12"/>
      <c r="L269" s="12"/>
      <c r="M269" s="12"/>
      <c r="N269" s="12"/>
      <c r="O269" s="12"/>
      <c r="P269" s="12"/>
    </row>
    <row r="270" spans="1:16" ht="18.600000000000001" customHeight="1" x14ac:dyDescent="0.3">
      <c r="A270" s="147"/>
      <c r="B270" s="148"/>
      <c r="C270" s="147"/>
      <c r="D270" s="149"/>
      <c r="E270" s="150">
        <f>SUBTOTAL(9,E245:E269)</f>
        <v>0</v>
      </c>
      <c r="F270" s="152"/>
      <c r="G270" s="150">
        <f t="shared" ref="G270" si="42">SUBTOTAL(9,G245:G269)</f>
        <v>0</v>
      </c>
      <c r="H270" s="152"/>
      <c r="I270" s="150">
        <f t="shared" ref="I270" si="43">SUBTOTAL(9,I245:I269)</f>
        <v>0</v>
      </c>
      <c r="J270" s="152"/>
      <c r="K270" s="152"/>
      <c r="L270" s="152"/>
      <c r="M270" s="150">
        <f t="shared" ref="M270" si="44">SUBTOTAL(9,M245:M269)</f>
        <v>0</v>
      </c>
      <c r="N270" s="152"/>
      <c r="O270" s="150">
        <f t="shared" ref="O270" si="45">SUBTOTAL(9,O245:O269)</f>
        <v>0</v>
      </c>
      <c r="P270" s="152"/>
    </row>
  </sheetData>
  <mergeCells count="112">
    <mergeCell ref="G243:H243"/>
    <mergeCell ref="I243:J243"/>
    <mergeCell ref="K243:L243"/>
    <mergeCell ref="M243:N243"/>
    <mergeCell ref="O243:P243"/>
    <mergeCell ref="I213:J213"/>
    <mergeCell ref="K213:L213"/>
    <mergeCell ref="M213:N213"/>
    <mergeCell ref="O213:P213"/>
    <mergeCell ref="A241:H241"/>
    <mergeCell ref="A243:A244"/>
    <mergeCell ref="B243:B244"/>
    <mergeCell ref="C243:C244"/>
    <mergeCell ref="D243:D244"/>
    <mergeCell ref="E243:F243"/>
    <mergeCell ref="A213:A214"/>
    <mergeCell ref="B213:B214"/>
    <mergeCell ref="C213:C214"/>
    <mergeCell ref="D213:D214"/>
    <mergeCell ref="E213:F213"/>
    <mergeCell ref="G213:H213"/>
    <mergeCell ref="G183:H183"/>
    <mergeCell ref="I183:J183"/>
    <mergeCell ref="K183:L183"/>
    <mergeCell ref="M183:N183"/>
    <mergeCell ref="O183:P183"/>
    <mergeCell ref="A211:H211"/>
    <mergeCell ref="I153:J153"/>
    <mergeCell ref="K153:L153"/>
    <mergeCell ref="M153:N153"/>
    <mergeCell ref="O153:P153"/>
    <mergeCell ref="A181:H181"/>
    <mergeCell ref="A183:A184"/>
    <mergeCell ref="B183:B184"/>
    <mergeCell ref="C183:C184"/>
    <mergeCell ref="D183:D184"/>
    <mergeCell ref="E183:F183"/>
    <mergeCell ref="A153:A154"/>
    <mergeCell ref="B153:B154"/>
    <mergeCell ref="C153:C154"/>
    <mergeCell ref="D153:D154"/>
    <mergeCell ref="E153:F153"/>
    <mergeCell ref="G153:H153"/>
    <mergeCell ref="G123:H123"/>
    <mergeCell ref="I123:J123"/>
    <mergeCell ref="K123:L123"/>
    <mergeCell ref="M123:N123"/>
    <mergeCell ref="O123:P123"/>
    <mergeCell ref="A151:H151"/>
    <mergeCell ref="I93:J93"/>
    <mergeCell ref="K93:L93"/>
    <mergeCell ref="M93:N93"/>
    <mergeCell ref="O93:P93"/>
    <mergeCell ref="A121:H121"/>
    <mergeCell ref="A123:A124"/>
    <mergeCell ref="B123:B124"/>
    <mergeCell ref="C123:C124"/>
    <mergeCell ref="D123:D124"/>
    <mergeCell ref="E123:F123"/>
    <mergeCell ref="A93:A94"/>
    <mergeCell ref="B93:B94"/>
    <mergeCell ref="C93:C94"/>
    <mergeCell ref="D93:D94"/>
    <mergeCell ref="E93:F93"/>
    <mergeCell ref="G93:H93"/>
    <mergeCell ref="G63:H63"/>
    <mergeCell ref="I63:J63"/>
    <mergeCell ref="K63:L63"/>
    <mergeCell ref="M63:N63"/>
    <mergeCell ref="O63:P63"/>
    <mergeCell ref="A91:H91"/>
    <mergeCell ref="I33:J33"/>
    <mergeCell ref="K33:L33"/>
    <mergeCell ref="M33:N33"/>
    <mergeCell ref="O33:P33"/>
    <mergeCell ref="A61:H61"/>
    <mergeCell ref="A63:A64"/>
    <mergeCell ref="B63:B64"/>
    <mergeCell ref="C63:C64"/>
    <mergeCell ref="D63:D64"/>
    <mergeCell ref="E63:F63"/>
    <mergeCell ref="A33:A34"/>
    <mergeCell ref="B33:B34"/>
    <mergeCell ref="C33:C34"/>
    <mergeCell ref="D33:D34"/>
    <mergeCell ref="E33:F33"/>
    <mergeCell ref="G33:H33"/>
    <mergeCell ref="I3:J3"/>
    <mergeCell ref="K3:L3"/>
    <mergeCell ref="M3:N3"/>
    <mergeCell ref="O3:P3"/>
    <mergeCell ref="S9:T9"/>
    <mergeCell ref="A31:H31"/>
    <mergeCell ref="A3:A4"/>
    <mergeCell ref="B3:B4"/>
    <mergeCell ref="C3:C4"/>
    <mergeCell ref="D3:D4"/>
    <mergeCell ref="E3:F3"/>
    <mergeCell ref="G3:H3"/>
    <mergeCell ref="AB1:AC1"/>
    <mergeCell ref="R2:S2"/>
    <mergeCell ref="T2:U2"/>
    <mergeCell ref="V2:W2"/>
    <mergeCell ref="X2:Y2"/>
    <mergeCell ref="Z2:AA2"/>
    <mergeCell ref="AB2:AC2"/>
    <mergeCell ref="A1:H1"/>
    <mergeCell ref="R1:S1"/>
    <mergeCell ref="T1:U1"/>
    <mergeCell ref="V1:W1"/>
    <mergeCell ref="X1:Y1"/>
    <mergeCell ref="Z1:AA1"/>
  </mergeCells>
  <phoneticPr fontId="6" type="noConversion"/>
  <conditionalFormatting sqref="A1:P4 A5:A14 E5:P14 A15:P29 A30:D30 F30 H30 J30:L30 N30 P30">
    <cfRule type="expression" dxfId="208" priority="329">
      <formula>ISODD(ROW())</formula>
    </cfRule>
  </conditionalFormatting>
  <conditionalFormatting sqref="A2:P4 A5:A17 E5:P17 A18:P29 A30:D30 F30 H30 J30:L30 N30 P30">
    <cfRule type="expression" dxfId="207" priority="357">
      <formula>MOD(ROW(),2)=1</formula>
    </cfRule>
  </conditionalFormatting>
  <conditionalFormatting sqref="A3:P4 A5:A14 E5:P14 A15:P29 A30:D30 F30 H30 J30:L30 N30 P30">
    <cfRule type="expression" dxfId="206" priority="344">
      <formula>ISOODD(ROW())</formula>
    </cfRule>
    <cfRule type="expression" dxfId="205" priority="343">
      <formula>-ISODD(ROW())</formula>
    </cfRule>
  </conditionalFormatting>
  <conditionalFormatting sqref="A31:P34 A35:A44 E35:P44 A45:P59 A60:D60 F60 H60 J60:L60 N60 P60">
    <cfRule type="expression" dxfId="204" priority="286">
      <formula>ISODD(ROW())</formula>
    </cfRule>
  </conditionalFormatting>
  <conditionalFormatting sqref="A32:P34 A35:A47 E35:P47 A48:P59 A60:D60 F60 H60 J60:L60 N60 P60">
    <cfRule type="expression" dxfId="203" priority="314">
      <formula>MOD(ROW(),2)=1</formula>
    </cfRule>
  </conditionalFormatting>
  <conditionalFormatting sqref="A33:P34 A35:A44 E35:P44 A45:P59 A60:D60 F60 H60 J60:L60 N60 P60">
    <cfRule type="expression" dxfId="202" priority="301">
      <formula>ISOODD(ROW())</formula>
    </cfRule>
    <cfRule type="expression" dxfId="201" priority="300">
      <formula>-ISODD(ROW())</formula>
    </cfRule>
  </conditionalFormatting>
  <conditionalFormatting sqref="A61:P64 A65:A83 E65:P83 A84:P89 A90:D90 F90 H90 J90:L90 N90 P90">
    <cfRule type="expression" dxfId="200" priority="239">
      <formula>ISODD(ROW())</formula>
    </cfRule>
  </conditionalFormatting>
  <conditionalFormatting sqref="A62:P64 A65:A83 E65:P83 A84:P89 A90:D90 F90 H90 J90:L90 N90 P90">
    <cfRule type="expression" dxfId="199" priority="267">
      <formula>MOD(ROW(),2)=1</formula>
    </cfRule>
  </conditionalFormatting>
  <conditionalFormatting sqref="A63:P64 A65:A83 E65:P83 A84:P89 A90:D90 F90 H90 J90:L90 N90 P90">
    <cfRule type="expression" dxfId="198" priority="253">
      <formula>-ISODD(ROW())</formula>
    </cfRule>
    <cfRule type="expression" dxfId="197" priority="254">
      <formula>ISOODD(ROW())</formula>
    </cfRule>
  </conditionalFormatting>
  <conditionalFormatting sqref="A91:P94 A95:A103 E95:P103 A104:P119 A120:D120 F120 H120 J120:L120 N120 P120">
    <cfRule type="expression" dxfId="196" priority="201">
      <formula>ISODD(ROW())</formula>
    </cfRule>
  </conditionalFormatting>
  <conditionalFormatting sqref="A92:P94 A95:A107 E95:P107 A108:P119 A120:D120 F120 H120 J120:L120 N120 P120">
    <cfRule type="expression" dxfId="195" priority="229">
      <formula>MOD(ROW(),2)=1</formula>
    </cfRule>
  </conditionalFormatting>
  <conditionalFormatting sqref="A93:P94 A95:A104 E95:P104 A105:P119 A120:D120 F120 H120 J120:L120 N120 P120">
    <cfRule type="expression" dxfId="194" priority="216">
      <formula>ISOODD(ROW())</formula>
    </cfRule>
    <cfRule type="expression" dxfId="193" priority="215">
      <formula>-ISODD(ROW())</formula>
    </cfRule>
  </conditionalFormatting>
  <conditionalFormatting sqref="A121:P124 A125:A144 E125:P144 A145:P149 A150:D150 F150 H150 J150:L150 N150 P150">
    <cfRule type="expression" dxfId="192" priority="163">
      <formula>ISODD(ROW())</formula>
    </cfRule>
  </conditionalFormatting>
  <conditionalFormatting sqref="A122:P124 A125:A144 E125:P144 A145:P149 A150:D150 F150 H150 J150:L150 N150 P150">
    <cfRule type="expression" dxfId="191" priority="191">
      <formula>MOD(ROW(),2)=1</formula>
    </cfRule>
  </conditionalFormatting>
  <conditionalFormatting sqref="A123:P124 A125:A144 E125:P144 A145:P149 A150:D150 F150 H150 J150:L150 N150 P150">
    <cfRule type="expression" dxfId="190" priority="178">
      <formula>ISOODD(ROW())</formula>
    </cfRule>
    <cfRule type="expression" dxfId="189" priority="177">
      <formula>-ISODD(ROW())</formula>
    </cfRule>
  </conditionalFormatting>
  <conditionalFormatting sqref="A151:P154 A155:A169 E155:P169 A170:P179 A180:D180 F180 H180 J180:L180 N180 P180">
    <cfRule type="expression" dxfId="188" priority="124">
      <formula>ISODD(ROW())</formula>
    </cfRule>
  </conditionalFormatting>
  <conditionalFormatting sqref="A152:P154 A155:A169 E155:P169 A170:P179 A180:D180 F180 H180 J180:L180 N180 P180">
    <cfRule type="expression" dxfId="187" priority="152">
      <formula>MOD(ROW(),2)=1</formula>
    </cfRule>
  </conditionalFormatting>
  <conditionalFormatting sqref="A153:P154 A155:A169 E155:P169 A170:P179 A180:D180 F180 H180 J180:L180 N180 P180">
    <cfRule type="expression" dxfId="186" priority="138">
      <formula>-ISODD(ROW())</formula>
    </cfRule>
    <cfRule type="expression" dxfId="185" priority="139">
      <formula>ISOODD(ROW())</formula>
    </cfRule>
  </conditionalFormatting>
  <conditionalFormatting sqref="A181:P184 A185:A194 E185:P194 A195:P209 A210:D210 F210 H210 J210:L210 N210 P210">
    <cfRule type="expression" dxfId="184" priority="86">
      <formula>ISODD(ROW())</formula>
    </cfRule>
  </conditionalFormatting>
  <conditionalFormatting sqref="A182:P184 A185:A197 E185:P197 A198:P209 A210:D210 F210 H210 J210:L210 N210 P210">
    <cfRule type="expression" dxfId="183" priority="114">
      <formula>MOD(ROW(),2)=1</formula>
    </cfRule>
  </conditionalFormatting>
  <conditionalFormatting sqref="A183:P184 A185:A194 E185:P194 A195:P209 A210:D210 F210 H210 J210:L210 N210 P210">
    <cfRule type="expression" dxfId="182" priority="100">
      <formula>-ISODD(ROW())</formula>
    </cfRule>
    <cfRule type="expression" dxfId="181" priority="101">
      <formula>ISOODD(ROW())</formula>
    </cfRule>
  </conditionalFormatting>
  <conditionalFormatting sqref="A211:P239 A240:D240 F240 H240 J240:L240 N240 P240">
    <cfRule type="expression" dxfId="180" priority="48">
      <formula>ISODD(ROW())</formula>
    </cfRule>
  </conditionalFormatting>
  <conditionalFormatting sqref="A212:P214 A215:A227 E215:P227 A228:P239 A240:D240 F240 H240 J240:L240 N240 P240">
    <cfRule type="expression" dxfId="179" priority="76">
      <formula>MOD(ROW(),2)=1</formula>
    </cfRule>
  </conditionalFormatting>
  <conditionalFormatting sqref="A213:P214 A215:A224 E215:P224 A225:P239 A240:D240 F240 H240 J240:L240 N240 P240">
    <cfRule type="expression" dxfId="178" priority="62">
      <formula>-ISODD(ROW())</formula>
    </cfRule>
    <cfRule type="expression" dxfId="177" priority="63">
      <formula>ISOODD(ROW())</formula>
    </cfRule>
  </conditionalFormatting>
  <conditionalFormatting sqref="A241:P269 A270:D270 F270 H270 J270:L270 N270 P270">
    <cfRule type="expression" dxfId="176" priority="10">
      <formula>ISODD(ROW())</formula>
    </cfRule>
  </conditionalFormatting>
  <conditionalFormatting sqref="A242:P244 A245:A257 E245:P257 A258:P269 A270:D270 F270 H270 J270:L270 N270 P270">
    <cfRule type="expression" dxfId="175" priority="38">
      <formula>MOD(ROW(),2)=1</formula>
    </cfRule>
  </conditionalFormatting>
  <conditionalFormatting sqref="A243:P244 A245:A254 E245:P254 A255:P269 A270:D270 F270 H270 J270:L270 N270 P270">
    <cfRule type="expression" dxfId="174" priority="24">
      <formula>-ISODD(ROW())</formula>
    </cfRule>
    <cfRule type="expression" dxfId="173" priority="25">
      <formula>ISOODD(ROW())</formula>
    </cfRule>
  </conditionalFormatting>
  <conditionalFormatting sqref="B15:C17">
    <cfRule type="expression" dxfId="172" priority="352">
      <formula>ISODD(RƠ())</formula>
    </cfRule>
    <cfRule type="expression" dxfId="171" priority="347">
      <formula>ISODD(ROW())</formula>
    </cfRule>
    <cfRule type="expression" dxfId="170" priority="349">
      <formula>ISODD(ROW())</formula>
    </cfRule>
    <cfRule type="expression" dxfId="169" priority="350">
      <formula>ISODD(ROW())</formula>
    </cfRule>
  </conditionalFormatting>
  <conditionalFormatting sqref="B45:C47">
    <cfRule type="expression" dxfId="168" priority="304">
      <formula>ISODD(ROW())</formula>
    </cfRule>
    <cfRule type="expression" dxfId="167" priority="306">
      <formula>ISODD(ROW())</formula>
    </cfRule>
    <cfRule type="expression" dxfId="166" priority="307">
      <formula>ISODD(ROW())</formula>
    </cfRule>
    <cfRule type="expression" dxfId="165" priority="309">
      <formula>ISODD(RƠ())</formula>
    </cfRule>
  </conditionalFormatting>
  <conditionalFormatting sqref="B104:C104">
    <cfRule type="expression" dxfId="164" priority="205">
      <formula>ISODD(ROW())</formula>
    </cfRule>
    <cfRule type="expression" dxfId="163" priority="204">
      <formula>ISODD(ROW())</formula>
    </cfRule>
    <cfRule type="expression" dxfId="162" priority="202">
      <formula>ISODD(ROW())</formula>
    </cfRule>
    <cfRule type="expression" dxfId="161" priority="207">
      <formula>ISODD(RƠ())</formula>
    </cfRule>
  </conditionalFormatting>
  <conditionalFormatting sqref="B105:C107">
    <cfRule type="expression" dxfId="160" priority="221">
      <formula>ISODD(ROW())</formula>
    </cfRule>
    <cfRule type="expression" dxfId="159" priority="219">
      <formula>ISODD(ROW())</formula>
    </cfRule>
    <cfRule type="expression" dxfId="158" priority="222">
      <formula>ISODD(ROW())</formula>
    </cfRule>
    <cfRule type="expression" dxfId="157" priority="224">
      <formula>ISODD(RƠ())</formula>
    </cfRule>
  </conditionalFormatting>
  <conditionalFormatting sqref="B195:C197">
    <cfRule type="expression" dxfId="156" priority="106">
      <formula>ISODD(ROW())</formula>
    </cfRule>
    <cfRule type="expression" dxfId="155" priority="107">
      <formula>ISODD(ROW())</formula>
    </cfRule>
    <cfRule type="expression" dxfId="154" priority="109">
      <formula>ISODD(RƠ())</formula>
    </cfRule>
    <cfRule type="expression" dxfId="153" priority="104">
      <formula>ISODD(ROW())</formula>
    </cfRule>
  </conditionalFormatting>
  <conditionalFormatting sqref="B215:C224">
    <cfRule type="expression" dxfId="152" priority="49">
      <formula>ISODD(ROW())</formula>
    </cfRule>
    <cfRule type="expression" dxfId="151" priority="51">
      <formula>ISODD(ROW())</formula>
    </cfRule>
    <cfRule type="expression" dxfId="150" priority="52">
      <formula>ISODD(ROW())</formula>
    </cfRule>
    <cfRule type="expression" dxfId="149" priority="54">
      <formula>ISODD(RƠ())</formula>
    </cfRule>
  </conditionalFormatting>
  <conditionalFormatting sqref="B225:C227">
    <cfRule type="expression" dxfId="148" priority="68">
      <formula>ISODD(ROW())</formula>
    </cfRule>
    <cfRule type="expression" dxfId="147" priority="66">
      <formula>ISODD(ROW())</formula>
    </cfRule>
    <cfRule type="expression" dxfId="146" priority="71">
      <formula>ISODD(RƠ())</formula>
    </cfRule>
    <cfRule type="expression" dxfId="145" priority="69">
      <formula>ISODD(ROW())</formula>
    </cfRule>
  </conditionalFormatting>
  <conditionalFormatting sqref="B245:C254">
    <cfRule type="expression" dxfId="144" priority="16">
      <formula>ISODD(RƠ())</formula>
    </cfRule>
    <cfRule type="expression" dxfId="143" priority="14">
      <formula>ISODD(ROW())</formula>
    </cfRule>
    <cfRule type="expression" dxfId="142" priority="13">
      <formula>ISODD(ROW())</formula>
    </cfRule>
    <cfRule type="expression" dxfId="141" priority="11">
      <formula>ISODD(ROW())</formula>
    </cfRule>
  </conditionalFormatting>
  <conditionalFormatting sqref="B255:C257">
    <cfRule type="expression" dxfId="140" priority="30">
      <formula>ISODD(ROW())</formula>
    </cfRule>
    <cfRule type="expression" dxfId="139" priority="28">
      <formula>ISODD(ROW())</formula>
    </cfRule>
    <cfRule type="expression" dxfId="138" priority="33">
      <formula>ISODD(RƠ())</formula>
    </cfRule>
    <cfRule type="expression" dxfId="137" priority="31">
      <formula>ISODD(ROW())</formula>
    </cfRule>
  </conditionalFormatting>
  <conditionalFormatting sqref="B15:D17">
    <cfRule type="expression" priority="340">
      <formula>"ISODD(ROW())"</formula>
    </cfRule>
    <cfRule type="expression" dxfId="136" priority="348">
      <formula>"IF(A4:A299);ISODD(ROW()))"</formula>
    </cfRule>
    <cfRule type="expression" priority="338">
      <formula>is(ROW())</formula>
    </cfRule>
    <cfRule type="expression" dxfId="135" priority="353">
      <formula>ISODD(ROW())</formula>
    </cfRule>
    <cfRule type="expression" dxfId="134" priority="351">
      <formula>ISODD(ROW())</formula>
    </cfRule>
    <cfRule type="expression" priority="341">
      <formula>ISODD(ROW())</formula>
    </cfRule>
  </conditionalFormatting>
  <conditionalFormatting sqref="B45:D47">
    <cfRule type="expression" dxfId="133" priority="310">
      <formula>ISODD(ROW())</formula>
    </cfRule>
    <cfRule type="expression" dxfId="132" priority="305">
      <formula>"IF(A4:A299);ISODD(ROW()))"</formula>
    </cfRule>
    <cfRule type="expression" priority="298">
      <formula>ISODD(ROW())</formula>
    </cfRule>
    <cfRule type="expression" priority="297">
      <formula>"ISODD(ROW())"</formula>
    </cfRule>
    <cfRule type="expression" priority="295">
      <formula>is(ROW())</formula>
    </cfRule>
    <cfRule type="expression" dxfId="131" priority="308">
      <formula>ISODD(ROW())</formula>
    </cfRule>
  </conditionalFormatting>
  <conditionalFormatting sqref="B104:D104">
    <cfRule type="expression" dxfId="130" priority="208">
      <formula>ISODD(ROW())</formula>
    </cfRule>
    <cfRule type="expression" dxfId="129" priority="206">
      <formula>ISODD(ROW())</formula>
    </cfRule>
    <cfRule type="expression" dxfId="128" priority="203">
      <formula>"IF(A4:A299);ISODD(ROW()))"</formula>
    </cfRule>
  </conditionalFormatting>
  <conditionalFormatting sqref="B104:D107">
    <cfRule type="expression" priority="212">
      <formula>"ISODD(ROW())"</formula>
    </cfRule>
    <cfRule type="expression" priority="210">
      <formula>is(ROW())</formula>
    </cfRule>
    <cfRule type="expression" priority="213">
      <formula>ISODD(ROW())</formula>
    </cfRule>
  </conditionalFormatting>
  <conditionalFormatting sqref="B105:D107">
    <cfRule type="expression" dxfId="127" priority="223">
      <formula>ISODD(ROW())</formula>
    </cfRule>
    <cfRule type="expression" dxfId="126" priority="220">
      <formula>"IF(A4:A299);ISODD(ROW()))"</formula>
    </cfRule>
    <cfRule type="expression" dxfId="125" priority="225">
      <formula>ISODD(ROW())</formula>
    </cfRule>
  </conditionalFormatting>
  <conditionalFormatting sqref="B195:D197">
    <cfRule type="expression" dxfId="124" priority="108">
      <formula>ISODD(ROW())</formula>
    </cfRule>
    <cfRule type="expression" priority="95">
      <formula>is(ROW())</formula>
    </cfRule>
    <cfRule type="expression" priority="97">
      <formula>"ISODD(ROW())"</formula>
    </cfRule>
    <cfRule type="expression" dxfId="123" priority="105">
      <formula>"IF(A4:A299);ISODD(ROW()))"</formula>
    </cfRule>
    <cfRule type="expression" priority="98">
      <formula>ISODD(ROW())</formula>
    </cfRule>
    <cfRule type="expression" dxfId="122" priority="110">
      <formula>ISODD(ROW())</formula>
    </cfRule>
  </conditionalFormatting>
  <conditionalFormatting sqref="B215:D224">
    <cfRule type="expression" dxfId="121" priority="53">
      <formula>ISODD(ROW())</formula>
    </cfRule>
    <cfRule type="expression" dxfId="120" priority="50">
      <formula>"IF(A4:A299);ISODD(ROW()))"</formula>
    </cfRule>
    <cfRule type="expression" dxfId="119" priority="55">
      <formula>ISODD(ROW())</formula>
    </cfRule>
  </conditionalFormatting>
  <conditionalFormatting sqref="B215:D227">
    <cfRule type="expression" priority="60">
      <formula>ISODD(ROW())</formula>
    </cfRule>
    <cfRule type="expression" priority="59">
      <formula>"ISODD(ROW())"</formula>
    </cfRule>
    <cfRule type="expression" priority="57">
      <formula>is(ROW())</formula>
    </cfRule>
  </conditionalFormatting>
  <conditionalFormatting sqref="B225:D227">
    <cfRule type="expression" dxfId="118" priority="67">
      <formula>"IF(A4:A299);ISODD(ROW()))"</formula>
    </cfRule>
    <cfRule type="expression" dxfId="117" priority="70">
      <formula>ISODD(ROW())</formula>
    </cfRule>
    <cfRule type="expression" dxfId="116" priority="72">
      <formula>ISODD(ROW())</formula>
    </cfRule>
  </conditionalFormatting>
  <conditionalFormatting sqref="B245:D254">
    <cfRule type="expression" dxfId="115" priority="15">
      <formula>ISODD(ROW())</formula>
    </cfRule>
    <cfRule type="expression" dxfId="114" priority="12">
      <formula>"IF(A4:A299);ISODD(ROW()))"</formula>
    </cfRule>
    <cfRule type="expression" dxfId="113" priority="17">
      <formula>ISODD(ROW())</formula>
    </cfRule>
  </conditionalFormatting>
  <conditionalFormatting sqref="B245:D257">
    <cfRule type="expression" priority="19">
      <formula>is(ROW())</formula>
    </cfRule>
    <cfRule type="expression" priority="21">
      <formula>"ISODD(ROW())"</formula>
    </cfRule>
    <cfRule type="expression" priority="22">
      <formula>ISODD(ROW())</formula>
    </cfRule>
  </conditionalFormatting>
  <conditionalFormatting sqref="B255:D257">
    <cfRule type="expression" dxfId="112" priority="32">
      <formula>ISODD(ROW())</formula>
    </cfRule>
    <cfRule type="expression" dxfId="111" priority="34">
      <formula>ISODD(ROW())</formula>
    </cfRule>
    <cfRule type="expression" dxfId="110" priority="29">
      <formula>"IF(A4:A299);ISODD(ROW()))"</formula>
    </cfRule>
  </conditionalFormatting>
  <conditionalFormatting sqref="D15:D17">
    <cfRule type="expression" dxfId="109" priority="356">
      <formula>ISODD(RƠ())</formula>
    </cfRule>
    <cfRule type="expression" dxfId="108" priority="354">
      <formula>ISODD(ROW())</formula>
    </cfRule>
    <cfRule type="expression" dxfId="107" priority="355">
      <formula>ISODD(ROW())</formula>
    </cfRule>
  </conditionalFormatting>
  <conditionalFormatting sqref="D45:D47">
    <cfRule type="expression" dxfId="106" priority="313">
      <formula>ISODD(RƠ())</formula>
    </cfRule>
    <cfRule type="expression" dxfId="105" priority="311">
      <formula>ISODD(ROW())</formula>
    </cfRule>
    <cfRule type="expression" dxfId="104" priority="312">
      <formula>ISODD(ROW())</formula>
    </cfRule>
  </conditionalFormatting>
  <conditionalFormatting sqref="D104">
    <cfRule type="expression" dxfId="103" priority="209">
      <formula>ISODD(ROW())</formula>
    </cfRule>
    <cfRule type="expression" dxfId="102" priority="211">
      <formula>ISODD(ROW())</formula>
    </cfRule>
    <cfRule type="expression" dxfId="101" priority="214">
      <formula>ISODD(RƠ())</formula>
    </cfRule>
  </conditionalFormatting>
  <conditionalFormatting sqref="D105:D107">
    <cfRule type="expression" dxfId="100" priority="226">
      <formula>ISODD(ROW())</formula>
    </cfRule>
    <cfRule type="expression" dxfId="99" priority="227">
      <formula>ISODD(ROW())</formula>
    </cfRule>
    <cfRule type="expression" dxfId="98" priority="228">
      <formula>ISODD(RƠ())</formula>
    </cfRule>
  </conditionalFormatting>
  <conditionalFormatting sqref="D195:D197">
    <cfRule type="expression" dxfId="97" priority="111">
      <formula>ISODD(ROW())</formula>
    </cfRule>
    <cfRule type="expression" dxfId="96" priority="112">
      <formula>ISODD(ROW())</formula>
    </cfRule>
    <cfRule type="expression" dxfId="95" priority="113">
      <formula>ISODD(RƠ())</formula>
    </cfRule>
  </conditionalFormatting>
  <conditionalFormatting sqref="D215:D224">
    <cfRule type="expression" dxfId="94" priority="56">
      <formula>ISODD(ROW())</formula>
    </cfRule>
    <cfRule type="expression" dxfId="93" priority="58">
      <formula>ISODD(ROW())</formula>
    </cfRule>
    <cfRule type="expression" dxfId="92" priority="61">
      <formula>ISODD(RƠ())</formula>
    </cfRule>
  </conditionalFormatting>
  <conditionalFormatting sqref="D225:D227">
    <cfRule type="expression" dxfId="91" priority="75">
      <formula>ISODD(RƠ())</formula>
    </cfRule>
    <cfRule type="expression" dxfId="90" priority="74">
      <formula>ISODD(ROW())</formula>
    </cfRule>
    <cfRule type="expression" dxfId="89" priority="73">
      <formula>ISODD(ROW())</formula>
    </cfRule>
  </conditionalFormatting>
  <conditionalFormatting sqref="D245:D254">
    <cfRule type="expression" dxfId="88" priority="18">
      <formula>ISODD(ROW())</formula>
    </cfRule>
    <cfRule type="expression" dxfId="87" priority="20">
      <formula>ISODD(ROW())</formula>
    </cfRule>
    <cfRule type="expression" dxfId="86" priority="23">
      <formula>ISODD(RƠ())</formula>
    </cfRule>
  </conditionalFormatting>
  <conditionalFormatting sqref="D255:D257">
    <cfRule type="expression" dxfId="85" priority="35">
      <formula>ISODD(ROW())</formula>
    </cfRule>
    <cfRule type="expression" dxfId="84" priority="36">
      <formula>ISODD(ROW())</formula>
    </cfRule>
    <cfRule type="expression" dxfId="83" priority="37">
      <formula>ISODD(RƠ())</formula>
    </cfRule>
  </conditionalFormatting>
  <conditionalFormatting sqref="E30 G30 I30 M30 O30">
    <cfRule type="expression" dxfId="82" priority="323">
      <formula>ISODD(ROW())</formula>
    </cfRule>
    <cfRule type="expression" priority="324">
      <formula>is(ROW())</formula>
    </cfRule>
    <cfRule type="expression" dxfId="81" priority="325">
      <formula>ISODD(ROW())</formula>
    </cfRule>
    <cfRule type="expression" priority="326">
      <formula>"ISODD(ROW())"</formula>
    </cfRule>
    <cfRule type="expression" priority="327">
      <formula>ISODD(ROW())</formula>
    </cfRule>
    <cfRule type="expression" dxfId="80" priority="328">
      <formula>ISODD(RƠ())</formula>
    </cfRule>
    <cfRule type="expression" dxfId="79" priority="320">
      <formula>"IF(A4:A299);ISODD(ROW()))"</formula>
    </cfRule>
    <cfRule type="expression" dxfId="78" priority="321">
      <formula>ISODD(ROW())</formula>
    </cfRule>
    <cfRule type="expression" dxfId="77" priority="322">
      <formula>ISODD(ROW())</formula>
    </cfRule>
  </conditionalFormatting>
  <conditionalFormatting sqref="E60 G60 I60 M60 O60">
    <cfRule type="expression" priority="284">
      <formula>ISODD(ROW())</formula>
    </cfRule>
    <cfRule type="expression" dxfId="76" priority="278">
      <formula>ISODD(ROW())</formula>
    </cfRule>
    <cfRule type="expression" dxfId="75" priority="277">
      <formula>"IF(A4:A299);ISODD(ROW()))"</formula>
    </cfRule>
    <cfRule type="expression" dxfId="74" priority="282">
      <formula>ISODD(ROW())</formula>
    </cfRule>
    <cfRule type="expression" priority="281">
      <formula>is(ROW())</formula>
    </cfRule>
    <cfRule type="expression" dxfId="73" priority="280">
      <formula>ISODD(ROW())</formula>
    </cfRule>
    <cfRule type="expression" priority="283">
      <formula>"ISODD(ROW())"</formula>
    </cfRule>
    <cfRule type="expression" dxfId="72" priority="279">
      <formula>ISODD(ROW())</formula>
    </cfRule>
    <cfRule type="expression" dxfId="71" priority="285">
      <formula>ISODD(RƠ())</formula>
    </cfRule>
  </conditionalFormatting>
  <conditionalFormatting sqref="E90 G90 I90 M90 O90">
    <cfRule type="expression" dxfId="70" priority="230">
      <formula>"IF(A4:A299);ISODD(ROW()))"</formula>
    </cfRule>
    <cfRule type="expression" dxfId="69" priority="231">
      <formula>ISODD(ROW())</formula>
    </cfRule>
    <cfRule type="expression" dxfId="68" priority="232">
      <formula>ISODD(ROW())</formula>
    </cfRule>
    <cfRule type="expression" dxfId="67" priority="233">
      <formula>ISODD(ROW())</formula>
    </cfRule>
    <cfRule type="expression" priority="234">
      <formula>is(ROW())</formula>
    </cfRule>
    <cfRule type="expression" dxfId="66" priority="238">
      <formula>ISODD(RƠ())</formula>
    </cfRule>
    <cfRule type="expression" priority="236">
      <formula>"ISODD(ROW())"</formula>
    </cfRule>
    <cfRule type="expression" priority="237">
      <formula>ISODD(ROW())</formula>
    </cfRule>
    <cfRule type="expression" dxfId="65" priority="235">
      <formula>ISODD(ROW())</formula>
    </cfRule>
  </conditionalFormatting>
  <conditionalFormatting sqref="E120 G120 I120 M120 O120">
    <cfRule type="expression" priority="198">
      <formula>"ISODD(ROW())"</formula>
    </cfRule>
    <cfRule type="expression" priority="199">
      <formula>ISODD(ROW())</formula>
    </cfRule>
    <cfRule type="expression" dxfId="64" priority="200">
      <formula>ISODD(RƠ())</formula>
    </cfRule>
    <cfRule type="expression" dxfId="63" priority="192">
      <formula>"IF(A4:A299);ISODD(ROW()))"</formula>
    </cfRule>
    <cfRule type="expression" dxfId="62" priority="193">
      <formula>ISODD(ROW())</formula>
    </cfRule>
    <cfRule type="expression" dxfId="61" priority="194">
      <formula>ISODD(ROW())</formula>
    </cfRule>
    <cfRule type="expression" dxfId="60" priority="195">
      <formula>ISODD(ROW())</formula>
    </cfRule>
    <cfRule type="expression" priority="196">
      <formula>is(ROW())</formula>
    </cfRule>
    <cfRule type="expression" dxfId="59" priority="197">
      <formula>ISODD(ROW())</formula>
    </cfRule>
  </conditionalFormatting>
  <conditionalFormatting sqref="E150 G150 I150 M150 O150">
    <cfRule type="expression" dxfId="58" priority="156">
      <formula>ISODD(ROW())</formula>
    </cfRule>
    <cfRule type="expression" dxfId="57" priority="157">
      <formula>ISODD(ROW())</formula>
    </cfRule>
    <cfRule type="expression" priority="158">
      <formula>is(ROW())</formula>
    </cfRule>
    <cfRule type="expression" dxfId="56" priority="154">
      <formula>"IF(A4:A299);ISODD(ROW()))"</formula>
    </cfRule>
    <cfRule type="expression" priority="161">
      <formula>ISODD(ROW())</formula>
    </cfRule>
    <cfRule type="expression" priority="160">
      <formula>"ISODD(ROW())"</formula>
    </cfRule>
    <cfRule type="expression" dxfId="55" priority="159">
      <formula>ISODD(ROW())</formula>
    </cfRule>
    <cfRule type="expression" dxfId="54" priority="162">
      <formula>ISODD(RƠ())</formula>
    </cfRule>
    <cfRule type="expression" dxfId="53" priority="155">
      <formula>ISODD(ROW())</formula>
    </cfRule>
  </conditionalFormatting>
  <conditionalFormatting sqref="E180 G180 I180 M180 O180">
    <cfRule type="expression" dxfId="52" priority="118">
      <formula>ISODD(ROW())</formula>
    </cfRule>
    <cfRule type="expression" dxfId="51" priority="123">
      <formula>ISODD(RƠ())</formula>
    </cfRule>
    <cfRule type="expression" priority="119">
      <formula>is(ROW())</formula>
    </cfRule>
    <cfRule type="expression" priority="122">
      <formula>ISODD(ROW())</formula>
    </cfRule>
    <cfRule type="expression" priority="121">
      <formula>"ISODD(ROW())"</formula>
    </cfRule>
    <cfRule type="expression" dxfId="50" priority="120">
      <formula>ISODD(ROW())</formula>
    </cfRule>
    <cfRule type="expression" dxfId="49" priority="117">
      <formula>ISODD(ROW())</formula>
    </cfRule>
    <cfRule type="expression" dxfId="48" priority="116">
      <formula>ISODD(ROW())</formula>
    </cfRule>
    <cfRule type="expression" dxfId="47" priority="115">
      <formula>"IF(A4:A299);ISODD(ROW()))"</formula>
    </cfRule>
  </conditionalFormatting>
  <conditionalFormatting sqref="E210 G210 I210 M210 O210">
    <cfRule type="expression" dxfId="46" priority="85">
      <formula>ISODD(RƠ())</formula>
    </cfRule>
    <cfRule type="expression" priority="83">
      <formula>"ISODD(ROW())"</formula>
    </cfRule>
    <cfRule type="expression" priority="84">
      <formula>ISODD(ROW())</formula>
    </cfRule>
    <cfRule type="expression" priority="81">
      <formula>is(ROW())</formula>
    </cfRule>
    <cfRule type="expression" dxfId="45" priority="80">
      <formula>ISODD(ROW())</formula>
    </cfRule>
    <cfRule type="expression" dxfId="44" priority="79">
      <formula>ISODD(ROW())</formula>
    </cfRule>
    <cfRule type="expression" dxfId="43" priority="77">
      <formula>"IF(A4:A299);ISODD(ROW()))"</formula>
    </cfRule>
    <cfRule type="expression" dxfId="42" priority="82">
      <formula>ISODD(ROW())</formula>
    </cfRule>
    <cfRule type="expression" dxfId="41" priority="78">
      <formula>ISODD(ROW())</formula>
    </cfRule>
  </conditionalFormatting>
  <conditionalFormatting sqref="E240 G240 I240 M240 O240">
    <cfRule type="expression" dxfId="40" priority="44">
      <formula>ISODD(ROW())</formula>
    </cfRule>
    <cfRule type="expression" dxfId="39" priority="47">
      <formula>ISODD(RƠ())</formula>
    </cfRule>
    <cfRule type="expression" priority="46">
      <formula>ISODD(ROW())</formula>
    </cfRule>
    <cfRule type="expression" dxfId="38" priority="41">
      <formula>ISODD(ROW())</formula>
    </cfRule>
    <cfRule type="expression" dxfId="37" priority="40">
      <formula>ISODD(ROW())</formula>
    </cfRule>
    <cfRule type="expression" dxfId="36" priority="42">
      <formula>ISODD(ROW())</formula>
    </cfRule>
    <cfRule type="expression" priority="43">
      <formula>is(ROW())</formula>
    </cfRule>
    <cfRule type="expression" priority="45">
      <formula>"ISODD(ROW())"</formula>
    </cfRule>
    <cfRule type="expression" dxfId="35" priority="39">
      <formula>"IF(A4:A299);ISODD(ROW()))"</formula>
    </cfRule>
  </conditionalFormatting>
  <conditionalFormatting sqref="E270 G270 I270 M270 O270">
    <cfRule type="expression" priority="7">
      <formula>"ISODD(ROW())"</formula>
    </cfRule>
    <cfRule type="expression" priority="8">
      <formula>ISODD(ROW())</formula>
    </cfRule>
    <cfRule type="expression" dxfId="34" priority="9">
      <formula>ISODD(RƠ())</formula>
    </cfRule>
    <cfRule type="expression" dxfId="33" priority="1">
      <formula>"IF(A4:A299);ISODD(ROW()))"</formula>
    </cfRule>
    <cfRule type="expression" dxfId="32" priority="2">
      <formula>ISODD(ROW())</formula>
    </cfRule>
    <cfRule type="expression" dxfId="31" priority="3">
      <formula>ISODD(ROW())</formula>
    </cfRule>
    <cfRule type="expression" dxfId="30" priority="4">
      <formula>ISODD(ROW())</formula>
    </cfRule>
    <cfRule type="expression" priority="5">
      <formula>is(ROW())</formula>
    </cfRule>
    <cfRule type="expression" dxfId="29" priority="6">
      <formula>ISODD(ROW())</formula>
    </cfRule>
  </conditionalFormatting>
  <conditionalFormatting sqref="E5:P14 A3:P4 A5:A14 A15:P29 A30:D30 F30 H30 J30:L30 N30 P30">
    <cfRule type="expression" dxfId="28" priority="346">
      <formula>ISODD(ROW())</formula>
    </cfRule>
  </conditionalFormatting>
  <conditionalFormatting sqref="E35:P44 A33:P34 A35:A44 A45:P59 A60:D60 F60 H60 J60:L60 N60 P60">
    <cfRule type="expression" dxfId="27" priority="303">
      <formula>ISODD(ROW())</formula>
    </cfRule>
  </conditionalFormatting>
  <conditionalFormatting sqref="E65:P83 A63:P64 A65:A83 A84:P89 A90:D90 F90 H90 J90:L90 N90 P90">
    <cfRule type="expression" dxfId="26" priority="256">
      <formula>ISODD(ROW())</formula>
    </cfRule>
  </conditionalFormatting>
  <conditionalFormatting sqref="E95:P104 A93:P94 A95:A104 A105:P119 A120:D120 F120 H120 J120:L120 N120 P120">
    <cfRule type="expression" dxfId="25" priority="218">
      <formula>ISODD(ROW())</formula>
    </cfRule>
  </conditionalFormatting>
  <conditionalFormatting sqref="E125:P144 A123:P124 A125:A144 A145:P149 A150:D150 F150 H150 J150:L150 N150 P150">
    <cfRule type="expression" dxfId="24" priority="180">
      <formula>ISODD(ROW())</formula>
    </cfRule>
  </conditionalFormatting>
  <conditionalFormatting sqref="E155:P169 A153:P154 A155:A169 A170:P179 A180:D180 F180 H180 J180:L180 N180 P180">
    <cfRule type="expression" dxfId="23" priority="141">
      <formula>ISODD(ROW())</formula>
    </cfRule>
  </conditionalFormatting>
  <conditionalFormatting sqref="E185:P194 A183:P184 A185:A194 A195:P209 A210:D210 F210 H210 J210:L210 N210 P210">
    <cfRule type="expression" dxfId="22" priority="103">
      <formula>ISODD(ROW())</formula>
    </cfRule>
  </conditionalFormatting>
  <conditionalFormatting sqref="E215:P224 A213:P214 A215:A224 A225:P239 A240:D240 F240 H240 J240:L240 N240 P240">
    <cfRule type="expression" dxfId="21" priority="65">
      <formula>ISODD(ROW())</formula>
    </cfRule>
  </conditionalFormatting>
  <conditionalFormatting sqref="E245:P254 A243:P244 A245:A254 A255:P269 A270:D270 F270 H270 J270:L270 N270 P270">
    <cfRule type="expression" dxfId="20" priority="27">
      <formula>ISODD(ROW())</formula>
    </cfRule>
  </conditionalFormatting>
  <conditionalFormatting sqref="I14">
    <cfRule type="expression" dxfId="19" priority="345">
      <formula>ISODD(ROW())</formula>
    </cfRule>
  </conditionalFormatting>
  <conditionalFormatting sqref="I44">
    <cfRule type="expression" dxfId="18" priority="302">
      <formula>ISODD(ROW())</formula>
    </cfRule>
  </conditionalFormatting>
  <conditionalFormatting sqref="I74">
    <cfRule type="expression" dxfId="17" priority="255">
      <formula>ISODD(ROW())</formula>
    </cfRule>
  </conditionalFormatting>
  <conditionalFormatting sqref="I104">
    <cfRule type="expression" dxfId="16" priority="217">
      <formula>ISODD(ROW())</formula>
    </cfRule>
  </conditionalFormatting>
  <conditionalFormatting sqref="I134">
    <cfRule type="expression" dxfId="15" priority="179">
      <formula>ISODD(ROW())</formula>
    </cfRule>
  </conditionalFormatting>
  <conditionalFormatting sqref="I164">
    <cfRule type="expression" dxfId="14" priority="140">
      <formula>ISODD(ROW())</formula>
    </cfRule>
  </conditionalFormatting>
  <conditionalFormatting sqref="I194">
    <cfRule type="expression" dxfId="13" priority="102">
      <formula>ISODD(ROW())</formula>
    </cfRule>
  </conditionalFormatting>
  <conditionalFormatting sqref="I224">
    <cfRule type="expression" dxfId="12" priority="64">
      <formula>ISODD(ROW())</formula>
    </cfRule>
  </conditionalFormatting>
  <conditionalFormatting sqref="I254">
    <cfRule type="expression" dxfId="11" priority="26">
      <formula>ISODD(ROW())</formula>
    </cfRule>
  </conditionalFormatting>
  <conditionalFormatting sqref="R15:X16 R17 T17:X17">
    <cfRule type="expression" priority="153">
      <formula>"ISODD(RƠ())"</formula>
    </cfRule>
  </conditionalFormatting>
  <conditionalFormatting sqref="R1:AC1">
    <cfRule type="expression" dxfId="10" priority="315">
      <formula>ISODD(ROW())</formula>
    </cfRule>
    <cfRule type="expression" dxfId="9" priority="316">
      <formula>-ISODD(ROW())</formula>
    </cfRule>
    <cfRule type="expression" dxfId="8" priority="317">
      <formula>ISOODD(ROW())</formula>
    </cfRule>
    <cfRule type="expression" dxfId="7" priority="318">
      <formula>ISODD(ROW())</formula>
    </cfRule>
    <cfRule type="expression" dxfId="6" priority="319">
      <formula>MOD(ROW(),2)=1</formula>
    </cfRule>
  </conditionalFormatting>
  <conditionalFormatting sqref="T2 V2 X2 Z2 R2:R3">
    <cfRule type="expression" priority="272">
      <formula>is(ROW())</formula>
    </cfRule>
    <cfRule type="expression" dxfId="5" priority="268">
      <formula>"IF(A4:A299);ISODD(ROW()))"</formula>
    </cfRule>
    <cfRule type="expression" priority="274">
      <formula>"ISODD(ROW())"</formula>
    </cfRule>
    <cfRule type="expression" priority="275">
      <formula>ISODD(ROW())</formula>
    </cfRule>
    <cfRule type="expression" dxfId="4" priority="276">
      <formula>ISODD(RƠ())</formula>
    </cfRule>
    <cfRule type="expression" dxfId="3" priority="269">
      <formula>ISODD(ROW())</formula>
    </cfRule>
    <cfRule type="expression" dxfId="2" priority="270">
      <formula>ISODD(ROW())</formula>
    </cfRule>
    <cfRule type="expression" dxfId="1" priority="271">
      <formula>ISODD(ROW())</formula>
    </cfRule>
    <cfRule type="expression" dxfId="0" priority="273">
      <formula>ISODD(ROW())</formula>
    </cfRule>
  </conditionalFormatting>
  <pageMargins left="0.45" right="0" top="0.25" bottom="0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DS TỔNG</vt:lpstr>
      <vt:lpstr>Sheet1</vt:lpstr>
      <vt:lpstr>HOÁ</vt:lpstr>
      <vt:lpstr>VĂN</vt:lpstr>
      <vt:lpstr>TOÁN</vt:lpstr>
      <vt:lpstr>ANH VĂN</vt:lpstr>
      <vt:lpstr>LÝ</vt:lpstr>
      <vt:lpstr>DS Hs CHƯA ĐT</vt:lpstr>
      <vt:lpstr>DS MẨU MÔN</vt:lpstr>
      <vt:lpstr>ĐĂNG KÝ MỚI</vt:lpstr>
      <vt:lpstr>Sheet2</vt:lpstr>
      <vt:lpstr>DS HỌC SINH</vt:lpstr>
      <vt:lpstr>TA N NGOÀI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VÕ ĐỨC ANH</dc:creator>
  <cp:lastModifiedBy>Phan Duy</cp:lastModifiedBy>
  <cp:lastPrinted>2026-04-08T10:05:15Z</cp:lastPrinted>
  <dcterms:created xsi:type="dcterms:W3CDTF">2023-12-30T12:11:55Z</dcterms:created>
  <dcterms:modified xsi:type="dcterms:W3CDTF">2026-06-16T23:24:36Z</dcterms:modified>
</cp:coreProperties>
</file>