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;[Red]#,##0"/>
    <numFmt numFmtId="165" formatCode="#,##0.0;[Red]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0"/>
  <sheetViews>
    <sheetView workbookViewId="0"/>
  </sheetViews>
  <sheetData>
    <row r="1">
      <c r="A1" t="str">
        <v>DANH SÁCH HÓA</v>
      </c>
      <c r="I1" t="str">
        <v>8A</v>
      </c>
      <c r="R1" t="str">
        <v>Đợt 6</v>
      </c>
      <c r="T1" t="str">
        <v>Đợt 7</v>
      </c>
      <c r="V1" t="str">
        <v>Đợt 8</v>
      </c>
      <c r="X1" t="str">
        <v>Đợt 9</v>
      </c>
      <c r="Z1" t="str">
        <v>Đợt 10</v>
      </c>
      <c r="AB1" t="str">
        <v>TỔNG</v>
      </c>
    </row>
    <row r="2">
      <c r="R2">
        <f>SUBTOTAL(9,G5:G60)</f>
        <v>0</v>
      </c>
      <c r="T2">
        <f>SUBTOTAL(9,I5:I60)</f>
        <v>0</v>
      </c>
      <c r="V2">
        <f>SUBTOTAL(9,K5:K60)</f>
        <v>0</v>
      </c>
      <c r="X2">
        <f>SUBTOTAL(9,M5:M60)</f>
        <v>0</v>
      </c>
      <c r="Z2">
        <f>SUBTOTAL(9,O5:O60)</f>
        <v>0</v>
      </c>
      <c r="AB2">
        <f>SUM(R2:Z2)</f>
        <v>0</v>
      </c>
    </row>
    <row r="3" xml:space="preserve">
      <c r="A3" t="str">
        <v>STT</v>
      </c>
      <c r="B3" t="str">
        <v>Họ và tên</v>
      </c>
      <c r="C3" t="str">
        <v>Tên</v>
      </c>
      <c r="D3" t="str" xml:space="preserve">
        <v xml:space="preserve">Số _x000d_
Đ Thoại</v>
      </c>
      <c r="E3" t="str">
        <v>Thiếu</v>
      </c>
      <c r="G3" t="str">
        <f>$R$1</f>
        <v>Đợt 6</v>
      </c>
      <c r="I3" t="str">
        <f>$T$1</f>
        <v>Đợt 7</v>
      </c>
      <c r="K3" t="str">
        <f>$V$1</f>
        <v>Đợt 8</v>
      </c>
      <c r="M3" t="str">
        <f>$X$1</f>
        <v>Đợt 9</v>
      </c>
      <c r="O3" t="str">
        <f>$Z$1</f>
        <v>Đợt 10</v>
      </c>
    </row>
    <row r="4">
      <c r="E4" t="str">
        <v>Tiền</v>
      </c>
      <c r="F4" t="str">
        <v>Ngày</v>
      </c>
      <c r="G4" t="str">
        <v>Tiền</v>
      </c>
      <c r="H4" t="str">
        <v>Ngày</v>
      </c>
      <c r="I4" t="str">
        <v>Tiền</v>
      </c>
      <c r="J4" t="str">
        <v>Ngày</v>
      </c>
      <c r="K4" t="str">
        <v>Tiền</v>
      </c>
      <c r="L4" t="str">
        <v>Ngày</v>
      </c>
      <c r="M4" t="str">
        <v>Tiền</v>
      </c>
      <c r="N4" t="str">
        <v>Ngày</v>
      </c>
      <c r="O4" t="str">
        <v>Tiền</v>
      </c>
      <c r="P4" t="str">
        <v>Ngày</v>
      </c>
    </row>
    <row r="5">
      <c r="A5">
        <v>1</v>
      </c>
      <c r="B5" t="str">
        <v>Lê Ng Phước</v>
      </c>
      <c r="C5" t="str">
        <v>An</v>
      </c>
    </row>
    <row r="6">
      <c r="A6">
        <f>A5+1</f>
        <v>2</v>
      </c>
      <c r="B6" t="str">
        <v>Phạm Lê Gia</v>
      </c>
      <c r="C6" t="str">
        <v>Bảo</v>
      </c>
    </row>
    <row r="7">
      <c r="A7">
        <f>A6+1</f>
        <v>3</v>
      </c>
      <c r="B7" t="str">
        <v>Ng Kim</v>
      </c>
      <c r="C7" t="str">
        <v>Bảo</v>
      </c>
    </row>
    <row r="8">
      <c r="A8">
        <f>A7+1</f>
        <v>4</v>
      </c>
      <c r="B8" t="str">
        <v>Phan Ng Phương</v>
      </c>
      <c r="C8" t="str">
        <v>Nam</v>
      </c>
    </row>
    <row r="9">
      <c r="A9">
        <f>A8+1</f>
        <v>5</v>
      </c>
      <c r="B9" t="str">
        <v>Ng Ngọc Kim</v>
      </c>
      <c r="C9" t="str">
        <v>Ngân</v>
      </c>
      <c r="S9" t="str">
        <v>TÔ MAU XEN KẺ</v>
      </c>
    </row>
    <row r="10">
      <c r="A10">
        <f>A9+1</f>
        <v>6</v>
      </c>
      <c r="B10" t="str">
        <v xml:space="preserve">Ng Vũ Như </v>
      </c>
      <c r="C10" t="str">
        <v>Ngọc</v>
      </c>
      <c r="R10">
        <v>1</v>
      </c>
      <c r="S10" t="str">
        <v>quét khối (bỏ vòng tiêu đề</v>
      </c>
    </row>
    <row r="11">
      <c r="A11">
        <f>A10+1</f>
        <v>7</v>
      </c>
      <c r="B11" t="str">
        <v>Đỗ Phan Trong</v>
      </c>
      <c r="C11" t="str">
        <v>Nhân</v>
      </c>
      <c r="R11">
        <v>2</v>
      </c>
      <c r="S11" t="str">
        <v>Chon:Home/Conditinoal Formatting/New Rule</v>
      </c>
    </row>
    <row r="12">
      <c r="A12">
        <f>A11+1</f>
        <v>8</v>
      </c>
      <c r="B12" t="str">
        <v>Lê Xuân Kiều</v>
      </c>
      <c r="C12" t="str">
        <v>Nhi</v>
      </c>
      <c r="R12">
        <v>3</v>
      </c>
      <c r="S12" t="str">
        <v>Chon: Use a fomula to dêtmne ….(vòng cuối)</v>
      </c>
    </row>
    <row r="13">
      <c r="A13">
        <f>A12+1</f>
        <v>9</v>
      </c>
      <c r="B13" t="str">
        <v>Phan Tấn</v>
      </c>
      <c r="C13" t="str">
        <v>Phát</v>
      </c>
      <c r="R13">
        <v>4</v>
      </c>
      <c r="S13" t="str">
        <v>cú pháp =ISODD(ROW())</v>
      </c>
    </row>
    <row r="14">
      <c r="A14">
        <f>A13+1</f>
        <v>10</v>
      </c>
      <c r="B14" t="str">
        <v>Lê Ngọc Như</v>
      </c>
      <c r="C14" t="str">
        <v>Quỳnh</v>
      </c>
      <c r="R14">
        <v>5</v>
      </c>
      <c r="S14" t="str">
        <v>Fmat/Fill/màu/ok/ok</v>
      </c>
    </row>
    <row r="15">
      <c r="A15">
        <f>A14+1</f>
        <v>11</v>
      </c>
      <c r="B15" t="str">
        <v>Ng Ngọc Song</v>
      </c>
      <c r="C15" t="str">
        <v>Thư</v>
      </c>
    </row>
    <row r="16">
      <c r="A16">
        <f>A15+1</f>
        <v>12</v>
      </c>
      <c r="B16" t="str">
        <v>Ng Minh</v>
      </c>
      <c r="C16" t="str">
        <v>Tiến</v>
      </c>
    </row>
    <row r="17">
      <c r="A17">
        <f>A16+1</f>
        <v>13</v>
      </c>
      <c r="B17" t="str">
        <v>Ng Bảo</v>
      </c>
      <c r="C17" t="str">
        <v>Trâm</v>
      </c>
      <c r="S17" t="str">
        <v>ISODD(ROW())</v>
      </c>
    </row>
    <row r="18">
      <c r="A18">
        <f>A17+1</f>
        <v>14</v>
      </c>
      <c r="B18" t="str">
        <v>Ng Thị Kim</v>
      </c>
      <c r="C18" t="str">
        <v>Tuyền</v>
      </c>
    </row>
    <row r="19">
      <c r="A19">
        <f>A18+1</f>
        <v>15</v>
      </c>
      <c r="B19" t="str">
        <v>Lê Thị Nhự</v>
      </c>
      <c r="C19" t="str">
        <v>Tuyết</v>
      </c>
    </row>
    <row r="20">
      <c r="A20">
        <f>A19+1</f>
        <v>16</v>
      </c>
      <c r="B20" t="str">
        <v>Ng Ngọc Quang</v>
      </c>
      <c r="C20" t="str">
        <v>Vinh</v>
      </c>
      <c r="D20">
        <v>348296003</v>
      </c>
    </row>
    <row r="21">
      <c r="A21">
        <f>A20+1</f>
        <v>17</v>
      </c>
      <c r="B21" t="str">
        <v>Phan Ng Ngọc</v>
      </c>
      <c r="C21" t="str">
        <v>Vy</v>
      </c>
    </row>
    <row r="22">
      <c r="A22">
        <f>A21+1</f>
        <v>18</v>
      </c>
    </row>
    <row r="23">
      <c r="A23">
        <f>A22+1</f>
        <v>19</v>
      </c>
    </row>
    <row r="24">
      <c r="A24">
        <f>A23+1</f>
        <v>20</v>
      </c>
    </row>
    <row r="25">
      <c r="A25">
        <f>A24+1</f>
        <v>21</v>
      </c>
    </row>
    <row r="26">
      <c r="A26">
        <f>A25+1</f>
        <v>22</v>
      </c>
    </row>
    <row r="27">
      <c r="A27">
        <f>A26+1</f>
        <v>23</v>
      </c>
    </row>
    <row r="28">
      <c r="A28">
        <f>A27+1</f>
        <v>24</v>
      </c>
    </row>
    <row r="29">
      <c r="A29">
        <f>A28+1</f>
        <v>25</v>
      </c>
    </row>
    <row r="30">
      <c r="E30">
        <f>SUBTOTAL(9,E5:E29)</f>
        <v>0</v>
      </c>
      <c r="G30">
        <f>SUBTOTAL(9,G5:G29)</f>
        <v>0</v>
      </c>
      <c r="I30">
        <f>SUBTOTAL(9,I5:I29)</f>
        <v>0</v>
      </c>
      <c r="M30">
        <f>SUBTOTAL(9,M5:M29)</f>
        <v>0</v>
      </c>
      <c r="O30">
        <f>SUBTOTAL(9,O5:O29)</f>
        <v>0</v>
      </c>
    </row>
    <row r="31">
      <c r="A31" t="str">
        <f>A1</f>
        <v>DANH SÁCH HÓA</v>
      </c>
      <c r="I31" t="str">
        <v>8B</v>
      </c>
    </row>
    <row r="33" xml:space="preserve">
      <c r="A33" t="str">
        <v>STT</v>
      </c>
      <c r="B33" t="str">
        <v>Họ và tên</v>
      </c>
      <c r="C33" t="str">
        <v>Tên</v>
      </c>
      <c r="D33" t="str" xml:space="preserve">
        <v xml:space="preserve">Số _x000d_
Đ Thoại</v>
      </c>
      <c r="E33" t="str">
        <v>Thiếu</v>
      </c>
      <c r="G33" t="str">
        <f>$R$1</f>
        <v>Đợt 6</v>
      </c>
      <c r="I33" t="str">
        <f>$T$1</f>
        <v>Đợt 7</v>
      </c>
      <c r="K33" t="str">
        <f>$V$1</f>
        <v>Đợt 8</v>
      </c>
      <c r="M33" t="str">
        <f>$X$1</f>
        <v>Đợt 9</v>
      </c>
      <c r="O33" t="str">
        <f>$Z$1</f>
        <v>Đợt 10</v>
      </c>
    </row>
    <row r="34">
      <c r="E34" t="str">
        <v>Tiền</v>
      </c>
      <c r="F34" t="str">
        <v>Ngày</v>
      </c>
      <c r="G34" t="str">
        <v>Tiền</v>
      </c>
      <c r="H34" t="str">
        <v>Ngày</v>
      </c>
      <c r="I34" t="str">
        <v>Tiền</v>
      </c>
      <c r="J34" t="str">
        <v>Ngày</v>
      </c>
      <c r="K34" t="str">
        <v>Tiền</v>
      </c>
      <c r="L34" t="str">
        <v>Ngày</v>
      </c>
      <c r="M34" t="str">
        <v>Tiền</v>
      </c>
      <c r="N34" t="str">
        <v>Ngày</v>
      </c>
      <c r="O34" t="str">
        <v>Tiền</v>
      </c>
      <c r="P34" t="str">
        <v>Ngày</v>
      </c>
    </row>
    <row r="35">
      <c r="A35">
        <v>1</v>
      </c>
      <c r="B35" t="str">
        <v xml:space="preserve">Ng Hữu </v>
      </c>
      <c r="C35" t="str">
        <v>Danh</v>
      </c>
    </row>
    <row r="36">
      <c r="A36">
        <f>A35+1</f>
        <v>2</v>
      </c>
      <c r="B36" t="str">
        <v>Ng Lê</v>
      </c>
      <c r="C36" t="str">
        <v>Khải</v>
      </c>
    </row>
    <row r="37">
      <c r="A37">
        <f>A36+1</f>
        <v>3</v>
      </c>
      <c r="B37" t="str">
        <v>Pham Lê Nguyên</v>
      </c>
      <c r="C37" t="str">
        <v>Khôi</v>
      </c>
    </row>
    <row r="38">
      <c r="A38">
        <f>A37+1</f>
        <v>4</v>
      </c>
      <c r="B38" t="str">
        <v>Nguyễn Tiến</v>
      </c>
      <c r="C38" t="str">
        <v>Luật</v>
      </c>
    </row>
    <row r="39">
      <c r="A39">
        <f>A38+1</f>
        <v>5</v>
      </c>
      <c r="B39" t="str">
        <v>Ng Trí</v>
      </c>
      <c r="C39" t="str">
        <v>Nhân</v>
      </c>
      <c r="D39">
        <v>939150335</v>
      </c>
    </row>
    <row r="40">
      <c r="A40">
        <f>A39+1</f>
        <v>6</v>
      </c>
      <c r="B40" t="str">
        <v>Ng Kim Ngọc</v>
      </c>
      <c r="C40" t="str">
        <v>Phấn</v>
      </c>
    </row>
    <row r="41">
      <c r="A41">
        <f>A40+1</f>
        <v>7</v>
      </c>
      <c r="B41" t="str">
        <v>Lê Ng Gia</v>
      </c>
      <c r="C41" t="str">
        <v>Phú</v>
      </c>
    </row>
    <row r="42">
      <c r="A42">
        <f>A41+1</f>
        <v>8</v>
      </c>
      <c r="B42" t="str">
        <v>Trần Ng Phước</v>
      </c>
      <c r="C42" t="str">
        <v>Thịnh</v>
      </c>
    </row>
    <row r="43">
      <c r="A43">
        <f>A42+1</f>
        <v>9</v>
      </c>
      <c r="B43" t="str">
        <v>Ngô Ng Hòa</v>
      </c>
      <c r="C43" t="str">
        <v>Thuận</v>
      </c>
    </row>
    <row r="44">
      <c r="A44">
        <f>A43+1</f>
        <v>10</v>
      </c>
      <c r="B44" t="str">
        <v xml:space="preserve">Ng Trung </v>
      </c>
      <c r="C44" t="str">
        <v>Tính</v>
      </c>
      <c r="D44">
        <v>773496702</v>
      </c>
    </row>
    <row r="45">
      <c r="A45">
        <f>A44+1</f>
        <v>11</v>
      </c>
      <c r="B45" t="str">
        <v>Ng Thị Cẩm</v>
      </c>
      <c r="C45" t="str">
        <v>Tú</v>
      </c>
    </row>
    <row r="46">
      <c r="A46">
        <f>A45+1</f>
        <v>12</v>
      </c>
      <c r="B46" t="str">
        <v>Ng Trí Ái</v>
      </c>
      <c r="C46" t="str">
        <v>Vân</v>
      </c>
    </row>
    <row r="47">
      <c r="A47">
        <f>A46+1</f>
        <v>13</v>
      </c>
      <c r="B47" t="str">
        <v>Bùi Quang</v>
      </c>
      <c r="C47" t="str">
        <v>Vinh</v>
      </c>
    </row>
    <row r="48">
      <c r="A48">
        <f>A47+1</f>
        <v>14</v>
      </c>
      <c r="B48" t="str">
        <v>Võ Ngọc</v>
      </c>
      <c r="C48" t="str">
        <v>Vinh</v>
      </c>
    </row>
    <row r="49">
      <c r="A49">
        <f>A48+1</f>
        <v>15</v>
      </c>
    </row>
    <row r="50">
      <c r="A50">
        <f>A49+1</f>
        <v>16</v>
      </c>
    </row>
    <row r="51">
      <c r="A51">
        <f>A50+1</f>
        <v>17</v>
      </c>
    </row>
    <row r="52">
      <c r="A52">
        <f>A51+1</f>
        <v>18</v>
      </c>
    </row>
    <row r="53">
      <c r="A53">
        <f>A52+1</f>
        <v>19</v>
      </c>
    </row>
    <row r="54">
      <c r="A54">
        <f>A53+1</f>
        <v>20</v>
      </c>
    </row>
    <row r="55">
      <c r="A55">
        <f>A54+1</f>
        <v>21</v>
      </c>
    </row>
    <row r="56">
      <c r="A56">
        <f>A55+1</f>
        <v>22</v>
      </c>
    </row>
    <row r="57">
      <c r="A57">
        <f>A56+1</f>
        <v>23</v>
      </c>
    </row>
    <row r="58">
      <c r="A58">
        <f>A57+1</f>
        <v>24</v>
      </c>
    </row>
    <row r="59">
      <c r="A59">
        <f>A58+1</f>
        <v>25</v>
      </c>
    </row>
    <row r="60">
      <c r="E60">
        <f>SUBTOTAL(9,E35:E59)</f>
        <v>0</v>
      </c>
      <c r="G60">
        <f>SUBTOTAL(9,G35:G59)</f>
        <v>0</v>
      </c>
      <c r="I60">
        <f>SUBTOTAL(9,I35:I59)</f>
        <v>0</v>
      </c>
      <c r="M60">
        <f>SUBTOTAL(9,M35:M59)</f>
        <v>0</v>
      </c>
      <c r="O60">
        <f>SUBTOTAL(9,O35:O59)</f>
        <v>0</v>
      </c>
    </row>
    <row r="61">
      <c r="A61" t="str">
        <f>A31</f>
        <v>DANH SÁCH HÓA</v>
      </c>
      <c r="I61">
        <v>9</v>
      </c>
    </row>
    <row r="63" xml:space="preserve">
      <c r="A63" t="str">
        <v>STT</v>
      </c>
      <c r="B63" t="str">
        <v>Họ và tên</v>
      </c>
      <c r="C63" t="str">
        <v>Tên</v>
      </c>
      <c r="D63" t="str" xml:space="preserve">
        <v xml:space="preserve">Số _x000d_
Đ Thoại</v>
      </c>
      <c r="E63" t="str">
        <v>Thiếu</v>
      </c>
      <c r="G63" t="str">
        <f>$R$1</f>
        <v>Đợt 6</v>
      </c>
      <c r="I63" t="str">
        <f>$T$1</f>
        <v>Đợt 7</v>
      </c>
      <c r="K63" t="str">
        <f>$V$1</f>
        <v>Đợt 8</v>
      </c>
      <c r="M63" t="str">
        <f>$X$1</f>
        <v>Đợt 9</v>
      </c>
      <c r="O63" t="str">
        <f>$Z$1</f>
        <v>Đợt 10</v>
      </c>
    </row>
    <row r="64">
      <c r="E64" t="str">
        <v>Tiền</v>
      </c>
      <c r="F64" t="str">
        <v>Ngày</v>
      </c>
      <c r="G64" t="str">
        <v>Tiền</v>
      </c>
      <c r="H64" t="str">
        <v>Ngày</v>
      </c>
      <c r="I64" t="str">
        <v>Tiền</v>
      </c>
      <c r="J64" t="str">
        <v>Ngày</v>
      </c>
      <c r="K64" t="str">
        <v>Tiền</v>
      </c>
      <c r="L64" t="str">
        <v>Ngày</v>
      </c>
      <c r="M64" t="str">
        <v>Tiền</v>
      </c>
      <c r="N64" t="str">
        <v>Ngày</v>
      </c>
      <c r="O64" t="str">
        <v>Tiền</v>
      </c>
      <c r="P64" t="str">
        <v>Ngày</v>
      </c>
    </row>
    <row r="65">
      <c r="A65">
        <v>1</v>
      </c>
      <c r="B65" t="str">
        <v>Trần Thanh</v>
      </c>
      <c r="C65" t="str">
        <v>Bách</v>
      </c>
      <c r="D65">
        <v>816333550</v>
      </c>
    </row>
    <row r="66">
      <c r="A66">
        <f>A65+1</f>
        <v>2</v>
      </c>
      <c r="B66" t="str">
        <v>Ng Đình Thư</v>
      </c>
      <c r="C66" t="str">
        <v>Cát</v>
      </c>
    </row>
    <row r="67">
      <c r="A67">
        <f>A66+1</f>
        <v>3</v>
      </c>
      <c r="B67" t="str">
        <v>Ng Gia</v>
      </c>
      <c r="C67" t="str">
        <v>Đoàn</v>
      </c>
    </row>
    <row r="68">
      <c r="A68">
        <f>A67+1</f>
        <v>4</v>
      </c>
      <c r="B68" t="str">
        <v>Phạm Gia</v>
      </c>
      <c r="C68" t="str">
        <v>Minh</v>
      </c>
    </row>
    <row r="69">
      <c r="A69">
        <f>A68+1</f>
        <v>5</v>
      </c>
      <c r="B69" t="str">
        <v>Ng Ngọc kim</v>
      </c>
      <c r="C69" t="str">
        <v>Ngân</v>
      </c>
    </row>
    <row r="70">
      <c r="A70">
        <f>A69+1</f>
        <v>6</v>
      </c>
      <c r="B70" t="str">
        <v>Ng Trọng</v>
      </c>
      <c r="C70" t="str">
        <v>Phú</v>
      </c>
    </row>
    <row r="71">
      <c r="A71">
        <f>A70+1</f>
        <v>7</v>
      </c>
      <c r="B71" t="str">
        <v>Ng Huỳnh Trí</v>
      </c>
      <c r="C71" t="str">
        <v>Quân</v>
      </c>
      <c r="D71">
        <v>865694187</v>
      </c>
    </row>
    <row r="72">
      <c r="A72">
        <f>A71+1</f>
        <v>8</v>
      </c>
      <c r="B72" t="str">
        <v>Lê Ng Diệp</v>
      </c>
      <c r="C72" t="str">
        <v>Quỳnh</v>
      </c>
    </row>
    <row r="73">
      <c r="A73">
        <f>A72+1</f>
        <v>9</v>
      </c>
      <c r="B73" t="str">
        <v>Trần Minh</v>
      </c>
      <c r="C73" t="str">
        <v>Thắng</v>
      </c>
    </row>
    <row r="74">
      <c r="A74">
        <f>A73+1</f>
        <v>10</v>
      </c>
      <c r="B74" t="str">
        <v>Ng Đức</v>
      </c>
      <c r="C74" t="str">
        <v>Tiến</v>
      </c>
    </row>
    <row r="75">
      <c r="A75">
        <f>A74+1</f>
        <v>11</v>
      </c>
      <c r="B75" t="str">
        <v>Ng Thanh</v>
      </c>
      <c r="C75" t="str">
        <v>Trúc</v>
      </c>
      <c r="D75">
        <v>765916590</v>
      </c>
    </row>
    <row r="76">
      <c r="A76">
        <f>A75+1</f>
        <v>12</v>
      </c>
      <c r="B76" t="str">
        <v>Lê Tú</v>
      </c>
      <c r="C76" t="str">
        <v>Uyên</v>
      </c>
    </row>
    <row r="77">
      <c r="A77">
        <f>A76+1</f>
        <v>13</v>
      </c>
      <c r="B77" t="str">
        <v xml:space="preserve">Ng Đăng Ngọc </v>
      </c>
      <c r="C77" t="str">
        <v>Vy</v>
      </c>
    </row>
    <row r="78">
      <c r="A78">
        <f>A77+1</f>
        <v>14</v>
      </c>
      <c r="B78" t="str">
        <v>Võ Thi Trúc</v>
      </c>
      <c r="C78" t="str">
        <v>Vy</v>
      </c>
    </row>
    <row r="79">
      <c r="A79">
        <f>A78+1</f>
        <v>15</v>
      </c>
    </row>
    <row r="80">
      <c r="A80">
        <f>A79+1</f>
        <v>16</v>
      </c>
    </row>
    <row r="81">
      <c r="A81">
        <f>A80+1</f>
        <v>17</v>
      </c>
    </row>
    <row r="82">
      <c r="A82">
        <f>A81+1</f>
        <v>18</v>
      </c>
    </row>
    <row r="83">
      <c r="A83">
        <f>A82+1</f>
        <v>19</v>
      </c>
    </row>
    <row r="84">
      <c r="A84">
        <f>A83+1</f>
        <v>20</v>
      </c>
    </row>
    <row r="85">
      <c r="A85">
        <f>A84+1</f>
        <v>21</v>
      </c>
    </row>
    <row r="86">
      <c r="A86">
        <f>A85+1</f>
        <v>22</v>
      </c>
    </row>
    <row r="87">
      <c r="A87">
        <f>A86+1</f>
        <v>23</v>
      </c>
    </row>
    <row r="88">
      <c r="A88">
        <f>A87+1</f>
        <v>24</v>
      </c>
    </row>
    <row r="89">
      <c r="A89">
        <f>A88+1</f>
        <v>25</v>
      </c>
    </row>
    <row r="90">
      <c r="E90">
        <f>SUBTOTAL(9,E65:E89)</f>
        <v>0</v>
      </c>
      <c r="G90">
        <f>SUBTOTAL(9,G65:G89)</f>
        <v>0</v>
      </c>
      <c r="I90">
        <f>SUBTOTAL(9,I65:I89)</f>
        <v>0</v>
      </c>
      <c r="M90">
        <f>SUBTOTAL(9,M65:M89)</f>
        <v>0</v>
      </c>
      <c r="O90">
        <f>SUBTOTAL(9,O65:O89)</f>
        <v>0</v>
      </c>
    </row>
    <row r="91">
      <c r="A91" t="str">
        <f>A61</f>
        <v>DANH SÁCH HÓA</v>
      </c>
      <c r="I91">
        <v>4</v>
      </c>
    </row>
    <row r="93" xml:space="preserve">
      <c r="A93" t="str">
        <v>STT</v>
      </c>
      <c r="B93" t="str">
        <v>Họ và tên</v>
      </c>
      <c r="C93" t="str">
        <v>Tên</v>
      </c>
      <c r="D93" t="str" xml:space="preserve">
        <v xml:space="preserve">Số _x000d_
Đ Thoại</v>
      </c>
      <c r="E93" t="str">
        <v>Thiếu</v>
      </c>
      <c r="G93" t="str">
        <f>$R$1</f>
        <v>Đợt 6</v>
      </c>
      <c r="I93" t="str">
        <f>$T$1</f>
        <v>Đợt 7</v>
      </c>
      <c r="K93" t="str">
        <f>$V$1</f>
        <v>Đợt 8</v>
      </c>
      <c r="M93" t="str">
        <f>$X$1</f>
        <v>Đợt 9</v>
      </c>
      <c r="O93" t="str">
        <f>$Z$1</f>
        <v>Đợt 10</v>
      </c>
    </row>
    <row r="94">
      <c r="E94" t="str">
        <v>Tiền</v>
      </c>
      <c r="F94" t="str">
        <v>Ngày</v>
      </c>
      <c r="G94" t="str">
        <v>Tiền</v>
      </c>
      <c r="H94" t="str">
        <v>Ngày</v>
      </c>
      <c r="I94" t="str">
        <v>Tiền</v>
      </c>
      <c r="J94" t="str">
        <v>Ngày</v>
      </c>
      <c r="K94" t="str">
        <v>Tiền</v>
      </c>
      <c r="L94" t="str">
        <v>Ngày</v>
      </c>
      <c r="M94" t="str">
        <v>Tiền</v>
      </c>
      <c r="N94" t="str">
        <v>Ngày</v>
      </c>
      <c r="O94" t="str">
        <v>Tiền</v>
      </c>
      <c r="P94" t="str">
        <v>Ngày</v>
      </c>
    </row>
    <row r="95">
      <c r="A95">
        <v>1</v>
      </c>
    </row>
    <row r="96">
      <c r="A96">
        <f>A95+1</f>
        <v>2</v>
      </c>
    </row>
    <row r="97">
      <c r="A97">
        <f>A96+1</f>
        <v>3</v>
      </c>
    </row>
    <row r="98">
      <c r="A98">
        <f>A97+1</f>
        <v>4</v>
      </c>
    </row>
    <row r="99">
      <c r="A99">
        <f>A98+1</f>
        <v>5</v>
      </c>
    </row>
    <row r="100">
      <c r="A100">
        <f>A99+1</f>
        <v>6</v>
      </c>
    </row>
    <row r="101">
      <c r="A101">
        <f>A100+1</f>
        <v>7</v>
      </c>
    </row>
    <row r="102">
      <c r="A102">
        <f>A101+1</f>
        <v>8</v>
      </c>
    </row>
    <row r="103">
      <c r="A103">
        <f>A102+1</f>
        <v>9</v>
      </c>
    </row>
    <row r="104">
      <c r="A104">
        <f>A103+1</f>
        <v>10</v>
      </c>
    </row>
    <row r="105">
      <c r="A105">
        <f>A104+1</f>
        <v>11</v>
      </c>
    </row>
    <row r="106">
      <c r="A106">
        <f>A105+1</f>
        <v>12</v>
      </c>
    </row>
    <row r="107">
      <c r="A107">
        <f>A106+1</f>
        <v>13</v>
      </c>
    </row>
    <row r="108">
      <c r="A108">
        <f>A107+1</f>
        <v>14</v>
      </c>
    </row>
    <row r="109">
      <c r="A109">
        <f>A108+1</f>
        <v>15</v>
      </c>
    </row>
    <row r="110">
      <c r="A110">
        <f>A109+1</f>
        <v>16</v>
      </c>
    </row>
    <row r="111">
      <c r="A111">
        <f>A110+1</f>
        <v>17</v>
      </c>
    </row>
    <row r="112">
      <c r="A112">
        <f>A111+1</f>
        <v>18</v>
      </c>
    </row>
    <row r="113">
      <c r="A113">
        <f>A112+1</f>
        <v>19</v>
      </c>
    </row>
    <row r="114">
      <c r="A114">
        <f>A113+1</f>
        <v>20</v>
      </c>
    </row>
    <row r="115">
      <c r="A115">
        <f>A114+1</f>
        <v>21</v>
      </c>
    </row>
    <row r="116">
      <c r="A116">
        <f>A115+1</f>
        <v>22</v>
      </c>
    </row>
    <row r="117">
      <c r="A117">
        <f>A116+1</f>
        <v>23</v>
      </c>
    </row>
    <row r="118">
      <c r="A118">
        <f>A117+1</f>
        <v>24</v>
      </c>
    </row>
    <row r="119">
      <c r="A119">
        <f>A118+1</f>
        <v>25</v>
      </c>
    </row>
    <row r="120">
      <c r="E120">
        <f>SUBTOTAL(9,E95:E119)</f>
        <v>0</v>
      </c>
      <c r="G120">
        <f>SUBTOTAL(9,G95:G119)</f>
        <v>0</v>
      </c>
      <c r="I120">
        <f>SUBTOTAL(9,I95:I119)</f>
        <v>0</v>
      </c>
      <c r="M120">
        <f>SUBTOTAL(9,M95:M119)</f>
        <v>0</v>
      </c>
      <c r="O120">
        <f>SUBTOTAL(9,O95:O119)</f>
        <v>0</v>
      </c>
    </row>
    <row r="121">
      <c r="A121" t="str">
        <f>A91</f>
        <v>DANH SÁCH HÓA</v>
      </c>
      <c r="I121">
        <v>5</v>
      </c>
    </row>
    <row r="123" xml:space="preserve">
      <c r="A123" t="str">
        <v>STT</v>
      </c>
      <c r="B123" t="str">
        <v>Họ và tên</v>
      </c>
      <c r="C123" t="str">
        <v>Tên</v>
      </c>
      <c r="D123" t="str" xml:space="preserve">
        <v xml:space="preserve">Số _x000d_
Đ Thoại</v>
      </c>
      <c r="E123" t="str">
        <v>Thiếu</v>
      </c>
      <c r="G123" t="str">
        <f>$R$1</f>
        <v>Đợt 6</v>
      </c>
      <c r="I123" t="str">
        <f>$T$1</f>
        <v>Đợt 7</v>
      </c>
      <c r="K123" t="str">
        <f>$V$1</f>
        <v>Đợt 8</v>
      </c>
      <c r="M123" t="str">
        <f>$X$1</f>
        <v>Đợt 9</v>
      </c>
      <c r="O123" t="str">
        <f>$Z$1</f>
        <v>Đợt 10</v>
      </c>
    </row>
    <row r="124">
      <c r="E124" t="str">
        <v>Tiền</v>
      </c>
      <c r="F124" t="str">
        <v>Ngày</v>
      </c>
      <c r="G124" t="str">
        <v>Tiền</v>
      </c>
      <c r="H124" t="str">
        <v>Ngày</v>
      </c>
      <c r="I124" t="str">
        <v>Tiền</v>
      </c>
      <c r="J124" t="str">
        <v>Ngày</v>
      </c>
      <c r="K124" t="str">
        <v>Tiền</v>
      </c>
      <c r="L124" t="str">
        <v>Ngày</v>
      </c>
      <c r="M124" t="str">
        <v>Tiền</v>
      </c>
      <c r="N124" t="str">
        <v>Ngày</v>
      </c>
      <c r="O124" t="str">
        <v>Tiền</v>
      </c>
      <c r="P124" t="str">
        <v>Ngày</v>
      </c>
    </row>
    <row r="125">
      <c r="A125">
        <v>1</v>
      </c>
    </row>
    <row r="126">
      <c r="A126">
        <f>A125+1</f>
        <v>2</v>
      </c>
    </row>
    <row r="127">
      <c r="A127">
        <f>A126+1</f>
        <v>3</v>
      </c>
    </row>
    <row r="128">
      <c r="A128">
        <f>A127+1</f>
        <v>4</v>
      </c>
    </row>
    <row r="129">
      <c r="A129">
        <f>A128+1</f>
        <v>5</v>
      </c>
    </row>
    <row r="130">
      <c r="A130">
        <f>A129+1</f>
        <v>6</v>
      </c>
    </row>
    <row r="131">
      <c r="A131">
        <f>A130+1</f>
        <v>7</v>
      </c>
    </row>
    <row r="132">
      <c r="A132">
        <f>A131+1</f>
        <v>8</v>
      </c>
    </row>
    <row r="133">
      <c r="A133">
        <f>A132+1</f>
        <v>9</v>
      </c>
    </row>
    <row r="134">
      <c r="A134">
        <f>A133+1</f>
        <v>10</v>
      </c>
    </row>
    <row r="135">
      <c r="A135">
        <f>A134+1</f>
        <v>11</v>
      </c>
    </row>
    <row r="136">
      <c r="A136">
        <f>A135+1</f>
        <v>12</v>
      </c>
    </row>
    <row r="137">
      <c r="A137">
        <f>A136+1</f>
        <v>13</v>
      </c>
    </row>
    <row r="138">
      <c r="A138">
        <f>A137+1</f>
        <v>14</v>
      </c>
    </row>
    <row r="139">
      <c r="A139">
        <f>A138+1</f>
        <v>15</v>
      </c>
    </row>
    <row r="140">
      <c r="A140">
        <f>A139+1</f>
        <v>16</v>
      </c>
    </row>
    <row r="141">
      <c r="A141">
        <f>A140+1</f>
        <v>17</v>
      </c>
    </row>
    <row r="142">
      <c r="A142">
        <f>A141+1</f>
        <v>18</v>
      </c>
    </row>
    <row r="143">
      <c r="A143">
        <f>A142+1</f>
        <v>19</v>
      </c>
    </row>
    <row r="144">
      <c r="A144">
        <f>A143+1</f>
        <v>20</v>
      </c>
    </row>
    <row r="145">
      <c r="A145">
        <f>A144+1</f>
        <v>21</v>
      </c>
    </row>
    <row r="146">
      <c r="A146">
        <f>A145+1</f>
        <v>22</v>
      </c>
    </row>
    <row r="147">
      <c r="A147">
        <f>A146+1</f>
        <v>23</v>
      </c>
    </row>
    <row r="148">
      <c r="A148">
        <f>A147+1</f>
        <v>24</v>
      </c>
    </row>
    <row r="149">
      <c r="A149">
        <f>A148+1</f>
        <v>25</v>
      </c>
    </row>
    <row r="150">
      <c r="E150">
        <f>SUBTOTAL(9,E125:E149)</f>
        <v>0</v>
      </c>
      <c r="G150">
        <f>SUBTOTAL(9,G125:G149)</f>
        <v>0</v>
      </c>
      <c r="I150">
        <f>SUBTOTAL(9,I125:I149)</f>
        <v>0</v>
      </c>
      <c r="M150">
        <f>SUBTOTAL(9,M125:M149)</f>
        <v>0</v>
      </c>
      <c r="O150">
        <f>SUBTOTAL(9,O125:O149)</f>
        <v>0</v>
      </c>
    </row>
    <row r="151">
      <c r="A151" t="str">
        <f>A121</f>
        <v>DANH SÁCH HÓA</v>
      </c>
      <c r="I151">
        <v>6</v>
      </c>
    </row>
    <row r="153" xml:space="preserve">
      <c r="A153" t="str">
        <v>STT</v>
      </c>
      <c r="B153" t="str">
        <v>Họ và tên</v>
      </c>
      <c r="C153" t="str">
        <v>Tên</v>
      </c>
      <c r="D153" t="str" xml:space="preserve">
        <v xml:space="preserve">Số _x000d_
Đ Thoại</v>
      </c>
      <c r="E153" t="str">
        <v>Thiếu</v>
      </c>
      <c r="G153" t="str">
        <f>$R$1</f>
        <v>Đợt 6</v>
      </c>
      <c r="I153" t="str">
        <f>$T$1</f>
        <v>Đợt 7</v>
      </c>
      <c r="K153" t="str">
        <f>$V$1</f>
        <v>Đợt 8</v>
      </c>
      <c r="M153" t="str">
        <f>$X$1</f>
        <v>Đợt 9</v>
      </c>
      <c r="O153" t="str">
        <f>$Z$1</f>
        <v>Đợt 10</v>
      </c>
    </row>
    <row r="154">
      <c r="E154" t="str">
        <v>Tiền</v>
      </c>
      <c r="F154" t="str">
        <v>Ngày</v>
      </c>
      <c r="G154" t="str">
        <v>Tiền</v>
      </c>
      <c r="H154" t="str">
        <v>Ngày</v>
      </c>
      <c r="I154" t="str">
        <v>Tiền</v>
      </c>
      <c r="J154" t="str">
        <v>Ngày</v>
      </c>
      <c r="K154" t="str">
        <v>Tiền</v>
      </c>
      <c r="L154" t="str">
        <v>Ngày</v>
      </c>
      <c r="M154" t="str">
        <v>Tiền</v>
      </c>
      <c r="N154" t="str">
        <v>Ngày</v>
      </c>
      <c r="O154" t="str">
        <v>Tiền</v>
      </c>
      <c r="P154" t="str">
        <v>Ngày</v>
      </c>
    </row>
    <row r="155">
      <c r="A155">
        <v>1</v>
      </c>
    </row>
    <row r="156">
      <c r="A156">
        <f>A155+1</f>
        <v>2</v>
      </c>
    </row>
    <row r="157">
      <c r="A157">
        <f>A156+1</f>
        <v>3</v>
      </c>
    </row>
    <row r="158">
      <c r="A158">
        <f>A157+1</f>
        <v>4</v>
      </c>
    </row>
    <row r="159">
      <c r="A159">
        <f>A158+1</f>
        <v>5</v>
      </c>
    </row>
    <row r="160">
      <c r="A160">
        <f>A159+1</f>
        <v>6</v>
      </c>
    </row>
    <row r="161">
      <c r="A161">
        <f>A160+1</f>
        <v>7</v>
      </c>
    </row>
    <row r="162">
      <c r="A162">
        <f>A161+1</f>
        <v>8</v>
      </c>
    </row>
    <row r="163">
      <c r="A163">
        <f>A162+1</f>
        <v>9</v>
      </c>
    </row>
    <row r="164">
      <c r="A164">
        <f>A163+1</f>
        <v>10</v>
      </c>
    </row>
    <row r="165">
      <c r="A165">
        <f>A164+1</f>
        <v>11</v>
      </c>
    </row>
    <row r="166">
      <c r="A166">
        <f>A165+1</f>
        <v>12</v>
      </c>
    </row>
    <row r="167">
      <c r="A167">
        <f>A166+1</f>
        <v>13</v>
      </c>
    </row>
    <row r="168">
      <c r="A168">
        <f>A167+1</f>
        <v>14</v>
      </c>
    </row>
    <row r="169">
      <c r="A169">
        <f>A168+1</f>
        <v>15</v>
      </c>
    </row>
    <row r="170">
      <c r="A170">
        <f>A169+1</f>
        <v>16</v>
      </c>
    </row>
    <row r="171">
      <c r="A171">
        <f>A170+1</f>
        <v>17</v>
      </c>
    </row>
    <row r="172">
      <c r="A172">
        <f>A171+1</f>
        <v>18</v>
      </c>
    </row>
    <row r="173">
      <c r="A173">
        <f>A172+1</f>
        <v>19</v>
      </c>
    </row>
    <row r="174">
      <c r="A174">
        <f>A173+1</f>
        <v>20</v>
      </c>
    </row>
    <row r="175">
      <c r="A175">
        <f>A174+1</f>
        <v>21</v>
      </c>
    </row>
    <row r="176">
      <c r="A176">
        <f>A175+1</f>
        <v>22</v>
      </c>
    </row>
    <row r="177">
      <c r="A177">
        <f>A176+1</f>
        <v>23</v>
      </c>
    </row>
    <row r="178">
      <c r="A178">
        <f>A177+1</f>
        <v>24</v>
      </c>
    </row>
    <row r="179">
      <c r="A179">
        <f>A178+1</f>
        <v>25</v>
      </c>
    </row>
    <row r="180">
      <c r="E180">
        <f>SUBTOTAL(9,E155:E179)</f>
        <v>0</v>
      </c>
      <c r="G180">
        <f>SUBTOTAL(9,G155:G179)</f>
        <v>0</v>
      </c>
      <c r="I180">
        <f>SUBTOTAL(9,I155:I179)</f>
        <v>0</v>
      </c>
      <c r="M180">
        <f>SUBTOTAL(9,M155:M179)</f>
        <v>0</v>
      </c>
      <c r="O180">
        <f>SUBTOTAL(9,O155:O179)</f>
        <v>0</v>
      </c>
    </row>
    <row r="181">
      <c r="A181" t="str">
        <f>A151</f>
        <v>DANH SÁCH HÓA</v>
      </c>
      <c r="I181">
        <v>7</v>
      </c>
    </row>
    <row r="183" xml:space="preserve">
      <c r="A183" t="str">
        <v>STT</v>
      </c>
      <c r="B183" t="str">
        <v>Họ và tên</v>
      </c>
      <c r="C183" t="str">
        <v>Tên</v>
      </c>
      <c r="D183" t="str" xml:space="preserve">
        <v xml:space="preserve">Số _x000d_
Đ Thoại</v>
      </c>
      <c r="E183" t="str">
        <v>Thiếu</v>
      </c>
      <c r="G183" t="str">
        <f>$R$1</f>
        <v>Đợt 6</v>
      </c>
      <c r="I183" t="str">
        <f>$T$1</f>
        <v>Đợt 7</v>
      </c>
      <c r="K183" t="str">
        <f>$V$1</f>
        <v>Đợt 8</v>
      </c>
      <c r="M183" t="str">
        <f>$X$1</f>
        <v>Đợt 9</v>
      </c>
      <c r="O183" t="str">
        <f>$Z$1</f>
        <v>Đợt 10</v>
      </c>
    </row>
    <row r="184">
      <c r="E184" t="str">
        <v>Tiền</v>
      </c>
      <c r="F184" t="str">
        <v>Ngày</v>
      </c>
      <c r="G184" t="str">
        <v>Tiền</v>
      </c>
      <c r="H184" t="str">
        <v>Ngày</v>
      </c>
      <c r="I184" t="str">
        <v>Tiền</v>
      </c>
      <c r="J184" t="str">
        <v>Ngày</v>
      </c>
      <c r="K184" t="str">
        <v>Tiền</v>
      </c>
      <c r="L184" t="str">
        <v>Ngày</v>
      </c>
      <c r="M184" t="str">
        <v>Tiền</v>
      </c>
      <c r="N184" t="str">
        <v>Ngày</v>
      </c>
      <c r="O184" t="str">
        <v>Tiền</v>
      </c>
      <c r="P184" t="str">
        <v>Ngày</v>
      </c>
    </row>
    <row r="185">
      <c r="A185">
        <v>1</v>
      </c>
    </row>
    <row r="186">
      <c r="A186">
        <f>A185+1</f>
        <v>2</v>
      </c>
    </row>
    <row r="187">
      <c r="A187">
        <f>A186+1</f>
        <v>3</v>
      </c>
    </row>
    <row r="188">
      <c r="A188">
        <f>A187+1</f>
        <v>4</v>
      </c>
    </row>
    <row r="189">
      <c r="A189">
        <f>A188+1</f>
        <v>5</v>
      </c>
    </row>
    <row r="190">
      <c r="A190">
        <f>A189+1</f>
        <v>6</v>
      </c>
    </row>
    <row r="191">
      <c r="A191">
        <f>A190+1</f>
        <v>7</v>
      </c>
    </row>
    <row r="192">
      <c r="A192">
        <f>A191+1</f>
        <v>8</v>
      </c>
    </row>
    <row r="193">
      <c r="A193">
        <f>A192+1</f>
        <v>9</v>
      </c>
    </row>
    <row r="194">
      <c r="A194">
        <f>A193+1</f>
        <v>10</v>
      </c>
    </row>
    <row r="195">
      <c r="A195">
        <f>A194+1</f>
        <v>11</v>
      </c>
    </row>
    <row r="196">
      <c r="A196">
        <f>A195+1</f>
        <v>12</v>
      </c>
    </row>
    <row r="197">
      <c r="A197">
        <f>A196+1</f>
        <v>13</v>
      </c>
    </row>
    <row r="198">
      <c r="A198">
        <f>A197+1</f>
        <v>14</v>
      </c>
    </row>
    <row r="199">
      <c r="A199">
        <f>A198+1</f>
        <v>15</v>
      </c>
    </row>
    <row r="200">
      <c r="A200">
        <f>A199+1</f>
        <v>16</v>
      </c>
    </row>
    <row r="201">
      <c r="A201">
        <f>A200+1</f>
        <v>17</v>
      </c>
    </row>
    <row r="202">
      <c r="A202">
        <f>A201+1</f>
        <v>18</v>
      </c>
    </row>
    <row r="203">
      <c r="A203">
        <f>A202+1</f>
        <v>19</v>
      </c>
    </row>
    <row r="204">
      <c r="A204">
        <f>A203+1</f>
        <v>20</v>
      </c>
    </row>
    <row r="205">
      <c r="A205">
        <f>A204+1</f>
        <v>21</v>
      </c>
    </row>
    <row r="206">
      <c r="A206">
        <f>A205+1</f>
        <v>22</v>
      </c>
    </row>
    <row r="207">
      <c r="A207">
        <f>A206+1</f>
        <v>23</v>
      </c>
    </row>
    <row r="208">
      <c r="A208">
        <f>A207+1</f>
        <v>24</v>
      </c>
    </row>
    <row r="209">
      <c r="A209">
        <f>A208+1</f>
        <v>25</v>
      </c>
    </row>
    <row r="210">
      <c r="E210">
        <f>SUBTOTAL(9,E185:E209)</f>
        <v>0</v>
      </c>
      <c r="G210">
        <f>SUBTOTAL(9,G185:G209)</f>
        <v>0</v>
      </c>
      <c r="I210">
        <f>SUBTOTAL(9,I185:I209)</f>
        <v>0</v>
      </c>
      <c r="M210">
        <f>SUBTOTAL(9,M185:M209)</f>
        <v>0</v>
      </c>
      <c r="O210">
        <f>SUBTOTAL(9,O185:O209)</f>
        <v>0</v>
      </c>
    </row>
    <row r="211">
      <c r="A211" t="str">
        <f>A181</f>
        <v>DANH SÁCH HÓA</v>
      </c>
      <c r="I211">
        <v>8</v>
      </c>
    </row>
    <row r="213" xml:space="preserve">
      <c r="A213" t="str">
        <v>STT</v>
      </c>
      <c r="B213" t="str">
        <v>Họ và tên</v>
      </c>
      <c r="C213" t="str">
        <v>Tên</v>
      </c>
      <c r="D213" t="str" xml:space="preserve">
        <v xml:space="preserve">Số _x000d_
Đ Thoại</v>
      </c>
      <c r="E213" t="str">
        <v>Thiếu</v>
      </c>
      <c r="G213" t="str">
        <f>$R$1</f>
        <v>Đợt 6</v>
      </c>
      <c r="I213" t="str">
        <f>$T$1</f>
        <v>Đợt 7</v>
      </c>
      <c r="K213" t="str">
        <f>$V$1</f>
        <v>Đợt 8</v>
      </c>
      <c r="M213" t="str">
        <f>$X$1</f>
        <v>Đợt 9</v>
      </c>
      <c r="O213" t="str">
        <f>$Z$1</f>
        <v>Đợt 10</v>
      </c>
    </row>
    <row r="214">
      <c r="E214" t="str">
        <v>Tiền</v>
      </c>
      <c r="F214" t="str">
        <v>Ngày</v>
      </c>
      <c r="G214" t="str">
        <v>Tiền</v>
      </c>
      <c r="H214" t="str">
        <v>Ngày</v>
      </c>
      <c r="I214" t="str">
        <v>Tiền</v>
      </c>
      <c r="J214" t="str">
        <v>Ngày</v>
      </c>
      <c r="K214" t="str">
        <v>Tiền</v>
      </c>
      <c r="L214" t="str">
        <v>Ngày</v>
      </c>
      <c r="M214" t="str">
        <v>Tiền</v>
      </c>
      <c r="N214" t="str">
        <v>Ngày</v>
      </c>
      <c r="O214" t="str">
        <v>Tiền</v>
      </c>
      <c r="P214" t="str">
        <v>Ngày</v>
      </c>
    </row>
    <row r="215">
      <c r="A215">
        <v>1</v>
      </c>
    </row>
    <row r="216">
      <c r="A216">
        <f>A215+1</f>
        <v>2</v>
      </c>
    </row>
    <row r="217">
      <c r="A217">
        <f>A216+1</f>
        <v>3</v>
      </c>
    </row>
    <row r="218">
      <c r="A218">
        <f>A217+1</f>
        <v>4</v>
      </c>
    </row>
    <row r="219">
      <c r="A219">
        <f>A218+1</f>
        <v>5</v>
      </c>
    </row>
    <row r="220">
      <c r="A220">
        <f>A219+1</f>
        <v>6</v>
      </c>
    </row>
    <row r="221">
      <c r="A221">
        <f>A220+1</f>
        <v>7</v>
      </c>
    </row>
    <row r="222">
      <c r="A222">
        <f>A221+1</f>
        <v>8</v>
      </c>
    </row>
    <row r="223">
      <c r="A223">
        <f>A222+1</f>
        <v>9</v>
      </c>
    </row>
    <row r="224">
      <c r="A224">
        <f>A223+1</f>
        <v>10</v>
      </c>
    </row>
    <row r="225">
      <c r="A225">
        <f>A224+1</f>
        <v>11</v>
      </c>
    </row>
    <row r="226">
      <c r="A226">
        <f>A225+1</f>
        <v>12</v>
      </c>
    </row>
    <row r="227">
      <c r="A227">
        <f>A226+1</f>
        <v>13</v>
      </c>
    </row>
    <row r="228">
      <c r="A228">
        <f>A227+1</f>
        <v>14</v>
      </c>
    </row>
    <row r="229">
      <c r="A229">
        <f>A228+1</f>
        <v>15</v>
      </c>
    </row>
    <row r="230">
      <c r="A230">
        <f>A229+1</f>
        <v>16</v>
      </c>
    </row>
    <row r="231">
      <c r="A231">
        <f>A230+1</f>
        <v>17</v>
      </c>
    </row>
    <row r="232">
      <c r="A232">
        <f>A231+1</f>
        <v>18</v>
      </c>
    </row>
    <row r="233">
      <c r="A233">
        <f>A232+1</f>
        <v>19</v>
      </c>
    </row>
    <row r="234">
      <c r="A234">
        <f>A233+1</f>
        <v>20</v>
      </c>
    </row>
    <row r="235">
      <c r="A235">
        <f>A234+1</f>
        <v>21</v>
      </c>
    </row>
    <row r="236">
      <c r="A236">
        <f>A235+1</f>
        <v>22</v>
      </c>
    </row>
    <row r="237">
      <c r="A237">
        <f>A236+1</f>
        <v>23</v>
      </c>
    </row>
    <row r="238">
      <c r="A238">
        <f>A237+1</f>
        <v>24</v>
      </c>
    </row>
    <row r="239">
      <c r="A239">
        <f>A238+1</f>
        <v>25</v>
      </c>
    </row>
    <row r="240">
      <c r="E240">
        <f>SUBTOTAL(9,E215:E239)</f>
        <v>0</v>
      </c>
      <c r="G240">
        <f>SUBTOTAL(9,G215:G239)</f>
        <v>0</v>
      </c>
      <c r="I240">
        <f>SUBTOTAL(9,I215:I239)</f>
        <v>0</v>
      </c>
      <c r="M240">
        <f>SUBTOTAL(9,M215:M239)</f>
        <v>0</v>
      </c>
      <c r="O240">
        <f>SUBTOTAL(9,O215:O239)</f>
        <v>0</v>
      </c>
    </row>
    <row r="241">
      <c r="A241" t="str">
        <f>A211</f>
        <v>DANH SÁCH HÓA</v>
      </c>
      <c r="I241">
        <v>9</v>
      </c>
    </row>
    <row r="243" xml:space="preserve">
      <c r="A243" t="str">
        <v>STT</v>
      </c>
      <c r="B243" t="str">
        <v>Họ và tên</v>
      </c>
      <c r="C243" t="str">
        <v>Tên</v>
      </c>
      <c r="D243" t="str" xml:space="preserve">
        <v xml:space="preserve">Số _x000d_
Đ Thoại</v>
      </c>
      <c r="E243" t="str">
        <v>Thiếu</v>
      </c>
      <c r="G243" t="str">
        <f>$R$1</f>
        <v>Đợt 6</v>
      </c>
      <c r="I243" t="str">
        <f>$T$1</f>
        <v>Đợt 7</v>
      </c>
      <c r="K243" t="str">
        <f>$V$1</f>
        <v>Đợt 8</v>
      </c>
      <c r="M243" t="str">
        <f>$X$1</f>
        <v>Đợt 9</v>
      </c>
      <c r="O243" t="str">
        <f>$Z$1</f>
        <v>Đợt 10</v>
      </c>
    </row>
    <row r="244">
      <c r="E244" t="str">
        <v>Tiền</v>
      </c>
      <c r="F244" t="str">
        <v>Ngày</v>
      </c>
      <c r="G244" t="str">
        <v>Tiền</v>
      </c>
      <c r="H244" t="str">
        <v>Ngày</v>
      </c>
      <c r="I244" t="str">
        <v>Tiền</v>
      </c>
      <c r="J244" t="str">
        <v>Ngày</v>
      </c>
      <c r="K244" t="str">
        <v>Tiền</v>
      </c>
      <c r="L244" t="str">
        <v>Ngày</v>
      </c>
      <c r="M244" t="str">
        <v>Tiền</v>
      </c>
      <c r="N244" t="str">
        <v>Ngày</v>
      </c>
      <c r="O244" t="str">
        <v>Tiền</v>
      </c>
      <c r="P244" t="str">
        <v>Ngày</v>
      </c>
    </row>
    <row r="245">
      <c r="A245">
        <v>1</v>
      </c>
    </row>
    <row r="246">
      <c r="A246">
        <f>A245+1</f>
        <v>2</v>
      </c>
    </row>
    <row r="247">
      <c r="A247">
        <f>A246+1</f>
        <v>3</v>
      </c>
    </row>
    <row r="248">
      <c r="A248">
        <f>A247+1</f>
        <v>4</v>
      </c>
    </row>
    <row r="249">
      <c r="A249">
        <f>A248+1</f>
        <v>5</v>
      </c>
    </row>
    <row r="250">
      <c r="A250">
        <f>A249+1</f>
        <v>6</v>
      </c>
    </row>
    <row r="251">
      <c r="A251">
        <f>A250+1</f>
        <v>7</v>
      </c>
    </row>
    <row r="252">
      <c r="A252">
        <f>A251+1</f>
        <v>8</v>
      </c>
    </row>
    <row r="253">
      <c r="A253">
        <f>A252+1</f>
        <v>9</v>
      </c>
    </row>
    <row r="254">
      <c r="A254">
        <f>A253+1</f>
        <v>10</v>
      </c>
    </row>
    <row r="255">
      <c r="A255">
        <f>A254+1</f>
        <v>11</v>
      </c>
    </row>
    <row r="256">
      <c r="A256">
        <f>A255+1</f>
        <v>12</v>
      </c>
    </row>
    <row r="257">
      <c r="A257">
        <f>A256+1</f>
        <v>13</v>
      </c>
    </row>
    <row r="258">
      <c r="A258">
        <f>A257+1</f>
        <v>14</v>
      </c>
    </row>
    <row r="259">
      <c r="A259">
        <f>A258+1</f>
        <v>15</v>
      </c>
    </row>
    <row r="260">
      <c r="A260">
        <f>A259+1</f>
        <v>16</v>
      </c>
    </row>
    <row r="261">
      <c r="A261">
        <f>A260+1</f>
        <v>17</v>
      </c>
    </row>
    <row r="262">
      <c r="A262">
        <f>A261+1</f>
        <v>18</v>
      </c>
    </row>
    <row r="263">
      <c r="A263">
        <f>A262+1</f>
        <v>19</v>
      </c>
    </row>
    <row r="264">
      <c r="A264">
        <f>A263+1</f>
        <v>20</v>
      </c>
    </row>
    <row r="265">
      <c r="A265">
        <f>A264+1</f>
        <v>21</v>
      </c>
    </row>
    <row r="266">
      <c r="A266">
        <f>A265+1</f>
        <v>22</v>
      </c>
    </row>
    <row r="267">
      <c r="A267">
        <f>A266+1</f>
        <v>23</v>
      </c>
    </row>
    <row r="268">
      <c r="A268">
        <f>A267+1</f>
        <v>24</v>
      </c>
    </row>
    <row r="269">
      <c r="A269">
        <f>A268+1</f>
        <v>25</v>
      </c>
    </row>
    <row r="270">
      <c r="E270">
        <f>SUBTOTAL(9,E245:E269)</f>
        <v>0</v>
      </c>
      <c r="G270">
        <f>SUBTOTAL(9,G245:G269)</f>
        <v>0</v>
      </c>
      <c r="I270">
        <f>SUBTOTAL(9,I245:I269)</f>
        <v>0</v>
      </c>
      <c r="M270">
        <f>SUBTOTAL(9,M245:M269)</f>
        <v>0</v>
      </c>
      <c r="O270">
        <f>SUBTOTAL(9,O245:O269)</f>
        <v>0</v>
      </c>
    </row>
  </sheetData>
  <mergeCells count="112">
    <mergeCell ref="I213:J213"/>
    <mergeCell ref="M213:N213"/>
    <mergeCell ref="O213:P213"/>
    <mergeCell ref="A241:H241"/>
    <mergeCell ref="A213:A214"/>
    <mergeCell ref="B213:B214"/>
    <mergeCell ref="C213:C214"/>
    <mergeCell ref="D213:D214"/>
    <mergeCell ref="E213:F213"/>
    <mergeCell ref="C183:C184"/>
    <mergeCell ref="D183:D184"/>
    <mergeCell ref="E183:F183"/>
    <mergeCell ref="A243:A244"/>
    <mergeCell ref="B243:B244"/>
    <mergeCell ref="C243:C244"/>
    <mergeCell ref="D243:D244"/>
    <mergeCell ref="E243:F243"/>
    <mergeCell ref="G213:H213"/>
    <mergeCell ref="G243:H243"/>
    <mergeCell ref="I243:J243"/>
    <mergeCell ref="M243:N243"/>
    <mergeCell ref="O243:P243"/>
    <mergeCell ref="M153:N153"/>
    <mergeCell ref="O153:P153"/>
    <mergeCell ref="A181:H181"/>
    <mergeCell ref="A153:A154"/>
    <mergeCell ref="B153:B154"/>
    <mergeCell ref="C153:C154"/>
    <mergeCell ref="D153:D154"/>
    <mergeCell ref="E153:F153"/>
    <mergeCell ref="K153:L153"/>
    <mergeCell ref="G153:H153"/>
    <mergeCell ref="I153:J153"/>
    <mergeCell ref="K183:L183"/>
    <mergeCell ref="K213:L213"/>
    <mergeCell ref="K243:L243"/>
    <mergeCell ref="G183:H183"/>
    <mergeCell ref="I183:J183"/>
    <mergeCell ref="M183:N183"/>
    <mergeCell ref="O183:P183"/>
    <mergeCell ref="A211:H211"/>
    <mergeCell ref="A183:A184"/>
    <mergeCell ref="B183:B184"/>
    <mergeCell ref="G123:H123"/>
    <mergeCell ref="I123:J123"/>
    <mergeCell ref="M123:N123"/>
    <mergeCell ref="O123:P123"/>
    <mergeCell ref="A151:H151"/>
    <mergeCell ref="A123:A124"/>
    <mergeCell ref="B123:B124"/>
    <mergeCell ref="C123:C124"/>
    <mergeCell ref="D123:D124"/>
    <mergeCell ref="E123:F123"/>
    <mergeCell ref="K123:L123"/>
    <mergeCell ref="G93:H93"/>
    <mergeCell ref="I93:J93"/>
    <mergeCell ref="M93:N93"/>
    <mergeCell ref="O93:P93"/>
    <mergeCell ref="A121:H121"/>
    <mergeCell ref="A93:A94"/>
    <mergeCell ref="B93:B94"/>
    <mergeCell ref="C93:C94"/>
    <mergeCell ref="D93:D94"/>
    <mergeCell ref="E93:F93"/>
    <mergeCell ref="K93:L93"/>
    <mergeCell ref="G63:H63"/>
    <mergeCell ref="I63:J63"/>
    <mergeCell ref="M63:N63"/>
    <mergeCell ref="O63:P63"/>
    <mergeCell ref="A91:H91"/>
    <mergeCell ref="A63:A64"/>
    <mergeCell ref="B63:B64"/>
    <mergeCell ref="C63:C64"/>
    <mergeCell ref="D63:D64"/>
    <mergeCell ref="E63:F63"/>
    <mergeCell ref="K63:L63"/>
    <mergeCell ref="A61:H61"/>
    <mergeCell ref="Z1:AA1"/>
    <mergeCell ref="AB1:AC1"/>
    <mergeCell ref="Z2:AA2"/>
    <mergeCell ref="AB2:AC2"/>
    <mergeCell ref="O3:P3"/>
    <mergeCell ref="A3:A4"/>
    <mergeCell ref="B3:B4"/>
    <mergeCell ref="C3:C4"/>
    <mergeCell ref="D3:D4"/>
    <mergeCell ref="E3:F3"/>
    <mergeCell ref="R2:S2"/>
    <mergeCell ref="T2:U2"/>
    <mergeCell ref="V2:W2"/>
    <mergeCell ref="X2:Y2"/>
    <mergeCell ref="G3:H3"/>
    <mergeCell ref="I3:J3"/>
    <mergeCell ref="K3:L3"/>
    <mergeCell ref="M3:N3"/>
    <mergeCell ref="S9:T9"/>
    <mergeCell ref="K33:L33"/>
    <mergeCell ref="A31:H31"/>
    <mergeCell ref="A33:A34"/>
    <mergeCell ref="B33:B34"/>
    <mergeCell ref="C33:C34"/>
    <mergeCell ref="D33:D34"/>
    <mergeCell ref="E33:F33"/>
    <mergeCell ref="X1:Y1"/>
    <mergeCell ref="A1:H1"/>
    <mergeCell ref="R1:S1"/>
    <mergeCell ref="T1:U1"/>
    <mergeCell ref="V1:W1"/>
    <mergeCell ref="G33:H33"/>
    <mergeCell ref="I33:J33"/>
    <mergeCell ref="M33:N33"/>
    <mergeCell ref="O33:P33"/>
  </mergeCells>
  <pageMargins left="0.45" right="0" top="0.25" bottom="0" header="0.3" footer="0.3"/>
  <ignoredErrors>
    <ignoredError numberStoredAsText="1" sqref="A1:AC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